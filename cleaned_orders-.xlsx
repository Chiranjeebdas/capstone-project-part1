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sales by region" sheetId="3" r:id="rId1"/>
    <sheet name="Catagory performance" sheetId="5" r:id="rId2"/>
    <sheet name="monthly sales trend" sheetId="6" r:id="rId3"/>
    <sheet name="Cleaned_orders" sheetId="1" r:id="rId4"/>
    <sheet name="business_rules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<sst xmlns="http://schemas.openxmlformats.org/spreadsheetml/2006/main" count="14971" uniqueCount="4172">
  <si>
    <t>region</t>
  </si>
  <si>
    <t>Sum of sales</t>
  </si>
  <si>
    <t>Sum of profit</t>
  </si>
  <si>
    <t>Count of order_id</t>
  </si>
  <si>
    <t xml:space="preserve">  East </t>
  </si>
  <si>
    <t xml:space="preserve">  North </t>
  </si>
  <si>
    <t xml:space="preserve">  South </t>
  </si>
  <si>
    <t>East</t>
  </si>
  <si>
    <t>North</t>
  </si>
  <si>
    <t xml:space="preserve">North </t>
  </si>
  <si>
    <t>South</t>
  </si>
  <si>
    <t>West</t>
  </si>
  <si>
    <t xml:space="preserve">West </t>
  </si>
  <si>
    <t>(blank)</t>
  </si>
  <si>
    <t>Grand Total</t>
  </si>
  <si>
    <t>category</t>
  </si>
  <si>
    <t>Sum of quantity</t>
  </si>
  <si>
    <t xml:space="preserve">  Furniture </t>
  </si>
  <si>
    <t xml:space="preserve">  Technology </t>
  </si>
  <si>
    <t>Furniture</t>
  </si>
  <si>
    <t xml:space="preserve">Furniture </t>
  </si>
  <si>
    <t>Office  Supplies</t>
  </si>
  <si>
    <t>Office Supplies</t>
  </si>
  <si>
    <t xml:space="preserve">Office Supplies </t>
  </si>
  <si>
    <t>Technology</t>
  </si>
  <si>
    <t xml:space="preserve">Technology </t>
  </si>
  <si>
    <t>order_month</t>
  </si>
  <si>
    <t>order_id</t>
  </si>
  <si>
    <t>order_date</t>
  </si>
  <si>
    <t>order date clean</t>
  </si>
  <si>
    <t>ship_date</t>
  </si>
  <si>
    <t>ship date clean</t>
  </si>
  <si>
    <t>customer_id</t>
  </si>
  <si>
    <t>customer_name</t>
  </si>
  <si>
    <t>Customer Name Clean</t>
  </si>
  <si>
    <t>segment</t>
  </si>
  <si>
    <t>segment clean</t>
  </si>
  <si>
    <t>region clean</t>
  </si>
  <si>
    <t>state</t>
  </si>
  <si>
    <t>state clean</t>
  </si>
  <si>
    <t>city</t>
  </si>
  <si>
    <t>city clean</t>
  </si>
  <si>
    <t>category clean</t>
  </si>
  <si>
    <t>sub_category</t>
  </si>
  <si>
    <t>subcategory clean</t>
  </si>
  <si>
    <t>product_name</t>
  </si>
  <si>
    <t>product name clean</t>
  </si>
  <si>
    <t>ship_mode</t>
  </si>
  <si>
    <t>ship modeclean</t>
  </si>
  <si>
    <t>shipping delay days</t>
  </si>
  <si>
    <t>quantity</t>
  </si>
  <si>
    <t>unit_price</t>
  </si>
  <si>
    <t>discount</t>
  </si>
  <si>
    <t>cleaned_discount</t>
  </si>
  <si>
    <t>sales</t>
  </si>
  <si>
    <t>calculated sales</t>
  </si>
  <si>
    <t>cost</t>
  </si>
  <si>
    <t>profit</t>
  </si>
  <si>
    <t>calculated profit</t>
  </si>
  <si>
    <t>profit margin</t>
  </si>
  <si>
    <t>payment_status</t>
  </si>
  <si>
    <t>payment status clean</t>
  </si>
  <si>
    <t>order_status</t>
  </si>
  <si>
    <t>order status clean</t>
  </si>
  <si>
    <t>order_year</t>
  </si>
  <si>
    <t>data_quality_flag</t>
  </si>
  <si>
    <t>ORD-2024-10001</t>
  </si>
  <si>
    <t>21 Jul 2024</t>
  </si>
  <si>
    <t>07/27/2024</t>
  </si>
  <si>
    <t>CUST-4655</t>
  </si>
  <si>
    <t>Karan Malhotra</t>
  </si>
  <si>
    <t>Consumer</t>
  </si>
  <si>
    <t>Rajasthan</t>
  </si>
  <si>
    <t>Jaipur</t>
  </si>
  <si>
    <t>Paper</t>
  </si>
  <si>
    <t>Pro Paper 122</t>
  </si>
  <si>
    <t>Second Class</t>
  </si>
  <si>
    <t>Paid</t>
  </si>
  <si>
    <t>Completed</t>
  </si>
  <si>
    <t>Clean</t>
  </si>
  <si>
    <t>ORD-2024-10002</t>
  </si>
  <si>
    <t>08/31/2024</t>
  </si>
  <si>
    <t>05 Sep 2024</t>
  </si>
  <si>
    <t>CUST-2054</t>
  </si>
  <si>
    <t>Mira Das</t>
  </si>
  <si>
    <t>Small Business</t>
  </si>
  <si>
    <t>Odisha</t>
  </si>
  <si>
    <t>Bhubaneswar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</si>
  <si>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</si>
  <si>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</si>
  <si>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</si>
  <si>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</si>
  <si>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</si>
  <si>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</si>
  <si>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</si>
  <si>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</si>
  <si>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</si>
  <si>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</si>
  <si>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</si>
  <si>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</si>
  <si>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</si>
  <si>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</si>
  <si>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</si>
  <si>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</si>
  <si>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</si>
  <si>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</si>
  <si>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</si>
  <si>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</si>
  <si>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</si>
  <si>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</si>
  <si>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</si>
  <si>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</si>
  <si>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</si>
  <si>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</si>
  <si>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</si>
  <si>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</si>
  <si>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</si>
  <si>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</si>
  <si>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</si>
  <si>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</si>
  <si>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</si>
  <si>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</si>
  <si>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</si>
  <si>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</si>
  <si>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</si>
  <si>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</si>
  <si>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</si>
  <si>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</si>
  <si>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</si>
  <si>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</si>
  <si>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</si>
  <si>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</si>
  <si>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</si>
  <si>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</si>
  <si>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</si>
  <si>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</si>
  <si>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</si>
  <si>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</si>
  <si>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</si>
  <si>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</si>
  <si>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</si>
  <si>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</si>
  <si>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</si>
  <si>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</si>
  <si>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</si>
  <si>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</si>
  <si>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</si>
  <si>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</si>
  <si>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</si>
  <si>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</si>
  <si>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</si>
  <si>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</si>
  <si>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</si>
  <si>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</si>
  <si>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</si>
  <si>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</si>
  <si>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</si>
  <si>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</si>
  <si>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</si>
  <si>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</si>
  <si>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</si>
  <si>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</si>
  <si>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</si>
  <si>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</si>
  <si>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</si>
  <si>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</si>
  <si>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</si>
  <si>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</si>
  <si>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</si>
  <si>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</si>
  <si>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</si>
  <si>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</si>
  <si>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</si>
  <si>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</si>
  <si>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</si>
  <si>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</si>
  <si>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</si>
  <si>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</si>
  <si>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</si>
  <si>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</si>
  <si>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</si>
  <si>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</si>
  <si>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</si>
  <si>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</si>
  <si>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</si>
  <si>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</si>
  <si>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</si>
  <si>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</si>
  <si>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</si>
  <si>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</si>
  <si>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</si>
  <si>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</si>
  <si>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</si>
  <si>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</si>
  <si>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</si>
  <si>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</si>
  <si>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</si>
  <si>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</si>
  <si>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</si>
  <si>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</si>
  <si>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</si>
  <si>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</si>
  <si>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</si>
  <si>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</si>
  <si>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</si>
  <si>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</si>
  <si>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</si>
  <si>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</si>
  <si>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</si>
  <si>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</si>
  <si>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</si>
  <si>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</si>
  <si>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</si>
  <si>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</si>
  <si>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</si>
  <si>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</si>
  <si>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</si>
  <si>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</si>
  <si>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</si>
  <si>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</si>
  <si>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</si>
  <si>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</si>
  <si>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Discount Issue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</si>
  <si>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</si>
  <si>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</si>
  <si>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</si>
  <si>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</si>
  <si>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</si>
  <si>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</si>
  <si>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</si>
  <si>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</si>
  <si>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</si>
  <si>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</si>
  <si>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</si>
  <si>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</si>
  <si>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</si>
  <si>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</si>
  <si>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</si>
  <si>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</si>
  <si>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</si>
  <si>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</si>
  <si>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</si>
  <si>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</si>
  <si>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</si>
  <si>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</si>
  <si>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</si>
  <si>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</si>
  <si>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</si>
  <si>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</si>
  <si>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</si>
  <si>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</si>
  <si>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</si>
  <si>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</si>
  <si>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Invalid Shipping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</si>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</sst>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0"/>
      <name val="Carlito"/>
      <charset val="134"/>
    </font>
    <font>
      <sz val="11"/>
      <color theme="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theme="3" tint="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>
      <alignment vertical="center"/>
    </xf>
    <xf numFmtId="177" fontId="4" fillId="0" borderId="0">
      <alignment vertical="center"/>
    </xf>
    <xf numFmtId="9" fontId="4" fillId="0" borderId="0">
      <alignment vertical="center"/>
    </xf>
    <xf numFmtId="178" fontId="4" fillId="0" borderId="0">
      <alignment vertical="center"/>
    </xf>
    <xf numFmtId="179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80" fontId="0" fillId="0" borderId="0" xfId="0" applyNumberFormat="1"/>
    <xf numFmtId="180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7.5268981481" refreshedBy="LENOVO" recordCount="933">
  <cacheSource type="worksheet">
    <worksheetSource ref="A1:AP1048576" sheet="Cleaned_orders"/>
  </cacheSource>
  <cacheFields count="42">
    <cacheField name="order_id" numFmtId="0">
      <sharedItems containsBlank="1" count="901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m/>
      </sharedItems>
    </cacheField>
    <cacheField name="order_date" numFmtId="180">
      <sharedItems containsBlank="1" count="772">
        <s v="21 Jul 2024"/>
        <s v="08/31/2024"/>
        <s v="06/08/2024"/>
        <s v="28-11-2024"/>
        <s v="29 Aug 2025"/>
        <s v="2024-05-24"/>
        <s v="04/10/2025"/>
        <s v="2025-02-23"/>
        <s v="11/05/2024"/>
        <s v="07-09-2025"/>
        <s v="20 May 2025"/>
        <s v="2024-07-22"/>
        <s v="20 Dec 2024"/>
        <s v="2025-10-12"/>
        <s v="27 Dec 2024"/>
        <s v="07/09/2024"/>
        <s v="05/08/2024"/>
        <s v="01/07/2024"/>
        <s v="07/15/2025"/>
        <s v="07/27/2024"/>
        <s v="21-01-2025"/>
        <s v="24-01-2025"/>
        <s v="19 Jan 2025"/>
        <s v="2024-03-04"/>
        <s v="11-10-2024"/>
        <s v="23-11-2024"/>
        <s v="29 Sep 2025"/>
        <s v="13 Aug 2025"/>
        <s v="09 Feb 2024"/>
        <s v="15-06-2025"/>
        <s v="22-11-2024"/>
        <s v="07/22/2024"/>
        <s v="2025-01-31"/>
        <s v="29-05-2024"/>
        <s v="2024-10-25"/>
        <s v="29-07-2025"/>
        <s v="2024-06-17"/>
        <s v="12/11/2024"/>
        <s v="10-10-2024"/>
        <s v="03/12/2024"/>
        <s v="2025-10-10"/>
        <s v="07/08/2024"/>
        <s v="06/22/2024"/>
        <s v="18 Jan 2024"/>
        <s v="19-07-2024"/>
        <s v="12-08-2024"/>
        <s v="30 Jan 2025"/>
        <s v="2024-04-06"/>
        <s v="05/11/2025"/>
        <s v="24 Apr 2024"/>
        <s v="26-10-2024"/>
        <s v="31 Mar 2025"/>
        <s v="30 May 2025"/>
        <s v="01-07-2025"/>
        <s v="2025-01-05"/>
        <s v="2024-02-07"/>
        <s v="2024-09-01"/>
        <s v="20-07-2024"/>
        <s v="07/13/2024"/>
        <s v="16 Apr 2024"/>
        <s v="30 Oct 2024"/>
        <s v="2024-01-25"/>
        <s v="2024-12-23"/>
        <s v="22 Apr 2024"/>
        <s v="08/28/2025"/>
        <s v="03 Feb 2025"/>
        <s v="11/10/2024"/>
        <s v="09 Apr 2024"/>
        <s v="2025-08-22"/>
        <s v="04/16/2025"/>
        <s v="2024-02-11"/>
        <s v="29-03-2025"/>
        <s v="02/27/2025"/>
        <s v="22-08-2025"/>
        <s v="03 Nov 2024"/>
        <s v="07/08/2025"/>
        <s v="07/16/2025"/>
        <s v="2025-09-27"/>
        <s v="2024-08-10"/>
        <s v="2025-03-16"/>
        <s v="2024-08-03"/>
        <s v="01 Oct 2024"/>
        <s v="2024-07-30"/>
        <s v="01 Jul 2024"/>
        <s v="02-08-2024"/>
        <s v="03/24/2024"/>
        <s v="05 Sep 2024"/>
        <s v="08/24/2025"/>
        <s v="02-03-2025"/>
        <s v="23 Jan 2025"/>
        <s v="09/06/2024"/>
        <s v="05-09-2025"/>
        <s v="05 Jun 2024"/>
        <s v="08 Aug 2025"/>
        <s v="2024-01-26"/>
        <s v="11-01-2025"/>
        <s v="12 Sep 2025"/>
        <s v="12 Jul 2025"/>
        <s v="05/02/2025"/>
        <s v="2025-02-01"/>
        <s v="06/24/2024"/>
        <s v="20-02-2024"/>
        <s v="29 Oct 2024"/>
        <s v="15 Aug 2024"/>
        <s v="23-08-2025"/>
        <s v="10/18/2024"/>
        <s v="06/27/2025"/>
        <s v="10 Jan 2024"/>
        <s v="12-02-2024"/>
        <s v="2024-09-25"/>
        <s v="2024-12-27"/>
        <s v="2025-02-15"/>
        <s v="2024-02-15"/>
        <s v="06/10/2024"/>
        <s v="12 Jun 2024"/>
        <s v="08/22/2025"/>
        <s v="11/30/2024"/>
        <s v="05/24/2024"/>
        <s v="2025-07-17"/>
        <s v="24-09-2025"/>
        <s v="01/30/2025"/>
        <s v="13 Dec 2024"/>
        <s v="2024-07-19"/>
        <s v="2024-01-27"/>
        <s v="09/29/2025"/>
        <s v="04 Nov 2024"/>
        <s v="2024-12-13"/>
        <s v="07/14/2025"/>
        <s v="2025-08-24"/>
        <s v="09-02-2025"/>
        <s v="01/09/2025"/>
        <s v="2024-01-20"/>
        <s v="03/02/2025"/>
        <s v="31-05-2024"/>
        <s v="03/23/2024"/>
        <s v="30 Mar 2024"/>
        <s v="07-06-2024"/>
        <s v="11-04-2025"/>
        <s v="30 Jul 2025"/>
        <s v="23-12-2024"/>
        <s v="09 Feb 2025"/>
        <s v="30-01-2024"/>
        <s v="04-03-2024"/>
        <s v="27 Jun 2024"/>
        <s v="14 Jun 2024"/>
        <s v="23 Sep 2025"/>
        <s v="12 Feb 2024"/>
        <s v="01/26/2025"/>
        <s v="27-03-2025"/>
        <s v="10/22/2024"/>
        <s v="2024-09-09"/>
        <s v="2025-01-30"/>
        <s v="08-10-2025"/>
        <s v="2025-07-24"/>
        <s v="2024-03-09"/>
        <s v="09/21/2025"/>
        <s v="09 Sep 2025"/>
        <s v="11/22/2024"/>
        <s v="20-02-2025"/>
        <s v="2025-08-18"/>
        <s v="01/20/2025"/>
        <s v="2025-09-13"/>
        <s v="02-08-2025"/>
        <s v="02-05-2024"/>
        <s v="28 Sep 2025"/>
        <s v="18-03-2025"/>
        <s v="01-06-2024"/>
        <s v="30-09-2024"/>
        <s v="2024-03-15"/>
        <s v="2024-08-26"/>
        <s v="09/09/2025"/>
        <s v="16 Oct 2024"/>
        <s v="2025-06-24"/>
        <s v="2024-04-02"/>
        <s v="2025-05-01"/>
        <s v="2025-05-21"/>
        <s v="2025-05-06"/>
        <s v="20-04-2025"/>
        <s v="19-10-2024"/>
        <s v="2024-12-09"/>
        <s v="2024-06-23"/>
        <s v="2025-01-28"/>
        <s v="22 Jul 2025"/>
        <s v="22-01-2024"/>
        <s v="05-06-2024"/>
        <s v="27-06-2025"/>
        <s v="26-07-2025"/>
        <s v="2025-03-28"/>
        <s v="28 Mar 2024"/>
        <s v="20-07-2025"/>
        <s v="21-04-2025"/>
        <s v="05/18/2025"/>
        <s v="10 Jul 2024"/>
        <s v="06/29/2025"/>
        <s v="08/13/2025"/>
        <s v="03/15/2024"/>
        <s v="05/16/2024"/>
        <s v="09/21/2024"/>
        <s v="15 May 2024"/>
        <s v="17 Mar 2024"/>
        <s v="01-03-2024"/>
        <s v="01-04-2025"/>
        <s v="26 Feb 2025"/>
        <s v="2024-06-18"/>
        <s v="09/03/2024"/>
        <s v="12-01-2025"/>
        <s v="04/29/2025"/>
        <s v="19-02-2025"/>
        <s v="10/02/2025"/>
        <s v="02 Sep 2024"/>
        <s v="10-04-2025"/>
        <s v="2024-07-05"/>
        <s v="24-04-2024"/>
        <s v="2025-06-28"/>
        <s v="28-05-2024"/>
        <s v="2024-05-02"/>
        <s v="2025-06-04"/>
        <s v="14-10-2024"/>
        <s v="09/02/2024"/>
        <s v="11/02/2024"/>
        <s v="10/14/2024"/>
        <s v="2024-08-27"/>
        <s v="01/12/2024"/>
        <s v="21-09-2024"/>
        <s v="17 Dec 2024"/>
        <s v="07/06/2025"/>
        <s v="07 Feb 2025"/>
        <s v="08/23/2024"/>
        <s v="04 May 2024"/>
        <s v="07/25/2024"/>
        <s v="06/02/2024"/>
        <s v="08/01/2025"/>
        <s v="02/21/2024"/>
        <s v="2025-04-06"/>
        <s v="25-06-2025"/>
        <s v="2024-09-12"/>
        <s v="01/01/2025"/>
        <s v="2025-02-04"/>
        <s v="2024-11-05"/>
        <s v="2025-08-09"/>
        <s v="2024-12-30"/>
        <s v="06/21/2024"/>
        <s v="2025-09-23"/>
        <s v="06/18/2025"/>
        <s v="2025-05-26"/>
        <s v="06 Aug 2025"/>
        <s v="16-05-2024"/>
        <s v="14 Nov 2024"/>
        <s v="2025-05-03"/>
        <s v="28 May 2025"/>
        <s v="08/17/2025"/>
        <s v="02/10/2025"/>
        <s v="21 Dec 2024"/>
        <s v="08/18/2024"/>
        <s v="02/13/2025"/>
        <s v="07-04-2024"/>
        <s v="04 Jun 2025"/>
        <s v="07-03-2025"/>
        <s v="04/09/2024"/>
        <s v="12/23/2024"/>
        <s v="25-07-2025"/>
        <s v="2024-10-01"/>
        <s v="03/13/2025"/>
        <s v="12/08/2024"/>
        <s v="2025-08-15"/>
        <s v="28-02-2024"/>
        <s v="09/05/2024"/>
        <s v="2024-06-24"/>
        <s v="19-06-2025"/>
        <s v="22 Aug 2025"/>
        <s v="04/05/2024"/>
        <s v="28 Feb 2025"/>
        <s v="03/07/2024"/>
        <s v="16 Jul 2025"/>
        <s v="25 Jun 2025"/>
        <s v="24 May 2025"/>
        <s v="2024-10-29"/>
        <s v="23-01-2025"/>
        <s v="06-11-2024"/>
        <s v="15-04-2024"/>
        <s v="04-06-2025"/>
        <s v="23 Jun 2024"/>
        <s v="03/06/2024"/>
        <s v="01 May 2024"/>
        <s v="20 Feb 2025"/>
        <s v="2025-07-12"/>
        <s v="2025-06-13"/>
        <s v="07/20/2024"/>
        <s v="04-07-2024"/>
        <s v="27-04-2024"/>
        <s v="07/31/2024"/>
        <s v="2025-05-30"/>
        <s v="2024-07-02"/>
        <s v="16-02-2024"/>
        <s v="29-08-2025"/>
        <s v="25 Apr 2024"/>
        <s v="21 Aug 2024"/>
        <s v="12/04/2024"/>
        <s v="06/23/2024"/>
        <s v="2024-11-12"/>
        <s v="25-02-2024"/>
        <s v="31 Jul 2025"/>
        <s v="09/16/2025"/>
        <s v="2025-07-22"/>
        <s v="2024-07-24"/>
        <s v="2025-05-29"/>
        <s v="12 May 2025"/>
        <s v="04-12-2024"/>
        <s v="27 May 2025"/>
        <s v="22 Jun 2025"/>
        <s v="12 Sep 2024"/>
        <s v="06/16/2025"/>
        <s v="17-03-2024"/>
        <s v="12 Aug 2024"/>
        <s v="08-12-2024"/>
        <s v="21 Jan 2024"/>
        <s v="08 Sep 2025"/>
        <s v="24-07-2025"/>
        <s v="10/03/2025"/>
        <s v="11-03-2024"/>
        <s v="2024-09-14"/>
        <s v="01-12-2024"/>
        <s v="27-09-2025"/>
        <s v="07-01-2024"/>
        <s v="23-05-2025"/>
        <s v="15 Aug 2025"/>
        <s v="21-02-2025"/>
        <s v="12-05-2024"/>
        <s v="27 Jun 2025"/>
        <s v="2025-01-21"/>
        <s v="08/09/2025"/>
        <s v="17 Jun 2024"/>
        <s v="23 Aug 2024"/>
        <s v="07/07/2025"/>
        <s v="03/21/2025"/>
        <s v="15-06-2024"/>
        <s v="2025-01-16"/>
        <s v="06-07-2025"/>
        <s v="08/15/2024"/>
        <s v="2025-08-16"/>
        <s v="2025-04-13"/>
        <s v="2025-02-27"/>
        <s v="31-12-2024"/>
        <s v="29-12-2024"/>
        <s v="22-05-2025"/>
        <s v="09/19/2024"/>
        <s v="07 Apr 2024"/>
        <s v="2025-09-19"/>
        <s v="04 Mar 2025"/>
        <s v="28 Jun 2025"/>
        <s v="15-03-2024"/>
        <s v="02/12/2025"/>
        <s v="10-08-2025"/>
        <s v="2024-05-13"/>
        <s v="05 Apr 2024"/>
        <s v="06 Nov 2024"/>
        <s v="14-02-2025"/>
        <s v="02/19/2024"/>
        <s v="2024-08-23"/>
        <s v="03-04-2024"/>
        <s v="06/06/2024"/>
        <s v="2025-04-14"/>
        <s v="09 Jun 2025"/>
        <s v="19 Jul 2024"/>
        <s v="04/24/2025"/>
        <s v="06-06-2025"/>
        <s v="09 Mar 2025"/>
        <s v="22 Mar 2024"/>
        <s v="09/30/2024"/>
        <s v="27 Jan 2024"/>
        <s v="09/23/2024"/>
        <s v="25 Feb 2025"/>
        <s v="12 May 2024"/>
        <s v="13-02-2025"/>
        <s v="2024-04-12"/>
        <s v="2025-08-23"/>
        <s v="2024-01-22"/>
        <s v="13-08-2025"/>
        <s v="2024-08-29"/>
        <s v="01/25/2024"/>
        <s v="2025-01-08"/>
        <s v="01/29/2025"/>
        <s v="11/09/2024"/>
        <s v="26-09-2025"/>
        <s v="06/14/2025"/>
        <s v="09/03/2025"/>
        <s v="2024-02-20"/>
        <s v="06/26/2024"/>
        <s v="26-09-2024"/>
        <s v="30-06-2024"/>
        <s v="2025-04-22"/>
        <s v="2025-03-15"/>
        <s v="01 Mar 2025"/>
        <s v="30 Aug 2024"/>
        <s v="10 Feb 2024"/>
        <s v="08/29/2024"/>
        <s v="04/19/2024"/>
        <s v="04/11/2025"/>
        <s v="2025-04-12"/>
        <s v="16 Jun 2024"/>
        <s v="15-02-2024"/>
        <s v="07 May 2025"/>
        <s v="30-06-2025"/>
        <s v="04/02/2024"/>
        <s v="03-10-2024"/>
        <s v="12 Jan 2025"/>
        <s v="04-04-2024"/>
        <s v="12 Aug 2025"/>
        <s v="05/09/2024"/>
        <s v="18-09-2025"/>
        <s v="01/15/2024"/>
        <s v="06-06-2024"/>
        <s v="06/12/2025"/>
        <s v="24-03-2024"/>
        <s v="10-05-2024"/>
        <s v="05/03/2025"/>
        <s v="2025-03-23"/>
        <s v="18 Jul 2024"/>
        <s v="05/04/2024"/>
        <s v="2024-02-10"/>
        <s v="03/28/2024"/>
        <s v="30 Sep 2025"/>
        <s v="05/25/2025"/>
        <s v="07-02-2025"/>
        <s v="11-03-2025"/>
        <s v="29-01-2024"/>
        <s v="04-01-2024"/>
        <s v="20-08-2024"/>
        <s v="09 Jan 2025"/>
        <s v="2024-01-19"/>
        <s v="28-07-2024"/>
        <s v="11-02-2024"/>
        <s v="02-03-2024"/>
        <s v="13-11-2024"/>
        <s v="03-06-2024"/>
        <s v="03/01/2025"/>
        <s v="05/07/2024"/>
        <s v="08/23/2025"/>
        <s v="06/09/2024"/>
        <s v="23 Feb 2024"/>
        <s v="2025-06-05"/>
        <s v="25 Dec 2024"/>
        <s v="2024-12-28"/>
        <s v="2025-01-22"/>
        <s v="22-06-2025"/>
        <s v="10 Jun 2025"/>
        <s v="14 Oct 2024"/>
        <s v="2024-09-16"/>
        <s v="2025-04-29"/>
        <s v="28-06-2025"/>
        <s v="13 Feb 2025"/>
        <s v="2024-11-14"/>
        <s v="2025-07-04"/>
        <s v="29 Aug 2024"/>
        <s v="2025-09-07"/>
        <s v="2024-12-22"/>
        <s v="05/17/2024"/>
        <s v="11 Aug 2024"/>
        <s v="04/01/2024"/>
        <s v="2024-09-28"/>
        <s v="2025-02-12"/>
        <s v="2024-11-09"/>
        <s v="15-12-2024"/>
        <s v="2025-04-15"/>
        <s v="31 Mar 2024"/>
        <s v="2025-05-12"/>
        <s v="10/23/2024"/>
        <s v="18 Nov 2024"/>
        <s v="09/28/2024"/>
        <s v="2025-05-25"/>
        <s v="30-04-2025"/>
        <s v="03-07-2025"/>
        <s v="2024-07-16"/>
        <s v="2025-03-25"/>
        <s v="02/28/2025"/>
        <s v="02-04-2024"/>
        <s v="30 Nov 2024"/>
        <s v="10/17/2024"/>
        <s v="2025-07-18"/>
        <s v="01-10-2025"/>
        <s v="2024-10-07"/>
        <s v="2024-02-06"/>
        <s v="05/30/2025"/>
        <s v="01 Aug 2024"/>
        <s v="2025-10-05"/>
        <s v="25 Aug 2024"/>
        <s v="04/27/2025"/>
        <s v="19-05-2024"/>
        <s v="2025-04-10"/>
        <s v="25-09-2024"/>
        <s v="07/04/2025"/>
        <s v="26-02-2024"/>
        <s v="08-07-2025"/>
        <s v="09/17/2024"/>
        <s v="2024-07-14"/>
        <s v="2025-01-29"/>
        <s v="05/27/2024"/>
        <s v="2025-08-14"/>
        <s v="16 May 2024"/>
        <s v="29 May 2024"/>
        <s v="10/11/2025"/>
        <s v="27-02-2024"/>
        <s v="04/25/2025"/>
        <s v="2024-10-12"/>
        <s v="04-02-2025"/>
        <s v="2024-05-08"/>
        <s v="2025-09-04"/>
        <s v="2024-01-16"/>
        <s v="2025-07-14"/>
        <s v="10 May 2024"/>
        <s v="05/06/2024"/>
        <s v="07 Aug 2025"/>
        <s v="06 Feb 2024"/>
        <s v="09/08/2025"/>
        <s v="10 Feb 2025"/>
        <s v="01/02/2024"/>
        <s v="09/22/2025"/>
        <s v="20 Feb 2024"/>
        <s v="11 Mar 2025"/>
        <s v="17-02-2024"/>
        <s v="2024-02-21"/>
        <s v="19-06-2024"/>
        <s v="06-03-2025"/>
        <s v="2024-10-15"/>
        <s v="28 Feb 2024"/>
        <s v="08/04/2024"/>
        <s v="12-04-2025"/>
        <s v="23-07-2025"/>
        <s v="2025-03-11"/>
        <s v="06 Dec 2024"/>
        <s v="2024-02-22"/>
        <s v="09/27/2025"/>
        <s v="2024-09-19"/>
        <s v="02/11/2025"/>
        <s v="10 Apr 2024"/>
        <s v="08 Jul 2025"/>
        <s v="08/17/2024"/>
        <s v="19-08-2024"/>
        <s v="05-03-2025"/>
        <s v="26 Jan 2024"/>
        <s v="23-10-2024"/>
        <s v="01/03/2025"/>
        <s v="05-02-2025"/>
        <s v="2025-07-09"/>
        <s v="22 Feb 2025"/>
        <s v="16-02-2025"/>
        <s v="21 Jun 2024"/>
        <s v="20 May 2024"/>
        <s v="06 Apr 2025"/>
        <s v="2024-10-05"/>
        <s v="2024-10-04"/>
        <s v="16 Aug 2024"/>
        <s v="09/29/2024"/>
        <s v="2024-07-23"/>
        <s v="18-08-2024"/>
        <s v="29-01-2025"/>
        <s v="08 Aug 2024"/>
        <s v="01/30/2024"/>
        <s v="12/15/2024"/>
        <s v="09/10/2025"/>
        <s v="2024-04-09"/>
        <s v="15-04-2025"/>
        <s v="04/18/2025"/>
        <s v="01/11/2025"/>
        <s v="02 Oct 2024"/>
        <s v="26-05-2024"/>
        <s v="12/27/2024"/>
        <s v="14-01-2025"/>
        <s v="2025-04-09"/>
        <s v="05-02-2024"/>
        <s v="2024-01-04"/>
        <s v="09/18/2024"/>
        <s v="21-04-2024"/>
        <s v="11 Aug 2025"/>
        <s v="04/13/2024"/>
        <s v="03/17/2025"/>
        <s v="04-04-2025"/>
        <s v="10/12/2025"/>
        <s v="08/26/2025"/>
        <s v="07-05-2024"/>
        <s v="08/07/2025"/>
        <s v="2025-06-09"/>
        <s v="17-05-2024"/>
        <s v="2024-01-14"/>
        <s v="05/02/2024"/>
        <s v="07 Dec 2024"/>
        <s v="2025-01-13"/>
        <s v="20-05-2025"/>
        <s v="11/21/2024"/>
        <s v="2024-03-24"/>
        <s v="02/02/2025"/>
        <s v="2024-03-22"/>
        <s v="2024-09-04"/>
        <s v="2025-02-13"/>
        <s v="2024-05-18"/>
        <s v="07-06-2025"/>
        <s v="09/11/2025"/>
        <s v="2024-06-22"/>
        <s v="24-11-2024"/>
        <s v="16-08-2025"/>
        <s v="07/04/2024"/>
        <s v="05 Feb 2025"/>
        <s v="2025-07-20"/>
        <s v="2025-07-21"/>
        <s v="01 Oct 2025"/>
        <s v="25-03-2024"/>
        <s v="08 Oct 2025"/>
        <s v="05-10-2024"/>
        <s v="09/11/2024"/>
        <s v="05-10-2025"/>
        <s v="03-04-2025"/>
        <s v="01-08-2025"/>
        <s v="2024-07-01"/>
        <s v="22 Sep 2025"/>
        <s v="14-09-2024"/>
        <s v="2024-06-11"/>
        <s v="18-09-2024"/>
        <s v="30-04-2024"/>
        <s v="2025-02-02"/>
        <s v="19 Oct 2024"/>
        <s v="2024-03-13"/>
        <s v="08 Sep 2024"/>
        <s v="24-06-2024"/>
        <s v="24-06-2025"/>
        <s v="03/20/2025"/>
        <s v="07/12/2024"/>
        <s v="02-02-2025"/>
        <s v="06/06/2025"/>
        <s v="22 Mar 2025"/>
        <s v="26 Aug 2025"/>
        <s v="12-10-2025"/>
        <s v="06 Sep 2024"/>
        <s v="10/06/2025"/>
        <s v="02/10/2024"/>
        <s v="10/05/2025"/>
        <s v="2024-01-17"/>
        <s v="13 Oct 2024"/>
        <s v="17-05-2025"/>
        <s v="06/19/2025"/>
        <s v="2024-03-17"/>
        <s v="2024-11-28"/>
        <s v="21-06-2024"/>
        <s v="24-08-2024"/>
        <s v="2024-08-11"/>
        <s v="03 Dec 2024"/>
        <s v="02 Apr 2024"/>
        <s v="04/23/2025"/>
        <s v="10/15/2024"/>
        <s v="2025-08-17"/>
        <s v="24 Oct 2024"/>
        <s v="2025-01-04"/>
        <s v="2024-05-01"/>
        <s v="30-05-2024"/>
        <s v="21 Mar 2024"/>
        <s v="06/02/2025"/>
        <s v="18-07-2025"/>
        <s v="06/04/2025"/>
        <s v="10/27/2024"/>
        <s v="01 Aug 2025"/>
        <s v="02 May 2024"/>
        <s v="28-08-2024"/>
        <s v="27 Aug 2025"/>
        <s v="01/01/2024"/>
        <s v="23 Aug 2025"/>
        <s v="29-06-2025"/>
        <s v="17 Sep 2024"/>
        <s v="03 May 2024"/>
        <s v="2025-04-02"/>
        <s v="05/11/2024"/>
        <s v="02/15/2024"/>
        <s v="2024-07-12"/>
        <s v="2025-02-21"/>
        <s v="07-08-2025"/>
        <s v="14 Apr 2024"/>
        <s v="08-06-2025"/>
        <s v="04-02-2024"/>
        <s v="07/24/2024"/>
        <s v="04 Aug 2024"/>
        <s v="2024-02-02"/>
        <s v="2025-03-14"/>
        <s v="07 Jun 2024"/>
        <s v="10/04/2025"/>
        <s v="23-05-2024"/>
        <s v="07 Mar 2025"/>
        <s v="31 May 2024"/>
        <s v="2025-06-22"/>
        <s v="30-07-2024"/>
        <s v="18 Apr 2024"/>
        <s v="2025-07-11"/>
        <s v="10 Oct 2024"/>
        <s v="01 Mar 2024"/>
        <s v="2025-10-08"/>
        <s v="16 Feb 2025"/>
        <s v="09 Dec 2024"/>
        <s v="10-09-2025"/>
        <s v="09-11-2024"/>
        <s v="2025-08-31"/>
        <s v="04/03/2024"/>
        <s v="12 Dec 2024"/>
        <s v="2024-06-15"/>
        <s v="04/06/2025"/>
        <s v="11/27/2024"/>
        <s v="05 Apr 2025"/>
        <s v="29 Sep 2024"/>
        <s v="06-02-2025"/>
        <s v="2024-07-03"/>
        <s v="10/12/2024"/>
        <s v="2025-01-06"/>
        <s v="21-03-2025"/>
        <s v="16 Apr 2025"/>
        <s v="2025-08-10"/>
        <s v="24 Nov 2024"/>
        <s v="10/10/2025"/>
        <s v="02/26/2024"/>
        <s v="15 Jul 2025"/>
        <s v="04/03/2025"/>
        <s v="26 May 2025"/>
        <s v="2024-06-04"/>
        <s v="18-10-2024"/>
        <s v="09/26/2025"/>
        <s v="2024-12-15"/>
        <s v="09/20/2024"/>
        <s v="2025-02-06"/>
        <s v="31-03-2024"/>
        <s v="18 Jul 2025"/>
        <s v="20-01-2025"/>
        <s v="23-02-2024"/>
        <s v="2024-04-14"/>
        <s v="2025-05-20"/>
        <s v="27-05-2025"/>
        <s v="2024-03-06"/>
        <s v="2024-03-26"/>
        <s v="01-04-2024"/>
        <s v="2025-05-16"/>
        <s v="03/25/2025"/>
        <s v="25-07-2024"/>
        <s v="2024-06-12"/>
        <s v="04 Jun 2024"/>
        <s v="02 Feb 2024"/>
        <s v="2025-03-08"/>
        <s v="2025-03-26"/>
        <s v="09/06/2025"/>
        <s v="02 Sep 2025"/>
        <s v="02/26/2025"/>
        <s v="21 Nov 2024"/>
        <s v="03/06/2025"/>
        <s v="06 Jun 2025"/>
        <s v="02/20/2024"/>
        <s v="11/01/2024"/>
        <s v="01 Feb 2025"/>
        <s v="10 Aug 2024"/>
        <s v="11/18/2024"/>
        <s v="26-08-2025"/>
        <s v="2025-08-27"/>
        <s v="08-03-2024"/>
        <s v="01 Dec 2024"/>
        <s v="02 Feb 2025"/>
        <s v="28 Apr 2025"/>
        <s v="18-01-2025"/>
        <s v="2024-01-05"/>
        <s v="26-04-2025"/>
        <s v="06-08-2025"/>
        <s v="10 Mar 2025"/>
        <s v="15-05-2024"/>
        <s v="08 Oct 2024"/>
        <s v="04/12/2025"/>
        <s v="06 Jun 2024"/>
        <s v="22 Feb 2024"/>
        <s v="05 Nov 2024"/>
        <s v="12/24/2024"/>
        <s v="2024-06-02"/>
        <m/>
      </sharedItems>
    </cacheField>
    <cacheField name="order date clean" numFmtId="0">
      <sharedItems containsString="0" containsBlank="1" containsNonDate="0" containsDate="1" minDate="2024-01-01T00:00:00" maxDate="2025-10-12T00:00:00" count="499">
        <d v="2024-07-21T00:00:00"/>
        <d v="2024-08-31T00:00:00"/>
        <d v="2024-06-08T00:00:00"/>
        <d v="2024-11-28T00:00:00"/>
        <d v="2025-08-29T00:00:00"/>
        <d v="2024-05-24T00:00:00"/>
        <d v="2025-04-10T00:00:00"/>
        <d v="2025-02-23T00:00:00"/>
        <d v="2024-11-05T00:00:00"/>
        <d v="2025-09-07T00:00:00"/>
        <d v="2025-05-20T00:00:00"/>
        <d v="2024-07-22T00:00:00"/>
        <d v="2024-12-20T00:00:00"/>
        <d v="2025-10-12T00:00:00"/>
        <d v="2024-12-27T00:00:00"/>
        <d v="2024-07-09T00:00:00"/>
        <d v="2024-05-08T00:00:00"/>
        <d v="2024-01-07T00:00:00"/>
        <d v="2025-07-15T00:00:00"/>
        <d v="2024-07-27T00:00:00"/>
        <d v="2025-01-21T00:00:00"/>
        <d v="2025-01-24T00:00:00"/>
        <d v="2025-01-19T00:00:00"/>
        <d v="2024-03-04T00:00:00"/>
        <d v="2024-10-11T00:00:00"/>
        <d v="2024-11-23T00:00:00"/>
        <d v="2025-09-29T00:00:00"/>
        <d v="2025-08-13T00:00:00"/>
        <d v="2024-02-09T00:00:00"/>
        <d v="2025-06-15T00:00:00"/>
        <d v="2024-11-22T00:00:00"/>
        <d v="2025-01-31T00:00:00"/>
        <d v="2024-05-29T00:00:00"/>
        <d v="2024-10-25T00:00:00"/>
        <d v="2025-07-29T00:00:00"/>
        <d v="2024-06-17T00:00:00"/>
        <d v="2024-12-11T00:00:00"/>
        <d v="2024-10-10T00:00:00"/>
        <d v="2024-03-12T00:00:00"/>
        <d v="2025-10-10T00:00:00"/>
        <d v="2024-07-08T00:00:00"/>
        <d v="2024-06-22T00:00:00"/>
        <d v="2024-01-18T00:00:00"/>
        <d v="2024-07-19T00:00:00"/>
        <d v="2024-08-12T00:00:00"/>
        <d v="2025-01-30T00:00:00"/>
        <d v="2024-04-06T00:00:00"/>
        <d v="2025-05-11T00:00:00"/>
        <d v="2024-04-24T00:00:00"/>
        <d v="2024-10-26T00:00:00"/>
        <d v="2025-03-31T00:00:00"/>
        <d v="2025-05-30T00:00:00"/>
        <d v="2025-07-01T00:00:00"/>
        <d v="2025-01-05T00:00:00"/>
        <d v="2024-02-07T00:00:00"/>
        <d v="2024-09-01T00:00:00"/>
        <d v="2024-07-20T00:00:00"/>
        <d v="2024-07-13T00:00:00"/>
        <d v="2024-04-16T00:00:00"/>
        <d v="2024-10-30T00:00:00"/>
        <d v="2024-01-25T00:00:00"/>
        <d v="2024-12-23T00:00:00"/>
        <d v="2024-04-22T00:00:00"/>
        <d v="2025-08-28T00:00:00"/>
        <d v="2025-02-03T00:00:00"/>
        <d v="2024-11-10T00:00:00"/>
        <d v="2024-04-09T00:00:00"/>
        <d v="2025-08-22T00:00:00"/>
        <d v="2025-04-16T00:00:00"/>
        <d v="2024-02-11T00:00:00"/>
        <d v="2025-03-29T00:00:00"/>
        <d v="2025-02-27T00:00:00"/>
        <d v="2024-11-03T00:00:00"/>
        <d v="2025-07-08T00:00:00"/>
        <d v="2025-07-16T00:00:00"/>
        <d v="2025-09-27T00:00:00"/>
        <d v="2024-08-10T00:00:00"/>
        <d v="2025-03-16T00:00:00"/>
        <d v="2024-08-03T00:00:00"/>
        <d v="2024-10-01T00:00:00"/>
        <d v="2024-07-30T00:00:00"/>
        <d v="2024-07-01T00:00:00"/>
        <d v="2024-08-02T00:00:00"/>
        <d v="2024-03-24T00:00:00"/>
        <d v="2024-09-05T00:00:00"/>
        <d v="2025-08-24T00:00:00"/>
        <d v="2025-03-02T00:00:00"/>
        <d v="2025-01-23T00:00:00"/>
        <d v="2024-09-06T00:00:00"/>
        <d v="2025-09-05T00:00:00"/>
        <d v="2024-06-05T00:00:00"/>
        <d v="2025-08-08T00:00:00"/>
        <d v="2024-01-26T00:00:00"/>
        <d v="2025-01-11T00:00:00"/>
        <d v="2025-09-12T00:00:00"/>
        <d v="2025-07-12T00:00:00"/>
        <d v="2025-05-02T00:00:00"/>
        <d v="2025-02-01T00:00:00"/>
        <d v="2024-06-24T00:00:00"/>
        <d v="2024-02-20T00:00:00"/>
        <d v="2024-10-29T00:00:00"/>
        <d v="2024-08-15T00:00:00"/>
        <d v="2025-08-23T00:00:00"/>
        <d v="2024-10-18T00:00:00"/>
        <d v="2025-06-27T00:00:00"/>
        <d v="2024-01-10T00:00:00"/>
        <d v="2024-02-12T00:00:00"/>
        <d v="2024-09-25T00:00:00"/>
        <d v="2025-02-15T00:00:00"/>
        <d v="2024-02-15T00:00:00"/>
        <d v="2024-06-10T00:00:00"/>
        <d v="2024-06-12T00:00:00"/>
        <d v="2024-11-30T00:00:00"/>
        <d v="2025-07-17T00:00:00"/>
        <d v="2025-09-24T00:00:00"/>
        <d v="2024-12-13T00:00:00"/>
        <d v="2024-01-27T00:00:00"/>
        <d v="2024-11-04T00:00:00"/>
        <d v="2025-07-14T00:00:00"/>
        <d v="2025-02-09T00:00:00"/>
        <d v="2025-01-09T00:00:00"/>
        <d v="2024-01-20T00:00:00"/>
        <d v="2024-05-31T00:00:00"/>
        <d v="2024-03-23T00:00:00"/>
        <d v="2024-03-30T00:00:00"/>
        <d v="2024-06-07T00:00:00"/>
        <d v="2025-04-11T00:00:00"/>
        <d v="2025-07-30T00:00:00"/>
        <d v="2024-01-30T00:00:00"/>
        <d v="2024-06-27T00:00:00"/>
        <d v="2024-06-14T00:00:00"/>
        <d v="2025-09-23T00:00:00"/>
        <d v="2025-01-26T00:00:00"/>
        <d v="2025-03-27T00:00:00"/>
        <d v="2024-10-22T00:00:00"/>
        <d v="2024-09-09T00:00:00"/>
        <d v="2025-10-08T00:00:00"/>
        <d v="2025-07-24T00:00:00"/>
        <d v="2024-03-09T00:00:00"/>
        <d v="2025-09-21T00:00:00"/>
        <d v="2025-09-09T00:00:00"/>
        <d v="2025-02-20T00:00:00"/>
        <d v="2025-08-18T00:00:00"/>
        <d v="2025-01-20T00:00:00"/>
        <d v="2025-09-13T00:00:00"/>
        <d v="2025-08-02T00:00:00"/>
        <d v="2024-05-02T00:00:00"/>
        <d v="2025-09-28T00:00:00"/>
        <d v="2025-03-18T00:00:00"/>
        <d v="2024-06-01T00:00:00"/>
        <d v="2024-09-30T00:00:00"/>
        <d v="2024-03-15T00:00:00"/>
        <d v="2024-08-26T00:00:00"/>
        <d v="2024-10-16T00:00:00"/>
        <d v="2025-06-24T00:00:00"/>
        <d v="2024-04-02T00:00:00"/>
        <d v="2025-05-01T00:00:00"/>
        <d v="2025-05-21T00:00:00"/>
        <d v="2025-05-06T00:00:00"/>
        <d v="2025-04-20T00:00:00"/>
        <d v="2024-10-19T00:00:00"/>
        <d v="2024-12-09T00:00:00"/>
        <d v="2024-06-23T00:00:00"/>
        <d v="2025-01-28T00:00:00"/>
        <d v="2025-07-22T00:00:00"/>
        <d v="2024-01-22T00:00:00"/>
        <d v="2025-07-26T00:00:00"/>
        <d v="2025-03-28T00:00:00"/>
        <d v="2024-03-28T00:00:00"/>
        <d v="2025-07-20T00:00:00"/>
        <d v="2025-04-21T00:00:00"/>
        <d v="2025-05-18T00:00:00"/>
        <d v="2024-07-10T00:00:00"/>
        <d v="2025-06-29T00:00:00"/>
        <d v="2024-05-16T00:00:00"/>
        <d v="2024-09-21T00:00:00"/>
        <d v="2024-05-15T00:00:00"/>
        <d v="2024-03-17T00:00:00"/>
        <d v="2024-03-01T00:00:00"/>
        <d v="2025-04-01T00:00:00"/>
        <d v="2025-02-26T00:00:00"/>
        <d v="2024-06-18T00:00:00"/>
        <d v="2024-09-03T00:00:00"/>
        <d v="2025-01-12T00:00:00"/>
        <d v="2025-04-29T00:00:00"/>
        <d v="2025-02-19T00:00:00"/>
        <d v="2025-10-02T00:00:00"/>
        <d v="2024-09-02T00:00:00"/>
        <d v="2024-07-05T00:00:00"/>
        <d v="2025-06-28T00:00:00"/>
        <d v="2024-05-28T00:00:00"/>
        <d v="2025-06-04T00:00:00"/>
        <d v="2024-10-14T00:00:00"/>
        <d v="2024-11-02T00:00:00"/>
        <d v="2024-08-27T00:00:00"/>
        <d v="2024-01-12T00:00:00"/>
        <d v="2024-12-17T00:00:00"/>
        <d v="2025-07-06T00:00:00"/>
        <d v="2025-02-07T00:00:00"/>
        <d v="2024-08-23T00:00:00"/>
        <d v="2024-05-04T00:00:00"/>
        <d v="2024-07-25T00:00:00"/>
        <d v="2024-06-02T00:00:00"/>
        <d v="2025-08-01T00:00:00"/>
        <d v="2024-02-21T00:00:00"/>
        <d v="2025-04-06T00:00:00"/>
        <d v="2025-06-25T00:00:00"/>
        <d v="2024-09-12T00:00:00"/>
        <d v="2025-01-01T00:00:00"/>
        <d v="2025-02-04T00:00:00"/>
        <d v="2025-08-09T00:00:00"/>
        <d v="2024-12-30T00:00:00"/>
        <d v="2024-06-21T00:00:00"/>
        <d v="2025-06-18T00:00:00"/>
        <d v="2025-05-26T00:00:00"/>
        <d v="2025-08-06T00:00:00"/>
        <d v="2024-11-14T00:00:00"/>
        <d v="2025-05-03T00:00:00"/>
        <d v="2025-05-28T00:00:00"/>
        <d v="2025-08-17T00:00:00"/>
        <d v="2025-02-10T00:00:00"/>
        <d v="2024-12-21T00:00:00"/>
        <d v="2024-08-18T00:00:00"/>
        <d v="2025-02-13T00:00:00"/>
        <d v="2024-04-07T00:00:00"/>
        <d v="2025-03-07T00:00:00"/>
        <d v="2025-07-25T00:00:00"/>
        <d v="2025-03-13T00:00:00"/>
        <d v="2024-12-08T00:00:00"/>
        <d v="2025-08-15T00:00:00"/>
        <d v="2024-02-28T00:00:00"/>
        <d v="2025-06-19T00:00:00"/>
        <d v="2024-04-05T00:00:00"/>
        <d v="2025-02-28T00:00:00"/>
        <d v="2024-03-07T00:00:00"/>
        <d v="2025-05-24T00:00:00"/>
        <d v="2024-11-06T00:00:00"/>
        <d v="2024-04-15T00:00:00"/>
        <d v="2024-03-06T00:00:00"/>
        <d v="2024-05-01T00:00:00"/>
        <d v="2025-06-13T00:00:00"/>
        <d v="2024-07-04T00:00:00"/>
        <d v="2024-04-27T00:00:00"/>
        <d v="2024-07-31T00:00:00"/>
        <d v="2024-07-02T00:00:00"/>
        <d v="2024-02-16T00:00:00"/>
        <d v="2024-04-25T00:00:00"/>
        <d v="2024-08-21T00:00:00"/>
        <d v="2024-12-04T00:00:00"/>
        <d v="2024-11-12T00:00:00"/>
        <d v="2024-02-25T00:00:00"/>
        <d v="2025-07-31T00:00:00"/>
        <d v="2025-09-16T00:00:00"/>
        <d v="2024-07-24T00:00:00"/>
        <d v="2025-05-29T00:00:00"/>
        <d v="2025-05-12T00:00:00"/>
        <d v="2025-05-27T00:00:00"/>
        <d v="2025-06-22T00:00:00"/>
        <d v="2025-06-16T00:00:00"/>
        <d v="2024-01-21T00:00:00"/>
        <d v="2025-09-08T00:00:00"/>
        <d v="2025-10-03T00:00:00"/>
        <d v="2024-03-11T00:00:00"/>
        <d v="2024-09-14T00:00:00"/>
        <d v="2024-12-01T00:00:00"/>
        <d v="2025-05-23T00:00:00"/>
        <d v="2025-02-21T00:00:00"/>
        <d v="2024-05-12T00:00:00"/>
        <d v="2025-07-07T00:00:00"/>
        <d v="2025-03-21T00:00:00"/>
        <d v="2024-06-15T00:00:00"/>
        <d v="2025-01-16T00:00:00"/>
        <d v="2025-08-16T00:00:00"/>
        <d v="2025-04-13T00:00:00"/>
        <d v="2024-12-31T00:00:00"/>
        <d v="2024-12-29T00:00:00"/>
        <d v="2025-05-22T00:00:00"/>
        <d v="2024-09-19T00:00:00"/>
        <d v="2025-09-19T00:00:00"/>
        <d v="2025-03-04T00:00:00"/>
        <d v="2025-02-12T00:00:00"/>
        <d v="2025-08-10T00:00:00"/>
        <d v="2024-05-13T00:00:00"/>
        <d v="2025-02-14T00:00:00"/>
        <d v="2024-02-19T00:00:00"/>
        <d v="2024-04-03T00:00:00"/>
        <d v="2024-06-06T00:00:00"/>
        <d v="2025-04-14T00:00:00"/>
        <d v="2025-06-09T00:00:00"/>
        <d v="2025-04-24T00:00:00"/>
        <d v="2025-06-06T00:00:00"/>
        <d v="2025-03-09T00:00:00"/>
        <d v="2024-03-22T00:00:00"/>
        <d v="2024-09-23T00:00:00"/>
        <d v="2025-02-25T00:00:00"/>
        <d v="2024-04-12T00:00:00"/>
        <d v="2024-08-29T00:00:00"/>
        <d v="2025-01-08T00:00:00"/>
        <d v="2025-01-29T00:00:00"/>
        <d v="2024-11-09T00:00:00"/>
        <d v="2025-09-26T00:00:00"/>
        <d v="2025-06-14T00:00:00"/>
        <d v="2025-09-03T00:00:00"/>
        <d v="2024-06-26T00:00:00"/>
        <d v="2024-09-26T00:00:00"/>
        <d v="2024-06-30T00:00:00"/>
        <d v="2025-04-22T00:00:00"/>
        <d v="2025-03-15T00:00:00"/>
        <d v="2025-03-01T00:00:00"/>
        <d v="2024-08-30T00:00:00"/>
        <d v="2024-02-10T00:00:00"/>
        <d v="2024-04-19T00:00:00"/>
        <d v="2025-04-12T00:00:00"/>
        <d v="2024-06-16T00:00:00"/>
        <d v="2025-05-07T00:00:00"/>
        <d v="2025-06-30T00:00:00"/>
        <d v="2024-10-03T00:00:00"/>
        <d v="2024-04-04T00:00:00"/>
        <d v="2025-08-12T00:00:00"/>
        <d v="2024-05-09T00:00:00"/>
        <d v="2025-09-18T00:00:00"/>
        <d v="2024-01-15T00:00:00"/>
        <d v="2025-06-12T00:00:00"/>
        <d v="2024-05-10T00:00:00"/>
        <d v="2025-03-23T00:00:00"/>
        <d v="2024-07-18T00:00:00"/>
        <d v="2025-09-30T00:00:00"/>
        <d v="2025-05-25T00:00:00"/>
        <d v="2025-03-11T00:00:00"/>
        <d v="2024-01-29T00:00:00"/>
        <d v="2024-01-04T00:00:00"/>
        <d v="2024-08-20T00:00:00"/>
        <d v="2024-01-19T00:00:00"/>
        <d v="2024-07-28T00:00:00"/>
        <d v="2024-03-02T00:00:00"/>
        <d v="2024-11-13T00:00:00"/>
        <d v="2024-06-03T00:00:00"/>
        <d v="2024-05-07T00:00:00"/>
        <d v="2024-06-09T00:00:00"/>
        <d v="2024-02-23T00:00:00"/>
        <d v="2025-06-05T00:00:00"/>
        <d v="2024-12-25T00:00:00"/>
        <d v="2024-12-28T00:00:00"/>
        <d v="2025-01-22T00:00:00"/>
        <d v="2025-06-10T00:00:00"/>
        <d v="2024-09-16T00:00:00"/>
        <d v="2025-07-04T00:00:00"/>
        <d v="2024-12-22T00:00:00"/>
        <d v="2024-05-17T00:00:00"/>
        <d v="2024-08-11T00:00:00"/>
        <d v="2024-04-01T00:00:00"/>
        <d v="2024-09-28T00:00:00"/>
        <d v="2024-12-15T00:00:00"/>
        <d v="2025-04-15T00:00:00"/>
        <d v="2024-03-31T00:00:00"/>
        <d v="2024-10-23T00:00:00"/>
        <d v="2024-11-18T00:00:00"/>
        <d v="2025-04-30T00:00:00"/>
        <d v="2025-07-03T00:00:00"/>
        <d v="2024-07-16T00:00:00"/>
        <d v="2025-03-25T00:00:00"/>
        <d v="2024-10-17T00:00:00"/>
        <d v="2025-07-18T00:00:00"/>
        <d v="2025-10-01T00:00:00"/>
        <d v="2024-10-07T00:00:00"/>
        <d v="2024-02-06T00:00:00"/>
        <d v="2024-08-01T00:00:00"/>
        <d v="2025-10-05T00:00:00"/>
        <d v="2024-08-25T00:00:00"/>
        <d v="2025-04-27T00:00:00"/>
        <d v="2024-05-19T00:00:00"/>
        <d v="2024-02-26T00:00:00"/>
        <d v="2024-09-17T00:00:00"/>
        <d v="2024-07-14T00:00:00"/>
        <d v="2024-05-27T00:00:00"/>
        <d v="2025-08-14T00:00:00"/>
        <d v="2025-10-11T00:00:00"/>
        <d v="2024-02-27T00:00:00"/>
        <d v="2025-04-25T00:00:00"/>
        <d v="2024-10-12T00:00:00"/>
        <d v="2025-09-04T00:00:00"/>
        <d v="2024-01-16T00:00:00"/>
        <d v="2024-05-06T00:00:00"/>
        <d v="2025-08-07T00:00:00"/>
        <d v="2024-01-02T00:00:00"/>
        <d v="2025-09-22T00:00:00"/>
        <d v="2024-02-17T00:00:00"/>
        <d v="2024-06-19T00:00:00"/>
        <d v="2025-03-06T00:00:00"/>
        <d v="2024-10-15T00:00:00"/>
        <d v="2024-08-04T00:00:00"/>
        <d v="2025-07-23T00:00:00"/>
        <d v="2024-12-06T00:00:00"/>
        <d v="2024-02-22T00:00:00"/>
        <d v="2025-02-11T00:00:00"/>
        <d v="2024-04-10T00:00:00"/>
        <d v="2024-08-17T00:00:00"/>
        <d v="2024-08-19T00:00:00"/>
        <d v="2025-03-05T00:00:00"/>
        <d v="2025-01-03T00:00:00"/>
        <d v="2025-02-05T00:00:00"/>
        <d v="2025-07-09T00:00:00"/>
        <d v="2025-02-22T00:00:00"/>
        <d v="2025-02-16T00:00:00"/>
        <d v="2024-05-20T00:00:00"/>
        <d v="2024-10-05T00:00:00"/>
        <d v="2024-10-04T00:00:00"/>
        <d v="2024-08-16T00:00:00"/>
        <d v="2024-09-29T00:00:00"/>
        <d v="2024-07-23T00:00:00"/>
        <d v="2024-08-08T00:00:00"/>
        <d v="2025-09-10T00:00:00"/>
        <d v="2025-04-18T00:00:00"/>
        <d v="2024-10-02T00:00:00"/>
        <d v="2024-05-26T00:00:00"/>
        <d v="2025-01-14T00:00:00"/>
        <d v="2025-04-09T00:00:00"/>
        <d v="2024-02-05T00:00:00"/>
        <d v="2024-09-18T00:00:00"/>
        <d v="2024-04-21T00:00:00"/>
        <d v="2025-08-11T00:00:00"/>
        <d v="2024-04-13T00:00:00"/>
        <d v="2025-03-17T00:00:00"/>
        <d v="2025-04-04T00:00:00"/>
        <d v="2025-08-26T00:00:00"/>
        <d v="2024-01-14T00:00:00"/>
        <d v="2024-12-07T00:00:00"/>
        <d v="2025-01-13T00:00:00"/>
        <d v="2024-11-21T00:00:00"/>
        <d v="2025-02-02T00:00:00"/>
        <d v="2024-09-04T00:00:00"/>
        <d v="2024-05-18T00:00:00"/>
        <d v="2025-06-07T00:00:00"/>
        <d v="2025-09-11T00:00:00"/>
        <d v="2024-11-24T00:00:00"/>
        <d v="2025-07-21T00:00:00"/>
        <d v="2024-03-25T00:00:00"/>
        <d v="2024-09-11T00:00:00"/>
        <d v="2025-04-03T00:00:00"/>
        <d v="2024-06-11T00:00:00"/>
        <d v="2024-04-30T00:00:00"/>
        <d v="2024-03-13T00:00:00"/>
        <d v="2024-09-08T00:00:00"/>
        <d v="2025-03-20T00:00:00"/>
        <d v="2024-07-12T00:00:00"/>
        <d v="2025-03-22T00:00:00"/>
        <d v="2025-10-06T00:00:00"/>
        <d v="2024-01-17T00:00:00"/>
        <d v="2024-10-13T00:00:00"/>
        <d v="2025-05-17T00:00:00"/>
        <d v="2024-08-24T00:00:00"/>
        <d v="2024-12-03T00:00:00"/>
        <d v="2025-04-23T00:00:00"/>
        <d v="2024-10-24T00:00:00"/>
        <d v="2025-01-04T00:00:00"/>
        <d v="2024-05-30T00:00:00"/>
        <d v="2024-03-21T00:00:00"/>
        <d v="2025-06-02T00:00:00"/>
        <d v="2024-10-27T00:00:00"/>
        <d v="2024-08-28T00:00:00"/>
        <d v="2025-08-27T00:00:00"/>
        <d v="2024-01-01T00:00:00"/>
        <d v="2024-05-03T00:00:00"/>
        <d v="2025-04-02T00:00:00"/>
        <d v="2024-05-11T00:00:00"/>
        <d v="2024-04-14T00:00:00"/>
        <d v="2025-06-08T00:00:00"/>
        <d v="2024-02-04T00:00:00"/>
        <d v="2024-02-02T00:00:00"/>
        <d v="2025-03-14T00:00:00"/>
        <d v="2025-10-04T00:00:00"/>
        <d v="2024-05-23T00:00:00"/>
        <d v="2024-04-18T00:00:00"/>
        <d v="2025-07-11T00:00:00"/>
        <d v="2025-08-31T00:00:00"/>
        <d v="2024-12-12T00:00:00"/>
        <d v="2024-11-27T00:00:00"/>
        <d v="2025-04-05T00:00:00"/>
        <d v="2025-02-06T00:00:00"/>
        <d v="2024-07-03T00:00:00"/>
        <d v="2025-01-06T00:00:00"/>
        <d v="2024-06-04T00:00:00"/>
        <d v="2024-09-20T00:00:00"/>
        <d v="2024-03-26T00:00:00"/>
        <d v="2025-05-16T00:00:00"/>
        <d v="2025-03-08T00:00:00"/>
        <d v="2025-03-26T00:00:00"/>
        <d v="2025-09-06T00:00:00"/>
        <d v="2025-09-02T00:00:00"/>
        <d v="2024-11-01T00:00:00"/>
        <d v="2024-03-08T00:00:00"/>
        <d v="2025-04-28T00:00:00"/>
        <d v="2025-01-18T00:00:00"/>
        <d v="2024-01-05T00:00:00"/>
        <d v="2025-04-26T00:00:00"/>
        <d v="2025-03-10T00:00:00"/>
        <d v="2024-10-08T00:00:00"/>
        <d v="2024-12-24T00:00:00"/>
        <m/>
      </sharedItems>
    </cacheField>
    <cacheField name="ship_date" numFmtId="0">
      <sharedItems containsBlank="1" count="768">
        <s v="07/27/2024"/>
        <s v="05 Sep 2024"/>
        <s v="15 Jun 2024"/>
        <s v="11/29/2024"/>
        <s v="2025-09-01"/>
        <s v="28-05-2024"/>
        <s v="04/16/2025"/>
        <s v="26-02-2025"/>
        <s v="11/10/2024"/>
        <s v="09/12/2025"/>
        <s v="05/20/2025"/>
        <s v="23-07-2024"/>
        <s v="12/21/2024"/>
        <s v="16-10-2025"/>
        <s v="12/28/2024"/>
        <s v="09 Jul 2024"/>
        <s v="15-05-2024"/>
        <s v="2024-01-08"/>
        <s v="17-07-2025"/>
        <s v="31 Jul 2024"/>
        <s v="23 Jan 2025"/>
        <s v="01/30/2025"/>
        <s v="2025-01-21"/>
        <s v="31-08-2025"/>
        <s v="03/01/2024"/>
        <s v="2024-10-19"/>
        <s v="23 Nov 2024"/>
        <s v="05-10-2025"/>
        <s v="18-10-2024"/>
        <s v="13-08-2025"/>
        <s v="02/12/2024"/>
        <s v="19-06-2025"/>
        <s v="2024-11-26"/>
        <s v="27-07-2024"/>
        <s v="2025-02-05"/>
        <s v="29 May 2024"/>
        <s v="28 Oct 2024"/>
        <s v="29-07-2025"/>
        <s v="22-06-2024"/>
        <s v="2024-12-11"/>
        <s v="16 Oct 2024"/>
        <s v="17-03-2024"/>
        <s v="15 Oct 2025"/>
        <s v="07/14/2024"/>
        <s v="25-06-2024"/>
        <s v="24-01-2024"/>
        <s v="19-07-2024"/>
        <s v="2024-08-12"/>
        <s v="05 Feb 2025"/>
        <s v="13 Apr 2024"/>
        <s v="19 May 2025"/>
        <s v="29 Apr 2024"/>
        <s v="2024-10-28"/>
        <s v="2025-03-31"/>
        <s v="2025-06-02"/>
        <s v="03-07-2025"/>
        <s v="06-01-2025"/>
        <s v="15 Feb 2024"/>
        <s v="2024-09-07"/>
        <s v="25 Jul 2024"/>
        <s v="2024-07-19"/>
        <s v="04/16/2024"/>
        <s v="02-11-2024"/>
        <s v="01-02-2024"/>
        <s v="12/29/2024"/>
        <s v="2024-04-27"/>
        <s v="01 Sep 2025"/>
        <s v="07-02-2025"/>
        <s v="13 Nov 2024"/>
        <s v="04/14/2024"/>
        <s v="27 Aug 2025"/>
        <s v="2025-04-23"/>
        <s v="07 Feb 2024"/>
        <s v="04/03/2025"/>
        <s v="2025-03-01"/>
        <s v="08/27/2025"/>
        <s v="11-11-2024"/>
        <s v="12-07-2025"/>
        <s v="21-07-2025"/>
        <s v="2025-10-03"/>
        <s v="2024-08-14"/>
        <s v="17-03-2025"/>
        <s v="04-08-2024"/>
        <s v="29-10-2024"/>
        <s v="2024-10-03"/>
        <s v="08/05/2024"/>
        <s v="01 Jul 2024"/>
        <s v="2024-08-03"/>
        <s v="27 Mar 2024"/>
        <s v="29 Aug 2025"/>
        <s v="03/08/2025"/>
        <s v="01/26/2025"/>
        <s v="13-01-2024"/>
        <s v="09 Sep 2024"/>
        <s v="09/10/2025"/>
        <s v="07-06-2024"/>
        <s v="2025-08-11"/>
        <s v="02/01/2024"/>
        <s v="11-01-2025"/>
        <s v="18 Sep 2025"/>
        <s v="26-06-2024"/>
        <s v="2025-07-16"/>
        <s v="05/10/2025"/>
        <s v="02/08/2025"/>
        <s v="29-06-2024"/>
        <s v="28 Feb 2024"/>
        <s v="2024-11-04"/>
        <s v="08/23/2024"/>
        <s v="2024-10-24"/>
        <s v="2025-06-30"/>
        <s v="14-01-2024"/>
        <s v="12-02-2024"/>
        <s v="30 Sep 2024"/>
        <s v="01-01-2025"/>
        <s v="19 Feb 2025"/>
        <s v="17 Feb 2024"/>
        <s v="2024-06-18"/>
        <s v="19 Jun 2024"/>
        <s v="2024-08-18"/>
        <s v="08/26/2025"/>
        <s v="04-12-2024"/>
        <s v="25 May 2024"/>
        <s v="07/24/2024"/>
        <s v="18-07-2025"/>
        <s v="26 Sep 2025"/>
        <s v="26-01-2025"/>
        <s v="16 Dec 2024"/>
        <s v="25-07-2024"/>
        <s v="02 Feb 2024"/>
        <s v="2025-10-04"/>
        <s v="04 Nov 2024"/>
        <s v="12/18/2024"/>
        <s v="2025-07-14"/>
        <s v="2025-08-24"/>
        <s v="15-02-2025"/>
        <s v="2025-01-09"/>
        <s v="26-01-2024"/>
        <s v="07-03-2025"/>
        <s v="01 Jun 2024"/>
        <s v="2024-03-29"/>
        <s v="26 Mar 2024"/>
        <s v="2024-03-26"/>
        <s v="2024-06-15"/>
        <s v="04/13/2025"/>
        <s v="08/01/2025"/>
        <s v="2024-12-30"/>
        <s v="13-02-2025"/>
        <s v="30-01-2024"/>
        <s v="2024-03-12"/>
        <s v="06/27/2024"/>
        <s v="06/17/2024"/>
        <s v="2025-09-25"/>
        <s v="02/11/2024"/>
        <s v="03 Feb 2025"/>
        <s v="27 Mar 2025"/>
        <s v="24-10-2024"/>
        <s v="09/11/2024"/>
        <s v="04-02-2025"/>
        <s v="10/06/2025"/>
        <s v="30-07-2025"/>
        <s v="14 Mar 2024"/>
        <s v="09/14/2025"/>
        <s v="29-11-2024"/>
        <s v="08/18/2025"/>
        <s v="09/13/2025"/>
        <s v="09/15/2025"/>
        <s v="02/25/2025"/>
        <s v="10-08-2025"/>
        <s v="08 May 2024"/>
        <s v="04-10-2025"/>
        <s v="2024-02-03"/>
        <s v="03/26/2025"/>
        <s v="06/03/2024"/>
        <s v="2024-09-30"/>
        <s v="03/19/2024"/>
        <s v="26-08-2024"/>
        <s v="10-09-2025"/>
        <s v="27-06-2025"/>
        <s v="2024-04-06"/>
        <s v="2024-11-13"/>
        <s v="20 Jul 2024"/>
        <s v="02 May 2025"/>
        <s v="28 May 2025"/>
        <s v="07 May 2025"/>
        <s v="04/21/2025"/>
        <s v="12/16/2024"/>
        <s v="28-06-2024"/>
        <s v="01/31/2025"/>
        <s v="07/24/2025"/>
        <s v="25 Jan 2024"/>
        <s v="07-04-2025"/>
        <s v="06/06/2024"/>
        <s v="12-03-2024"/>
        <s v="05 Jul 2025"/>
        <s v="08/03/2025"/>
        <s v="28 Mar 2025"/>
        <s v="2024-03-30"/>
        <s v="2025-07-23"/>
        <s v="04/26/2025"/>
        <s v="20 May 2025"/>
        <s v="2024-07-16"/>
        <s v="05-07-2025"/>
        <s v="08/14/2025"/>
        <s v="18-03-2024"/>
        <s v="05/17/2024"/>
        <s v="2024-09-21"/>
        <s v="21-05-2024"/>
        <s v="23-03-2024"/>
        <s v="2024-03-04"/>
        <s v="15 Apr 2025"/>
        <s v="04/08/2025"/>
        <s v="27-02-2025"/>
        <s v="06/19/2024"/>
        <s v="09/03/2024"/>
        <s v="2025-01-15"/>
        <s v="02/26/2025"/>
        <s v="08 Oct 2025"/>
        <s v="2024-09-10"/>
        <s v="12 Jul 2024"/>
        <s v="28 Apr 2024"/>
        <s v="07/04/2025"/>
        <s v="03-06-2024"/>
        <s v="05/02/2024"/>
        <s v="2025-06-10"/>
        <s v="10/14/2024"/>
        <s v="03 Sep 2024"/>
        <s v="11/03/2024"/>
        <s v="21 Oct 2024"/>
        <s v="2024-08-27"/>
        <s v="01/17/2024"/>
        <s v="09/21/2024"/>
        <s v="23-12-2024"/>
        <s v="06-07-2025"/>
        <s v="2025-02-07"/>
        <s v="02 Aug 2025"/>
        <s v="2024-08-24"/>
        <s v="09 May 2024"/>
        <s v="01 Aug 2024"/>
        <s v="08/02/2025"/>
        <s v="02/27/2024"/>
        <s v="04/10/2025"/>
        <s v="2025-06-28"/>
        <s v="09/13/2024"/>
        <s v="03-01-2025"/>
        <s v="02/10/2025"/>
        <s v="03 Nov 2024"/>
        <s v="2025-08-12"/>
        <s v="2025-01-04"/>
        <s v="29 Jun 2024"/>
        <s v="09/27/2025"/>
        <s v="06/24/2025"/>
        <s v="01 Jun 2025"/>
        <s v="05/21/2024"/>
        <s v="11/22/2024"/>
        <s v="2025-05-10"/>
        <s v="04-06-2025"/>
        <s v="08/17/2025"/>
        <s v="02/12/2025"/>
        <s v="25 Dec 2024"/>
        <s v="24 Aug 2024"/>
        <s v="13 Feb 2025"/>
        <s v="14-04-2024"/>
        <s v="02/22/2024"/>
        <s v="23-01-2024"/>
        <s v="04 Jun 2025"/>
        <s v="2025-03-14"/>
        <s v="10 Apr 2024"/>
        <s v="26-12-2024"/>
        <s v="07/27/2025"/>
        <s v="10/02/2024"/>
        <s v="20-03-2025"/>
        <s v="12/14/2024"/>
        <s v="2025-08-20"/>
        <s v="03/02/2024"/>
        <s v="07-09-2024"/>
        <s v="2024-06-24"/>
        <s v="06/27/2025"/>
        <s v="2025-08-26"/>
        <s v="2024-04-10"/>
        <s v="03-03-2025"/>
        <s v="11-03-2024"/>
        <s v="07/22/2025"/>
        <s v="28 Jun 2025"/>
        <s v="05/26/2025"/>
        <s v="06-11-2024"/>
        <s v="2025-01-26"/>
        <s v="2024-11-12"/>
        <s v="04/23/2024"/>
        <s v="01-06-2025"/>
        <s v="2025-06-12"/>
        <s v="2024-03-13"/>
        <s v="2025-02-23"/>
        <s v="19 Jul 2025"/>
        <s v="2025-06-19"/>
        <s v="2024-07-22"/>
        <s v="08-07-2024"/>
        <s v="02-05-2024"/>
        <s v="31-05-2025"/>
        <s v="2024-07-08"/>
        <s v="02/18/2024"/>
        <s v="04 Sep 2025"/>
        <s v="30-04-2024"/>
        <s v="08/25/2024"/>
        <s v="12/06/2024"/>
        <s v="30 Jun 2024"/>
        <s v="12-11-2024"/>
        <s v="29 Feb 2024"/>
        <s v="02-08-2025"/>
        <s v="2025-09-22"/>
        <s v="2025-05-18"/>
        <s v="05/24/2024"/>
        <s v="2024-12-06"/>
        <s v="2025-05-28"/>
        <s v="2025-06-27"/>
        <s v="17-09-2024"/>
        <s v="18 Jun 2025"/>
        <s v="03/21/2024"/>
        <s v="18 Aug 2024"/>
        <s v="12/08/2024"/>
        <s v="22-02-2025"/>
        <s v="01/29/2024"/>
        <s v="2025-09-09"/>
        <s v="01-08-2025"/>
        <s v="2024-09-22"/>
        <s v="28-07-2025"/>
        <s v="06/07/2024"/>
        <s v="09/29/2025"/>
        <s v="14 Jan 2024"/>
        <s v="27 May 2025"/>
        <s v="2024-12-31"/>
        <s v="2024-05-09"/>
        <s v="29 Jun 2025"/>
        <s v="01/29/2025"/>
        <s v="2025-08-07"/>
        <s v="22-08-2024"/>
        <s v="2024-06-20"/>
        <s v="2025-04-02"/>
        <s v="25-08-2024"/>
        <s v="07/12/2025"/>
        <s v="2025-03-24"/>
        <s v="21-06-2024"/>
        <s v="2025-01-22"/>
        <s v="03/16/2024"/>
        <s v="21 Aug 2024"/>
        <s v="2024-01-24"/>
        <s v="2025-08-18"/>
        <s v="2025-04-13"/>
        <s v="28-02-2025"/>
        <s v="04 Jan 2025"/>
        <s v="30-05-2025"/>
        <s v="22-05-2025"/>
        <s v="23 Sep 2024"/>
        <s v="23-09-2025"/>
        <s v="2024-03-20"/>
        <s v="30 Jun 2025"/>
        <s v="14-02-2025"/>
        <s v="08/13/2025"/>
        <s v="18 May 2024"/>
        <s v="14 Feb 2025"/>
        <s v="22 Feb 2024"/>
        <s v="08/29/2024"/>
        <s v="04 Apr 2024"/>
        <s v="22 Apr 2025"/>
        <s v="10 Jun 2025"/>
        <s v="2024-07-26"/>
        <s v="2025-04-29"/>
        <s v="2025-06-11"/>
        <s v="16-03-2025"/>
        <s v="03/22/2024"/>
        <s v="04-10-2024"/>
        <s v="02/03/2024"/>
        <s v="24 Sep 2024"/>
        <s v="25 Feb 2025"/>
        <s v="13 May 2024"/>
        <s v="20 Apr 2024"/>
        <s v="2025-08-28"/>
        <s v="17-08-2025"/>
        <s v="08/30/2024"/>
        <s v="27 Jan 2024"/>
        <s v="16-01-2025"/>
        <s v="02/05/2025"/>
        <s v="11/17/2024"/>
        <s v="09/30/2025"/>
        <s v="2025-03-19"/>
        <s v="19 Jun 2025"/>
        <s v="06 Sep 2025"/>
        <s v="27-02-2024"/>
        <s v="2024-06-29"/>
        <s v="09/27/2024"/>
        <s v="01-07-2024"/>
        <s v="24-04-2025"/>
        <s v="22 Mar 2025"/>
        <s v="08-03-2025"/>
        <s v="02-09-2024"/>
        <s v="02/13/2024"/>
        <s v="20-04-2024"/>
        <s v="2025-04-15"/>
        <s v="20-04-2025"/>
        <s v="21 Jun 2024"/>
        <s v="2024-02-18"/>
        <s v="05/05/2025"/>
        <s v="03 Jul 2025"/>
        <s v="04/08/2024"/>
        <s v="2025-01-19"/>
        <s v="07 Apr 2024"/>
        <s v="2025-08-16"/>
        <s v="05-05-2024"/>
        <s v="19-09-2025"/>
        <s v="10 Aug 2025"/>
        <s v="18 Jan 2024"/>
        <s v="13 Jun 2024"/>
        <s v="26-03-2024"/>
        <s v="16-05-2024"/>
        <s v="2025-05-11"/>
        <s v="28-03-2025"/>
        <s v="22-07-2024"/>
        <s v="2024-02-20"/>
        <s v="2024-05-04"/>
        <s v="04-04-2024"/>
        <s v="06 Oct 2025"/>
        <s v="25-09-2024"/>
        <s v="2025-02-08"/>
        <s v="03/15/2025"/>
        <s v="2024-02-06"/>
        <s v="01/08/2024"/>
        <s v="07 Jan 2025"/>
        <s v="01/25/2024"/>
        <s v="07/31/2024"/>
        <s v="02/15/2024"/>
        <s v="03/07/2024"/>
        <s v="2024-06-10"/>
        <s v="08 Mar 2025"/>
        <s v="05/14/2024"/>
        <s v="28-08-2025"/>
        <s v="2024-06-13"/>
        <s v="09 Jan 2025"/>
        <s v="06/13/2025"/>
        <s v="07/22/2024"/>
        <s v="25-12-2024"/>
        <s v="12/31/2024"/>
        <s v="06/26/2025"/>
        <s v="06/17/2025"/>
        <s v="2024-10-20"/>
        <s v="2024-02-12"/>
        <s v="09/19/2024"/>
        <s v="30-04-2025"/>
        <s v="07/02/2025"/>
        <s v="2025-02-13"/>
        <s v="2024-11-22"/>
        <s v="05/15/2024"/>
        <s v="2025-07-06"/>
        <s v="29 Aug 2024"/>
        <s v="10 Sep 2025"/>
        <s v="05/22/2024"/>
        <s v="08/17/2024"/>
        <s v="2024-04-09"/>
        <s v="2024-10-05"/>
        <s v="2025-02-17"/>
        <s v="14 Nov 2024"/>
        <s v="2024-12-15"/>
        <s v="2025-04-22"/>
        <s v="07-04-2024"/>
        <s v="05/14/2025"/>
        <s v="21-10-2024"/>
        <s v="26 Oct 2024"/>
        <s v="2025-03-03"/>
        <s v="2025-04-11"/>
        <s v="04 Oct 2024"/>
        <s v="26 Apr 2025"/>
        <s v="2025-07-07"/>
        <s v="23 Jul 2024"/>
        <s v="2025-04-01"/>
        <s v="2024-04-03"/>
        <s v="01 Dec 2024"/>
        <s v="2024-10-17"/>
        <s v="21 Jul 2025"/>
        <s v="2025-10-05"/>
        <s v="09-10-2024"/>
        <s v="2024-02-08"/>
        <s v="2025-06-01"/>
        <s v="08-08-2024"/>
        <s v="2025-10-10"/>
        <s v="2024-09-01"/>
        <s v="2025-05-05"/>
        <s v="21 May 2024"/>
        <s v="2025-04-17"/>
        <s v="2024-01-30"/>
        <s v="01-10-2024"/>
        <s v="2025-07-04"/>
        <s v="23 Feb 2024"/>
        <s v="2025-07-09"/>
        <s v="2024-09-23"/>
        <s v="20-07-2024"/>
        <s v="30 May 2024"/>
        <s v="22 Aug 2025"/>
        <s v="23 May 2024"/>
        <s v="29-05-2024"/>
        <s v="13 Oct 2025"/>
        <s v="08/10/2024"/>
        <s v="2024-02-27"/>
        <s v="30 Jan 2025"/>
        <s v="2025-04-28"/>
        <s v="17 Oct 2024"/>
        <s v="10 Feb 2025"/>
        <s v="14-05-2024"/>
        <s v="09/04/2025"/>
        <s v="2025-10-07"/>
        <s v="22-01-2024"/>
        <s v="18 Jul 2025"/>
        <s v="16 May 2024"/>
        <s v="12-05-2024"/>
        <s v="14-11-2024"/>
        <s v="2024-08-19"/>
        <s v="10-02-2024"/>
        <s v="24 Jan 2024"/>
        <s v="2025-09-10"/>
        <s v="08/22/2025"/>
        <s v="2025-02-14"/>
        <s v="09-01-2024"/>
        <s v="09/26/2025"/>
        <s v="25-02-2024"/>
        <s v="14 Mar 2025"/>
        <s v="02/23/2024"/>
        <s v="2025-09-03"/>
        <s v="23-02-2024"/>
        <s v="24 Jun 2024"/>
        <s v="03/13/2025"/>
        <s v="08/10/2025"/>
        <s v="10/20/2024"/>
        <s v="02/28/2024"/>
        <s v="10-08-2024"/>
        <s v="2025-06-25"/>
        <s v="12 Apr 2025"/>
        <s v="2025-07-31"/>
        <s v="15 Mar 2025"/>
        <s v="12/12/2024"/>
        <s v="2024-05-29"/>
        <s v="24-02-2024"/>
        <s v="2024-03-09"/>
        <s v="2025-09-29"/>
        <s v="16-02-2025"/>
        <s v="07/08/2025"/>
        <s v="08/24/2024"/>
        <s v="2025-03-12"/>
        <s v="01/31/2024"/>
        <s v="2024-10-30"/>
        <s v="02/06/2025"/>
        <s v="13 Jul 2025"/>
        <s v="02/28/2025"/>
        <s v="22 Feb 2025"/>
        <s v="23 Jun 2024"/>
        <s v="12-01-2025"/>
        <s v="05/20/2024"/>
        <s v="15 Jul 2025"/>
        <s v="13-04-2025"/>
        <s v="10/10/2024"/>
        <s v="19-02-2024"/>
        <s v="10/07/2024"/>
        <s v="19-08-2024"/>
        <s v="2024-07-30"/>
        <s v="27 Nov 2024"/>
        <s v="08/21/2024"/>
        <s v="06-12-2024"/>
        <s v="06 Feb 2025"/>
        <s v="14 Aug 2024"/>
        <s v="2024-02-01"/>
        <s v="21 Dec 2024"/>
        <s v="06/07/2025"/>
        <s v="21-02-2025"/>
        <s v="12 Oct 2025"/>
        <s v="14 Sep 2025"/>
        <s v="15-04-2024"/>
        <s v="16-04-2025"/>
        <s v="20 Apr 2025"/>
        <s v="12 Jan 2025"/>
        <s v="2024-05-25"/>
        <s v="09 Oct 2024"/>
        <s v="2024-05-26"/>
        <s v="31-01-2024"/>
        <s v="31-12-2024"/>
        <s v="17 Jan 2025"/>
        <s v="2025-04-14"/>
        <s v="08/31/2024"/>
        <s v="2024-02-13"/>
        <s v="04/17/2025"/>
        <s v="24-09-2024"/>
        <s v="09-01-2025"/>
        <s v="24 Apr 2024"/>
        <s v="19-08-2025"/>
        <s v="21 Apr 2024"/>
        <s v="09-08-2025"/>
        <s v="2025-03-21"/>
        <s v="04/07/2025"/>
        <s v="2025-08-10"/>
        <s v="06/12/2025"/>
        <s v="15-07-2025"/>
        <s v="2024-05-22"/>
        <s v="18-01-2024"/>
        <s v="2024-05-08"/>
        <s v="10 Dec 2024"/>
        <s v="01/13/2025"/>
        <s v="06/26/2024"/>
        <s v="27-05-2025"/>
        <s v="01 Apr 2024"/>
        <s v="27-03-2024"/>
        <s v="2024-09-05"/>
        <s v="16 Feb 2025"/>
        <s v="2024-05-21"/>
        <s v="06/10/2025"/>
        <s v="09/18/2025"/>
        <s v="27-06-2024"/>
        <s v="12/01/2024"/>
        <s v="23-08-2025"/>
        <s v="05 Jun 2024"/>
        <s v="2024-07-10"/>
        <s v="05-02-2025"/>
        <s v="24-07-2025"/>
        <s v="04/02/2024"/>
        <s v="13-10-2025"/>
        <s v="27 Feb 2025"/>
        <s v="06 Oct 2024"/>
        <s v="2024-09-15"/>
        <s v="16-12-2024"/>
        <s v="10-10-2025"/>
        <s v="25 Sep 2025"/>
        <s v="2024-09-14"/>
        <s v="11 Jun 2024"/>
        <s v="04 May 2024"/>
        <s v="03/20/2024"/>
        <s v="09/14/2024"/>
        <s v="2025-03-26"/>
        <s v="07/19/2024"/>
        <s v="2025-02-02"/>
        <s v="18 Feb 2024"/>
        <s v="2025-03-23"/>
        <s v="2024-09-09"/>
        <s v="07/16/2024"/>
        <s v="23-06-2025"/>
        <s v="10 Oct 2024"/>
        <s v="2025-10-13"/>
        <s v="16-02-2024"/>
        <s v="2025-10-12"/>
        <s v="01/23/2024"/>
        <s v="13 Oct 2024"/>
        <s v="07-01-2024"/>
        <s v="25 May 2025"/>
        <s v="24-06-2025"/>
        <s v="19 Mar 2024"/>
        <s v="06 Dec 2024"/>
        <s v="28 Jun 2024"/>
        <s v="24-08-2024"/>
        <s v="09-12-2024"/>
        <s v="10 Feb 2024"/>
        <s v="02/22/2025"/>
        <s v="12/10/2024"/>
        <s v="2025-04-25"/>
        <s v="22 Oct 2024"/>
        <s v="28-10-2024"/>
        <s v="10-01-2025"/>
        <s v="07 May 2024"/>
        <s v="05/30/2024"/>
        <s v="2024-03-25"/>
        <s v="19-07-2025"/>
        <s v="06/04/2025"/>
        <s v="11/01/2024"/>
        <s v="2025-08-03"/>
        <s v="10 May 2024"/>
        <s v="26-07-2024"/>
        <s v="02 Sep 2024"/>
        <s v="08/31/2025"/>
        <s v="05 Jan 2024"/>
        <s v="2025-08-25"/>
        <s v="2025-07-03"/>
        <s v="05/06/2024"/>
        <s v="2025-04-04"/>
        <s v="17-02-2024"/>
        <s v="2024-07-14"/>
        <s v="21 Feb 2025"/>
        <s v="22-04-2024"/>
        <s v="24-07-2024"/>
        <s v="20-01-2024"/>
        <s v="03/22/2025"/>
        <s v="2024-06-07"/>
        <s v="08 Jul 2025"/>
        <s v="2024-09-18"/>
        <s v="02-08-2024"/>
        <s v="2024-06-02"/>
        <s v="2024-10-06"/>
        <s v="08 Jun 2025"/>
        <s v="03 Jun 2024"/>
        <s v="2025-06-24"/>
        <s v="30-03-2024"/>
        <s v="09-07-2025"/>
        <s v="2024-03-07"/>
        <s v="2025-02-16"/>
        <s v="13 Dec 2024"/>
        <s v="18-09-2025"/>
        <s v="15 Nov 2024"/>
        <s v="25 Jun 2025"/>
        <s v="08-04-2024"/>
        <s v="19 Dec 2024"/>
        <s v="20-06-2024"/>
        <s v="10 Apr 2025"/>
        <s v="2024-04-08"/>
        <s v="2024-11-30"/>
        <s v="04/05/2025"/>
        <s v="05-10-2024"/>
        <s v="31-07-2024"/>
        <s v="10-02-2025"/>
        <s v="06-07-2024"/>
        <s v="08 Oct 2024"/>
        <s v="17-04-2025"/>
        <s v="14 Aug 2025"/>
        <s v="01-12-2024"/>
        <s v="11-10-2025"/>
        <s v="28-02-2024"/>
        <s v="03-04-2025"/>
        <s v="28-05-2025"/>
        <s v="06/04/2024"/>
        <s v="2024-10-22"/>
        <s v="2024-12-18"/>
        <s v="09/28/2025"/>
        <s v="07 Apr 2025"/>
        <s v="22-09-2024"/>
        <s v="12 Feb 2025"/>
        <s v="03/30/2024"/>
        <s v="25 Jul 2025"/>
        <s v="25-01-2025"/>
        <s v="27 Feb 2024"/>
        <s v="2024-04-22"/>
        <s v="05/22/2025"/>
        <s v="29 May 2025"/>
        <s v="2024-07-03"/>
        <s v="04/02/2025"/>
        <s v="02 Aug 2024"/>
        <s v="04-06-2024"/>
        <s v="2024-11-01"/>
        <s v="04 Feb 2024"/>
        <s v="2025-03-09"/>
        <s v="31-03-2025"/>
        <s v="09/08/2025"/>
        <s v="05-09-2025"/>
        <s v="2025-03-06"/>
        <s v="22 Nov 2024"/>
        <s v="07 Jun 2025"/>
        <s v="2024-02-22"/>
        <s v="02 Nov 2024"/>
        <s v="08-02-2025"/>
        <s v="16 Jul 2025"/>
        <s v="08/11/2024"/>
        <s v="20-11-2024"/>
        <s v="2024-01-22"/>
        <s v="08/28/2025"/>
        <s v="03/15/2024"/>
        <s v="05-12-2024"/>
        <s v="05/01/2025"/>
        <s v="2025-01-25"/>
        <s v="2024-01-05"/>
        <s v="03-05-2025"/>
        <s v="07-08-2025"/>
        <s v="03/11/2025"/>
        <s v="04/18/2025"/>
        <s v="08 Jun 2024"/>
        <s v="02/29/2024"/>
        <s v="03 May 2025"/>
        <s v="06/08/2024"/>
        <s v="06/03/2025"/>
        <m/>
      </sharedItems>
    </cacheField>
    <cacheField name="ship date clean" numFmtId="180">
      <sharedItems containsString="0" containsBlank="1" containsNonDate="0" containsDate="1" minDate="2024-01-05T00:00:00" maxDate="2025-10-16T00:00:00" count="485">
        <d v="2024-07-27T00:00:00"/>
        <d v="2024-09-05T00:00:00"/>
        <d v="2024-06-15T00:00:00"/>
        <d v="2024-11-29T00:00:00"/>
        <d v="2025-09-01T00:00:00"/>
        <d v="2024-05-28T00:00:00"/>
        <d v="2025-04-16T00:00:00"/>
        <d v="2025-02-26T00:00:00"/>
        <d v="2024-11-10T00:00:00"/>
        <d v="2025-09-12T00:00:00"/>
        <d v="2025-05-20T00:00:00"/>
        <d v="2024-07-23T00:00:00"/>
        <d v="2024-12-21T00:00:00"/>
        <d v="2025-10-16T00:00:00"/>
        <d v="2024-12-28T00:00:00"/>
        <d v="2024-07-09T00:00:00"/>
        <d v="2024-05-15T00:00:00"/>
        <d v="2024-01-08T00:00:00"/>
        <d v="2025-07-17T00:00:00"/>
        <d v="2024-07-31T00:00:00"/>
        <d v="2025-01-23T00:00:00"/>
        <d v="2025-01-30T00:00:00"/>
        <d v="2025-01-21T00:00:00"/>
        <d v="2025-08-31T00:00:00"/>
        <d v="2024-03-01T00:00:00"/>
        <d v="2024-10-19T00:00:00"/>
        <d v="2024-11-23T00:00:00"/>
        <d v="2025-10-05T00:00:00"/>
        <d v="2024-10-18T00:00:00"/>
        <d v="2025-08-13T00:00:00"/>
        <d v="2024-02-12T00:00:00"/>
        <d v="2025-06-19T00:00:00"/>
        <d v="2024-11-26T00:00:00"/>
        <d v="2025-02-05T00:00:00"/>
        <d v="2024-05-29T00:00:00"/>
        <d v="2024-10-28T00:00:00"/>
        <d v="2025-07-29T00:00:00"/>
        <d v="2024-06-22T00:00:00"/>
        <d v="2024-12-11T00:00:00"/>
        <d v="2024-10-16T00:00:00"/>
        <d v="2024-03-17T00:00:00"/>
        <d v="2025-10-15T00:00:00"/>
        <d v="2024-07-14T00:00:00"/>
        <d v="2024-06-25T00:00:00"/>
        <d v="2024-01-24T00:00:00"/>
        <d v="2024-07-19T00:00:00"/>
        <d v="2024-08-12T00:00:00"/>
        <d v="2024-04-13T00:00:00"/>
        <d v="2025-05-19T00:00:00"/>
        <d v="2024-04-29T00:00:00"/>
        <d v="2025-03-31T00:00:00"/>
        <d v="2025-06-02T00:00:00"/>
        <d v="2025-07-03T00:00:00"/>
        <d v="2025-01-06T00:00:00"/>
        <d v="2024-02-15T00:00:00"/>
        <d v="2024-09-07T00:00:00"/>
        <d v="2024-07-25T00:00:00"/>
        <d v="2024-04-16T00:00:00"/>
        <d v="2024-11-02T00:00:00"/>
        <d v="2024-02-01T00:00:00"/>
        <d v="2024-12-29T00:00:00"/>
        <d v="2024-04-27T00:00:00"/>
        <d v="2025-02-07T00:00:00"/>
        <d v="2024-11-13T00:00:00"/>
        <d v="2024-04-14T00:00:00"/>
        <d v="2025-08-27T00:00:00"/>
        <d v="2025-04-23T00:00:00"/>
        <d v="2024-02-07T00:00:00"/>
        <d v="2025-04-03T00:00:00"/>
        <d v="2025-03-01T00:00:00"/>
        <d v="2024-11-11T00:00:00"/>
        <d v="2025-07-12T00:00:00"/>
        <d v="2025-07-21T00:00:00"/>
        <d v="2025-10-03T00:00:00"/>
        <d v="2024-08-14T00:00:00"/>
        <d v="2025-03-17T00:00:00"/>
        <d v="2024-08-04T00:00:00"/>
        <d v="2024-10-29T00:00:00"/>
        <d v="2024-10-03T00:00:00"/>
        <d v="2024-08-05T00:00:00"/>
        <d v="2024-07-01T00:00:00"/>
        <d v="2024-08-03T00:00:00"/>
        <d v="2024-03-27T00:00:00"/>
        <d v="2025-08-29T00:00:00"/>
        <d v="2025-03-08T00:00:00"/>
        <d v="2025-01-26T00:00:00"/>
        <d v="2024-01-13T00:00:00"/>
        <d v="2024-09-09T00:00:00"/>
        <d v="2025-09-10T00:00:00"/>
        <d v="2024-06-07T00:00:00"/>
        <d v="2025-08-11T00:00:00"/>
        <d v="2025-01-11T00:00:00"/>
        <d v="2025-09-18T00:00:00"/>
        <d v="2024-06-26T00:00:00"/>
        <d v="2025-07-16T00:00:00"/>
        <d v="2025-05-10T00:00:00"/>
        <d v="2025-02-08T00:00:00"/>
        <d v="2024-06-29T00:00:00"/>
        <d v="2024-02-28T00:00:00"/>
        <d v="2024-11-04T00:00:00"/>
        <d v="2024-08-23T00:00:00"/>
        <d v="2024-10-24T00:00:00"/>
        <d v="2025-06-30T00:00:00"/>
        <d v="2024-01-14T00:00:00"/>
        <d v="2024-09-30T00:00:00"/>
        <d v="2025-01-01T00:00:00"/>
        <d v="2025-02-19T00:00:00"/>
        <d v="2024-02-17T00:00:00"/>
        <d v="2024-06-18T00:00:00"/>
        <d v="2024-06-19T00:00:00"/>
        <d v="2024-08-18T00:00:00"/>
        <d v="2025-08-26T00:00:00"/>
        <d v="2024-12-04T00:00:00"/>
        <d v="2024-05-25T00:00:00"/>
        <d v="2024-07-24T00:00:00"/>
        <d v="2025-07-18T00:00:00"/>
        <d v="2025-09-26T00:00:00"/>
        <d v="2024-12-16T00:00:00"/>
        <d v="2024-02-02T00:00:00"/>
        <d v="2025-10-04T00:00:00"/>
        <d v="2024-12-18T00:00:00"/>
        <d v="2025-07-14T00:00:00"/>
        <d v="2025-08-24T00:00:00"/>
        <d v="2025-02-15T00:00:00"/>
        <d v="2025-01-09T00:00:00"/>
        <d v="2024-01-26T00:00:00"/>
        <d v="2025-03-07T00:00:00"/>
        <d v="2024-06-01T00:00:00"/>
        <d v="2024-03-29T00:00:00"/>
        <d v="2024-03-26T00:00:00"/>
        <d v="2025-04-13T00:00:00"/>
        <d v="2025-08-01T00:00:00"/>
        <d v="2024-12-30T00:00:00"/>
        <d v="2025-02-13T00:00:00"/>
        <d v="2024-01-30T00:00:00"/>
        <d v="2024-03-12T00:00:00"/>
        <d v="2024-06-27T00:00:00"/>
        <d v="2024-06-17T00:00:00"/>
        <d v="2025-09-25T00:00:00"/>
        <d v="2024-02-11T00:00:00"/>
        <d v="2025-02-03T00:00:00"/>
        <d v="2025-03-27T00:00:00"/>
        <d v="2024-09-11T00:00:00"/>
        <d v="2025-02-04T00:00:00"/>
        <d v="2025-10-06T00:00:00"/>
        <d v="2025-07-30T00:00:00"/>
        <d v="2024-03-14T00:00:00"/>
        <d v="2025-09-14T00:00:00"/>
        <d v="2025-08-18T00:00:00"/>
        <d v="2025-09-13T00:00:00"/>
        <d v="2025-09-15T00:00:00"/>
        <d v="2025-02-25T00:00:00"/>
        <d v="2025-08-10T00:00:00"/>
        <d v="2024-05-08T00:00:00"/>
        <d v="2024-02-03T00:00:00"/>
        <d v="2025-03-26T00:00:00"/>
        <d v="2024-06-03T00:00:00"/>
        <d v="2024-03-19T00:00:00"/>
        <d v="2024-08-26T00:00:00"/>
        <d v="2025-06-27T00:00:00"/>
        <d v="2024-04-06T00:00:00"/>
        <d v="2024-07-20T00:00:00"/>
        <d v="2025-05-02T00:00:00"/>
        <d v="2025-05-28T00:00:00"/>
        <d v="2025-05-07T00:00:00"/>
        <d v="2025-04-21T00:00:00"/>
        <d v="2024-06-28T00:00:00"/>
        <d v="2025-01-31T00:00:00"/>
        <d v="2025-07-24T00:00:00"/>
        <d v="2024-01-25T00:00:00"/>
        <d v="2025-04-07T00:00:00"/>
        <d v="2024-06-06T00:00:00"/>
        <d v="2025-07-05T00:00:00"/>
        <d v="2025-08-03T00:00:00"/>
        <d v="2025-03-28T00:00:00"/>
        <d v="2024-03-30T00:00:00"/>
        <d v="2025-07-23T00:00:00"/>
        <d v="2025-04-26T00:00:00"/>
        <d v="2024-07-16T00:00:00"/>
        <d v="2025-08-14T00:00:00"/>
        <d v="2024-03-18T00:00:00"/>
        <d v="2024-05-17T00:00:00"/>
        <d v="2024-09-21T00:00:00"/>
        <d v="2024-05-21T00:00:00"/>
        <d v="2024-03-23T00:00:00"/>
        <d v="2024-03-04T00:00:00"/>
        <d v="2025-04-15T00:00:00"/>
        <d v="2025-04-08T00:00:00"/>
        <d v="2025-02-27T00:00:00"/>
        <d v="2024-09-03T00:00:00"/>
        <d v="2025-01-15T00:00:00"/>
        <d v="2025-10-08T00:00:00"/>
        <d v="2024-09-10T00:00:00"/>
        <d v="2024-07-12T00:00:00"/>
        <d v="2024-04-28T00:00:00"/>
        <d v="2025-07-04T00:00:00"/>
        <d v="2024-05-02T00:00:00"/>
        <d v="2025-06-10T00:00:00"/>
        <d v="2024-10-14T00:00:00"/>
        <d v="2024-11-03T00:00:00"/>
        <d v="2024-10-21T00:00:00"/>
        <d v="2024-08-27T00:00:00"/>
        <d v="2024-01-17T00:00:00"/>
        <d v="2024-12-23T00:00:00"/>
        <d v="2025-07-06T00:00:00"/>
        <d v="2025-08-02T00:00:00"/>
        <d v="2024-08-24T00:00:00"/>
        <d v="2024-05-09T00:00:00"/>
        <d v="2024-08-01T00:00:00"/>
        <d v="2024-02-27T00:00:00"/>
        <d v="2025-04-10T00:00:00"/>
        <d v="2025-06-28T00:00:00"/>
        <d v="2024-09-13T00:00:00"/>
        <d v="2025-01-03T00:00:00"/>
        <d v="2025-02-10T00:00:00"/>
        <d v="2025-08-12T00:00:00"/>
        <d v="2025-01-04T00:00:00"/>
        <d v="2025-09-27T00:00:00"/>
        <d v="2025-06-24T00:00:00"/>
        <d v="2025-06-01T00:00:00"/>
        <d v="2024-11-22T00:00:00"/>
        <d v="2025-06-04T00:00:00"/>
        <d v="2025-08-17T00:00:00"/>
        <d v="2025-02-12T00:00:00"/>
        <d v="2024-12-25T00:00:00"/>
        <d v="2024-02-22T00:00:00"/>
        <d v="2024-01-23T00:00:00"/>
        <d v="2025-03-14T00:00:00"/>
        <d v="2024-04-10T00:00:00"/>
        <d v="2024-12-26T00:00:00"/>
        <d v="2025-07-27T00:00:00"/>
        <d v="2024-10-02T00:00:00"/>
        <d v="2025-03-20T00:00:00"/>
        <d v="2024-12-14T00:00:00"/>
        <d v="2025-08-20T00:00:00"/>
        <d v="2024-03-02T00:00:00"/>
        <d v="2024-06-24T00:00:00"/>
        <d v="2025-03-03T00:00:00"/>
        <d v="2024-03-11T00:00:00"/>
        <d v="2025-07-22T00:00:00"/>
        <d v="2025-05-26T00:00:00"/>
        <d v="2024-11-06T00:00:00"/>
        <d v="2024-11-12T00:00:00"/>
        <d v="2024-04-23T00:00:00"/>
        <d v="2025-06-12T00:00:00"/>
        <d v="2024-03-13T00:00:00"/>
        <d v="2025-02-23T00:00:00"/>
        <d v="2025-07-19T00:00:00"/>
        <d v="2024-07-22T00:00:00"/>
        <d v="2024-07-08T00:00:00"/>
        <d v="2025-05-31T00:00:00"/>
        <d v="2024-02-18T00:00:00"/>
        <d v="2025-09-04T00:00:00"/>
        <d v="2024-04-30T00:00:00"/>
        <d v="2024-08-25T00:00:00"/>
        <d v="2024-12-06T00:00:00"/>
        <d v="2024-06-30T00:00:00"/>
        <d v="2024-02-29T00:00:00"/>
        <d v="2025-09-22T00:00:00"/>
        <d v="2025-05-18T00:00:00"/>
        <d v="2024-05-24T00:00:00"/>
        <d v="2024-09-17T00:00:00"/>
        <d v="2025-06-18T00:00:00"/>
        <d v="2024-03-21T00:00:00"/>
        <d v="2024-12-08T00:00:00"/>
        <d v="2025-02-22T00:00:00"/>
        <d v="2024-01-29T00:00:00"/>
        <d v="2025-09-09T00:00:00"/>
        <d v="2024-09-22T00:00:00"/>
        <d v="2025-07-28T00:00:00"/>
        <d v="2025-09-29T00:00:00"/>
        <d v="2025-05-27T00:00:00"/>
        <d v="2024-12-31T00:00:00"/>
        <d v="2025-06-29T00:00:00"/>
        <d v="2025-01-29T00:00:00"/>
        <d v="2025-08-07T00:00:00"/>
        <d v="2024-08-22T00:00:00"/>
        <d v="2024-06-20T00:00:00"/>
        <d v="2025-04-02T00:00:00"/>
        <d v="2025-03-24T00:00:00"/>
        <d v="2024-06-21T00:00:00"/>
        <d v="2025-01-22T00:00:00"/>
        <d v="2024-03-16T00:00:00"/>
        <d v="2024-08-21T00:00:00"/>
        <d v="2025-02-28T00:00:00"/>
        <d v="2025-05-30T00:00:00"/>
        <d v="2025-05-22T00:00:00"/>
        <d v="2024-09-23T00:00:00"/>
        <d v="2025-09-23T00:00:00"/>
        <d v="2024-03-20T00:00:00"/>
        <d v="2025-02-14T00:00:00"/>
        <d v="2024-05-18T00:00:00"/>
        <d v="2024-08-29T00:00:00"/>
        <d v="2024-04-04T00:00:00"/>
        <d v="2025-04-22T00:00:00"/>
        <d v="2024-07-26T00:00:00"/>
        <d v="2025-04-29T00:00:00"/>
        <d v="2025-06-11T00:00:00"/>
        <d v="2025-03-16T00:00:00"/>
        <d v="2024-03-22T00:00:00"/>
        <d v="2024-10-04T00:00:00"/>
        <d v="2024-09-24T00:00:00"/>
        <d v="2024-05-13T00:00:00"/>
        <d v="2024-04-20T00:00:00"/>
        <d v="2025-08-28T00:00:00"/>
        <d v="2024-08-30T00:00:00"/>
        <d v="2024-01-27T00:00:00"/>
        <d v="2025-01-16T00:00:00"/>
        <d v="2024-11-17T00:00:00"/>
        <d v="2025-09-30T00:00:00"/>
        <d v="2025-03-19T00:00:00"/>
        <d v="2025-09-06T00:00:00"/>
        <d v="2024-09-27T00:00:00"/>
        <d v="2025-04-24T00:00:00"/>
        <d v="2025-03-22T00:00:00"/>
        <d v="2024-09-02T00:00:00"/>
        <d v="2024-02-13T00:00:00"/>
        <d v="2025-04-20T00:00:00"/>
        <d v="2025-05-05T00:00:00"/>
        <d v="2024-04-08T00:00:00"/>
        <d v="2025-01-19T00:00:00"/>
        <d v="2024-04-07T00:00:00"/>
        <d v="2025-08-16T00:00:00"/>
        <d v="2024-05-05T00:00:00"/>
        <d v="2025-09-19T00:00:00"/>
        <d v="2024-01-18T00:00:00"/>
        <d v="2024-06-13T00:00:00"/>
        <d v="2024-05-16T00:00:00"/>
        <d v="2025-05-11T00:00:00"/>
        <d v="2024-02-20T00:00:00"/>
        <d v="2024-05-04T00:00:00"/>
        <d v="2024-09-25T00:00:00"/>
        <d v="2025-03-15T00:00:00"/>
        <d v="2024-02-06T00:00:00"/>
        <d v="2025-01-07T00:00:00"/>
        <d v="2024-03-07T00:00:00"/>
        <d v="2024-06-10T00:00:00"/>
        <d v="2024-05-14T00:00:00"/>
        <d v="2025-06-13T00:00:00"/>
        <d v="2025-06-26T00:00:00"/>
        <d v="2025-06-17T00:00:00"/>
        <d v="2024-10-20T00:00:00"/>
        <d v="2024-09-19T00:00:00"/>
        <d v="2025-04-30T00:00:00"/>
        <d v="2025-07-02T00:00:00"/>
        <d v="2024-05-22T00:00:00"/>
        <d v="2024-08-17T00:00:00"/>
        <d v="2024-04-09T00:00:00"/>
        <d v="2024-10-05T00:00:00"/>
        <d v="2025-02-17T00:00:00"/>
        <d v="2024-11-14T00:00:00"/>
        <d v="2024-12-15T00:00:00"/>
        <d v="2025-05-14T00:00:00"/>
        <d v="2024-10-26T00:00:00"/>
        <d v="2025-04-11T00:00:00"/>
        <d v="2025-07-07T00:00:00"/>
        <d v="2025-04-01T00:00:00"/>
        <d v="2024-04-03T00:00:00"/>
        <d v="2024-12-01T00:00:00"/>
        <d v="2024-10-17T00:00:00"/>
        <d v="2024-10-09T00:00:00"/>
        <d v="2024-02-08T00:00:00"/>
        <d v="2024-08-08T00:00:00"/>
        <d v="2025-10-10T00:00:00"/>
        <d v="2024-09-01T00:00:00"/>
        <d v="2025-04-17T00:00:00"/>
        <d v="2024-10-01T00:00:00"/>
        <d v="2024-02-23T00:00:00"/>
        <d v="2025-07-09T00:00:00"/>
        <d v="2024-05-30T00:00:00"/>
        <d v="2025-08-22T00:00:00"/>
        <d v="2024-05-23T00:00:00"/>
        <d v="2025-10-13T00:00:00"/>
        <d v="2024-08-10T00:00:00"/>
        <d v="2025-04-28T00:00:00"/>
        <d v="2025-10-07T00:00:00"/>
        <d v="2024-01-22T00:00:00"/>
        <d v="2024-05-12T00:00:00"/>
        <d v="2024-08-19T00:00:00"/>
        <d v="2024-02-10T00:00:00"/>
        <d v="2024-01-09T00:00:00"/>
        <d v="2024-02-25T00:00:00"/>
        <d v="2025-09-03T00:00:00"/>
        <d v="2025-03-13T00:00:00"/>
        <d v="2025-06-25T00:00:00"/>
        <d v="2025-04-12T00:00:00"/>
        <d v="2025-07-31T00:00:00"/>
        <d v="2024-12-12T00:00:00"/>
        <d v="2024-02-24T00:00:00"/>
        <d v="2024-03-09T00:00:00"/>
        <d v="2025-02-16T00:00:00"/>
        <d v="2025-07-08T00:00:00"/>
        <d v="2025-03-12T00:00:00"/>
        <d v="2024-01-31T00:00:00"/>
        <d v="2024-10-30T00:00:00"/>
        <d v="2025-02-06T00:00:00"/>
        <d v="2025-07-13T00:00:00"/>
        <d v="2024-06-23T00:00:00"/>
        <d v="2025-01-12T00:00:00"/>
        <d v="2024-05-20T00:00:00"/>
        <d v="2025-07-15T00:00:00"/>
        <d v="2024-10-10T00:00:00"/>
        <d v="2024-02-19T00:00:00"/>
        <d v="2024-10-07T00:00:00"/>
        <d v="2024-07-30T00:00:00"/>
        <d v="2024-11-27T00:00:00"/>
        <d v="2025-06-07T00:00:00"/>
        <d v="2025-02-21T00:00:00"/>
        <d v="2025-10-12T00:00:00"/>
        <d v="2024-04-15T00:00:00"/>
        <d v="2024-05-26T00:00:00"/>
        <d v="2025-01-17T00:00:00"/>
        <d v="2025-04-14T00:00:00"/>
        <d v="2024-08-31T00:00:00"/>
        <d v="2024-04-24T00:00:00"/>
        <d v="2025-08-19T00:00:00"/>
        <d v="2024-04-21T00:00:00"/>
        <d v="2025-08-09T00:00:00"/>
        <d v="2025-03-21T00:00:00"/>
        <d v="2024-12-10T00:00:00"/>
        <d v="2025-01-13T00:00:00"/>
        <d v="2024-04-01T00:00:00"/>
        <d v="2025-08-23T00:00:00"/>
        <d v="2024-06-05T00:00:00"/>
        <d v="2024-07-10T00:00:00"/>
        <d v="2024-04-02T00:00:00"/>
        <d v="2024-10-06T00:00:00"/>
        <d v="2024-09-15T00:00:00"/>
        <d v="2024-09-14T00:00:00"/>
        <d v="2024-06-11T00:00:00"/>
        <d v="2025-02-02T00:00:00"/>
        <d v="2025-03-23T00:00:00"/>
        <d v="2025-06-23T00:00:00"/>
        <d v="2024-02-16T00:00:00"/>
        <d v="2024-10-13T00:00:00"/>
        <d v="2024-01-07T00:00:00"/>
        <d v="2025-05-25T00:00:00"/>
        <d v="2024-12-09T00:00:00"/>
        <d v="2025-04-25T00:00:00"/>
        <d v="2024-10-22T00:00:00"/>
        <d v="2025-01-10T00:00:00"/>
        <d v="2024-05-07T00:00:00"/>
        <d v="2024-03-25T00:00:00"/>
        <d v="2024-11-01T00:00:00"/>
        <d v="2024-05-10T00:00:00"/>
        <d v="2024-01-05T00:00:00"/>
        <d v="2025-08-25T00:00:00"/>
        <d v="2024-05-06T00:00:00"/>
        <d v="2025-04-04T00:00:00"/>
        <d v="2024-04-22T00:00:00"/>
        <d v="2024-01-20T00:00:00"/>
        <d v="2024-09-18T00:00:00"/>
        <d v="2024-08-02T00:00:00"/>
        <d v="2024-06-02T00:00:00"/>
        <d v="2025-06-08T00:00:00"/>
        <d v="2024-12-13T00:00:00"/>
        <d v="2024-11-15T00:00:00"/>
        <d v="2024-12-19T00:00:00"/>
        <d v="2024-11-30T00:00:00"/>
        <d v="2025-04-05T00:00:00"/>
        <d v="2024-07-06T00:00:00"/>
        <d v="2024-10-08T00:00:00"/>
        <d v="2025-10-11T00:00:00"/>
        <d v="2024-06-04T00:00:00"/>
        <d v="2025-09-28T00:00:00"/>
        <d v="2025-07-25T00:00:00"/>
        <d v="2025-01-25T00:00:00"/>
        <d v="2025-05-29T00:00:00"/>
        <d v="2024-07-03T00:00:00"/>
        <d v="2024-02-04T00:00:00"/>
        <d v="2025-03-09T00:00:00"/>
        <d v="2025-09-08T00:00:00"/>
        <d v="2025-09-05T00:00:00"/>
        <d v="2025-03-06T00:00:00"/>
        <d v="2024-08-11T00:00:00"/>
        <d v="2024-11-20T00:00:00"/>
        <d v="2024-03-15T00:00:00"/>
        <d v="2024-12-05T00:00:00"/>
        <d v="2025-05-01T00:00:00"/>
        <d v="2025-05-03T00:00:00"/>
        <d v="2025-03-11T00:00:00"/>
        <d v="2025-04-18T00:00:00"/>
        <d v="2024-06-08T00:00:00"/>
        <d v="2025-06-03T00:00:00"/>
        <m/>
      </sharedItems>
    </cacheField>
    <cacheField name="customer_id" numFmtId="0">
      <sharedItems containsBlank="1" count="856">
        <s v="CUST-4655"/>
        <s v="CUST-2054"/>
        <s v="CUST-6843"/>
        <s v="CUST-3722"/>
        <s v="CUST-8130"/>
        <s v="CUST-6056"/>
        <s v="CUST-3656"/>
        <s v="CUST-4683"/>
        <s v="CUST-2598"/>
        <s v="CUST-2483"/>
        <s v="CUST-8092"/>
        <s v="CUST-6528"/>
        <s v="CUST-2648"/>
        <s v="CUST-7482"/>
        <s v="CUST-4912"/>
        <s v="CUST-7656"/>
        <s v="CUST-6214"/>
        <s v="CUST-1626"/>
        <s v="CUST-2110"/>
        <s v="CUST-3186"/>
        <s v="CUST-3190"/>
        <s v="CUST-3036"/>
        <s v="CUST-3588"/>
        <s v="CUST-7098"/>
        <s v="CUST-1747"/>
        <s v="CUST-1731"/>
        <s v="CUST-4401"/>
        <s v="CUST-9875"/>
        <s v="CUST-1569"/>
        <s v="CUST-5936"/>
        <s v="CUST-8759"/>
        <s v="CUST-7867"/>
        <s v="CUST-6509"/>
        <s v="CUST-6660"/>
        <s v="CUST-2392"/>
        <s v="CUST-1611"/>
        <s v="CUST-8296"/>
        <s v="CUST-4646"/>
        <s v="CUST-8235"/>
        <s v="CUST-5830"/>
        <s v="CUST-7178"/>
        <s v="CUST-3829"/>
        <s v="CUST-6708"/>
        <s v="CUST-7119"/>
        <s v="CUST-3373"/>
        <s v="CUST-8896"/>
        <s v="CUST-8517"/>
        <s v="CUST-1987"/>
        <s v="CUST-8183"/>
        <s v="CUST-2380"/>
        <s v="CUST-8787"/>
        <s v="CUST-3557"/>
        <s v="CUST-2778"/>
        <s v="CUST-7195"/>
        <s v="CUST-9039"/>
        <s v="CUST-9821"/>
        <s v="CUST-8701"/>
        <s v="CUST-9941"/>
        <s v="CUST-3983"/>
        <s v="CUST-2418"/>
        <s v="CUST-2892"/>
        <s v="CUST-7008"/>
        <s v="CUST-4900"/>
        <s v="CUST-5382"/>
        <s v="CUST-2749"/>
        <s v="CUST-2463"/>
        <s v="CUST-1504"/>
        <s v="CUST-8282"/>
        <s v="CUST-6054"/>
        <s v="CUST-5979"/>
        <s v="CUST-5582"/>
        <s v="CUST-3308"/>
        <s v="CUST-5018"/>
        <s v="CUST-2342"/>
        <s v="CUST-6201"/>
        <s v="CUST-5808"/>
        <s v="CUST-2642"/>
        <s v="CUST-4385"/>
        <s v="CUST-8043"/>
        <s v="CUST-9978"/>
        <s v="CUST-2094"/>
        <s v="CUST-7907"/>
        <s v="CUST-6516"/>
        <s v="CUST-4989"/>
        <s v="CUST-3758"/>
        <s v="CUST-6702"/>
        <s v="CUST-9148"/>
        <s v="CUST-5829"/>
        <s v="CUST-6059"/>
        <s v="CUST-7744"/>
        <s v="CUST-5909"/>
        <s v="CUST-6409"/>
        <s v="CUST-3014"/>
        <s v="CUST-6106"/>
        <s v="CUST-1926"/>
        <s v="CUST-2687"/>
        <s v="CUST-7283"/>
        <s v="CUST-8111"/>
        <s v="CUST-5434"/>
        <s v="CUST-3865"/>
        <s v="CUST-6015"/>
        <s v="CUST-7909"/>
        <s v="CUST-9603"/>
        <s v="CUST-6263"/>
        <s v="CUST-1576"/>
        <s v="CUST-6540"/>
        <s v="CUST-4008"/>
        <s v="CUST-6604"/>
        <s v="CUST-4337"/>
        <s v="CUST-3740"/>
        <s v="CUST-7128"/>
        <s v="CUST-4743"/>
        <s v="CUST-5213"/>
        <s v="CUST-2927"/>
        <s v="CUST-7764"/>
        <s v="CUST-3632"/>
        <s v="CUST-9608"/>
        <s v="CUST-9135"/>
        <s v="CUST-7861"/>
        <s v="CUST-6096"/>
        <s v="CUST-2044"/>
        <s v="CUST-1721"/>
        <s v="CUST-1007"/>
        <s v="CUST-4450"/>
        <s v="CUST-7924"/>
        <s v="CUST-1715"/>
        <s v="CUST-6802"/>
        <s v="CUST-9328"/>
        <s v="CUST-2588"/>
        <s v="CUST-5435"/>
        <s v="CUST-7637"/>
        <s v="CUST-3602"/>
        <s v="CUST-9441"/>
        <s v="CUST-7361"/>
        <s v="CUST-1148"/>
        <s v="CUST-3350"/>
        <s v="CUST-7932"/>
        <s v="CUST-7173"/>
        <s v="CUST-4225"/>
        <s v="CUST-2149"/>
        <s v="CUST-3314"/>
        <s v="CUST-8944"/>
        <s v="CUST-3144"/>
        <s v="CUST-6747"/>
        <s v="CUST-6161"/>
        <s v="CUST-1460"/>
        <s v="CUST-2692"/>
        <s v="CUST-2822"/>
        <s v="CUST-5876"/>
        <s v="CUST-4661"/>
        <s v="CUST-6011"/>
        <s v="CUST-6160"/>
        <s v="CUST-6971"/>
        <s v="CUST-8327"/>
        <s v="CUST-4058"/>
        <s v="CUST-1142"/>
        <s v="CUST-2324"/>
        <s v="CUST-7717"/>
        <s v="CUST-4932"/>
        <s v="CUST-2367"/>
        <s v="CUST-4830"/>
        <s v="CUST-2548"/>
        <s v="CUST-3833"/>
        <s v="CUST-4598"/>
        <s v="CUST-7215"/>
        <s v="CUST-7770"/>
        <s v="CUST-9756"/>
        <s v="CUST-2261"/>
        <s v="CUST-3734"/>
        <s v="CUST-3436"/>
        <s v="CUST-4845"/>
        <s v="CUST-6153"/>
        <s v="CUST-5475"/>
        <s v="CUST-5580"/>
        <s v="CUST-3027"/>
        <s v="CUST-4399"/>
        <s v="CUST-3092"/>
        <s v="CUST-1778"/>
        <s v="CUST-3787"/>
        <s v="CUST-5119"/>
        <s v="CUST-4121"/>
        <s v="CUST-3366"/>
        <s v="CUST-1358"/>
        <s v="CUST-4968"/>
        <s v="CUST-3109"/>
        <s v="CUST-3422"/>
        <s v="CUST-3375"/>
        <s v="CUST-5138"/>
        <s v="CUST-7410"/>
        <s v="CUST-7115"/>
        <s v="CUST-9853"/>
        <s v="CUST-3637"/>
        <s v="CUST-4328"/>
        <s v="CUST-8028"/>
        <s v="CUST-7820"/>
        <s v="CUST-4536"/>
        <s v="CUST-7047"/>
        <s v="CUST-8005"/>
        <s v="CUST-9378"/>
        <s v="CUST-3384"/>
        <s v="CUST-1986"/>
        <s v="CUST-3338"/>
        <s v="CUST-2343"/>
        <s v="CUST-3362"/>
        <s v="CUST-3662"/>
        <s v="CUST-4947"/>
        <s v="CUST-3076"/>
        <s v="CUST-2222"/>
        <s v="CUST-3610"/>
        <s v="CUST-9136"/>
        <s v="CUST-1301"/>
        <s v="CUST-8603"/>
        <s v="CUST-4330"/>
        <s v="CUST-4533"/>
        <s v="CUST-8270"/>
        <s v="CUST-1472"/>
        <s v="CUST-1031"/>
        <s v="CUST-2495"/>
        <s v="CUST-4583"/>
        <s v="CUST-5319"/>
        <s v="CUST-9871"/>
        <s v="CUST-1266"/>
        <s v="CUST-2545"/>
        <s v="CUST-2819"/>
        <s v="CUST-1076"/>
        <s v="CUST-1943"/>
        <s v="CUST-3434"/>
        <s v="CUST-9139"/>
        <s v="CUST-5341"/>
        <s v="CUST-3710"/>
        <s v="CUST-9754"/>
        <s v="CUST-6256"/>
        <s v="CUST-7113"/>
        <s v="CUST-3827"/>
        <s v="CUST-2375"/>
        <s v="CUST-2233"/>
        <s v="CUST-9778"/>
        <s v="CUST-6949"/>
        <s v="CUST-3430"/>
        <s v="CUST-6310"/>
        <s v="CUST-6008"/>
        <s v="CUST-1704"/>
        <s v="CUST-1827"/>
        <s v="CUST-6663"/>
        <s v="CUST-6278"/>
        <s v="CUST-2305"/>
        <s v="CUST-5351"/>
        <s v="CUST-6268"/>
        <s v="CUST-2103"/>
        <s v="CUST-5394"/>
        <s v="CUST-6853"/>
        <s v="CUST-1549"/>
        <s v="CUST-8411"/>
        <s v="CUST-5615"/>
        <s v="CUST-8467"/>
        <s v="CUST-5174"/>
        <s v="CUST-3543"/>
        <s v="CUST-7623"/>
        <s v="CUST-8265"/>
        <s v="CUST-4750"/>
        <s v="CUST-3974"/>
        <s v="CUST-7114"/>
        <s v="CUST-4431"/>
        <s v="CUST-1488"/>
        <s v="CUST-1586"/>
        <s v="CUST-2487"/>
        <s v="CUST-8009"/>
        <s v="CUST-7389"/>
        <s v="CUST-8249"/>
        <s v="CUST-4202"/>
        <s v="CUST-2875"/>
        <s v="CUST-7039"/>
        <s v="CUST-8242"/>
        <s v="CUST-4571"/>
        <s v="CUST-4098"/>
        <s v="CUST-2052"/>
        <s v="CUST-9445"/>
        <s v="CUST-6568"/>
        <s v="CUST-2076"/>
        <s v="CUST-5610"/>
        <s v="CUST-5823"/>
        <s v="CUST-7095"/>
        <s v="CUST-4805"/>
        <s v="CUST-9114"/>
        <s v="CUST-8557"/>
        <s v="CUST-2860"/>
        <s v="CUST-7837"/>
        <s v="CUST-7010"/>
        <s v="CUST-4755"/>
        <s v="CUST-6778"/>
        <s v="CUST-7629"/>
        <s v="CUST-6724"/>
        <s v="CUST-2141"/>
        <s v="CUST-7264"/>
        <s v="CUST-2668"/>
        <s v="CUST-5599"/>
        <s v="CUST-1623"/>
        <s v="CUST-9035"/>
        <s v="CUST-6286"/>
        <s v="CUST-7246"/>
        <s v="CUST-2589"/>
        <s v="CUST-4153"/>
        <s v="CUST-6727"/>
        <s v="CUST-8860"/>
        <s v="CUST-3784"/>
        <s v="CUST-3545"/>
        <s v="CUST-4851"/>
        <s v="CUST-4770"/>
        <s v="CUST-1945"/>
        <s v="CUST-7565"/>
        <s v="CUST-9913"/>
        <s v="CUST-7992"/>
        <s v="CUST-8877"/>
        <s v="CUST-4589"/>
        <s v="CUST-4667"/>
        <s v="CUST-7821"/>
        <s v="CUST-8579"/>
        <s v="CUST-6909"/>
        <s v="CUST-7212"/>
        <s v="CUST-7980"/>
        <s v="CUST-1966"/>
        <s v="CUST-6163"/>
        <s v="CUST-7239"/>
        <s v="CUST-9718"/>
        <s v="CUST-1116"/>
        <s v="CUST-9346"/>
        <s v="CUST-5332"/>
        <s v="CUST-8081"/>
        <s v="CUST-3062"/>
        <s v="CUST-3621"/>
        <s v="CUST-4599"/>
        <s v="CUST-3066"/>
        <s v="CUST-2752"/>
        <s v="CUST-6291"/>
        <s v="CUST-9969"/>
        <s v="CUST-3335"/>
        <s v="CUST-7358"/>
        <s v="CUST-8025"/>
        <s v="CUST-4634"/>
        <s v="CUST-3400"/>
        <s v="CUST-1172"/>
        <s v="CUST-9517"/>
        <s v="CUST-6697"/>
        <s v="CUST-7644"/>
        <s v="CUST-9963"/>
        <s v="CUST-6382"/>
        <s v="CUST-3253"/>
        <s v="CUST-1058"/>
        <s v="CUST-6414"/>
        <s v="CUST-9268"/>
        <s v="CUST-1363"/>
        <s v="CUST-2477"/>
        <s v="CUST-9571"/>
        <s v="CUST-3690"/>
        <s v="CUST-2909"/>
        <s v="CUST-6755"/>
        <s v="CUST-1832"/>
        <s v="CUST-4452"/>
        <s v="CUST-2203"/>
        <s v="CUST-5397"/>
        <s v="CUST-4696"/>
        <s v="CUST-8246"/>
        <s v="CUST-5672"/>
        <s v="CUST-8521"/>
        <s v="CUST-2204"/>
        <s v="CUST-8566"/>
        <s v="CUST-2358"/>
        <s v="CUST-2810"/>
        <s v="CUST-5166"/>
        <s v="CUST-4875"/>
        <s v="CUST-3154"/>
        <s v="CUST-6405"/>
        <s v="CUST-5779"/>
        <s v="CUST-9943"/>
        <s v="CUST-7438"/>
        <s v="CUST-8432"/>
        <s v="CUST-2834"/>
        <s v="CUST-4222"/>
        <s v="CUST-1053"/>
        <s v="CUST-1457"/>
        <s v="CUST-3930"/>
        <s v="CUST-7853"/>
        <s v="CUST-2267"/>
        <s v="CUST-6866"/>
        <s v="CUST-3160"/>
        <s v="CUST-8444"/>
        <s v="CUST-4765"/>
        <s v="CUST-2280"/>
        <s v="CUST-3177"/>
        <s v="CUST-4718"/>
        <s v="CUST-5647"/>
        <s v="CUST-7150"/>
        <s v="CUST-6694"/>
        <s v="CUST-7680"/>
        <s v="CUST-2700"/>
        <s v="CUST-2904"/>
        <s v="CUST-9961"/>
        <s v="CUST-9909"/>
        <s v="CUST-8520"/>
        <s v="CUST-5036"/>
        <s v="CUST-7721"/>
        <s v="CUST-9495"/>
        <s v="CUST-2855"/>
        <s v="CUST-4329"/>
        <s v="CUST-5094"/>
        <s v="CUST-4194"/>
        <s v="CUST-7087"/>
        <s v="CUST-7608"/>
        <s v="CUST-5269"/>
        <s v="CUST-7925"/>
        <s v="CUST-6552"/>
        <s v="CUST-7131"/>
        <s v="CUST-2779"/>
        <s v="CUST-6077"/>
        <s v="CUST-6169"/>
        <s v="CUST-8904"/>
        <s v="CUST-9586"/>
        <s v="CUST-5431"/>
        <s v="CUST-8843"/>
        <s v="CUST-7626"/>
        <s v="CUST-8562"/>
        <s v="CUST-2732"/>
        <s v="CUST-3989"/>
        <s v="CUST-3522"/>
        <s v="CUST-7066"/>
        <s v="CUST-2351"/>
        <s v="CUST-7291"/>
        <s v="CUST-4492"/>
        <s v="CUST-5029"/>
        <s v="CUST-7252"/>
        <s v="CUST-7346"/>
        <s v="CUST-3975"/>
        <s v="CUST-6588"/>
        <s v="CUST-2207"/>
        <s v="CUST-4475"/>
        <s v="CUST-1351"/>
        <s v="CUST-9295"/>
        <s v="CUST-3614"/>
        <s v="CUST-1932"/>
        <s v="CUST-8672"/>
        <s v="CUST-3907"/>
        <s v="CUST-8796"/>
        <s v="CUST-2317"/>
        <s v="CUST-8643"/>
        <s v="CUST-1800"/>
        <s v="CUST-7688"/>
        <s v="CUST-4957"/>
        <s v="CUST-1263"/>
        <s v="CUST-4745"/>
        <s v="CUST-5551"/>
        <s v="CUST-3659"/>
        <s v="CUST-6594"/>
        <s v="CUST-2626"/>
        <s v="CUST-7362"/>
        <s v="CUST-1748"/>
        <s v="CUST-2725"/>
        <s v="CUST-9470"/>
        <s v="CUST-4176"/>
        <s v="CUST-3448"/>
        <s v="CUST-4970"/>
        <s v="CUST-6147"/>
        <s v="CUST-7208"/>
        <s v="CUST-2794"/>
        <s v="CUST-6249"/>
        <s v="CUST-5712"/>
        <s v="CUST-3004"/>
        <s v="CUST-6920"/>
        <s v="CUST-4838"/>
        <s v="CUST-7520"/>
        <s v="CUST-9947"/>
        <s v="CUST-4403"/>
        <s v="CUST-3583"/>
        <s v="CUST-9432"/>
        <s v="CUST-1801"/>
        <s v="CUST-1594"/>
        <s v="CUST-8132"/>
        <s v="CUST-7685"/>
        <s v="CUST-2183"/>
        <s v="CUST-1636"/>
        <s v="CUST-1350"/>
        <s v="CUST-4101"/>
        <s v="CUST-4679"/>
        <s v="CUST-3765"/>
        <s v="CUST-9056"/>
        <s v="CUST-9801"/>
        <s v="CUST-2038"/>
        <s v="CUST-1567"/>
        <s v="CUST-1190"/>
        <s v="CUST-5604"/>
        <s v="CUST-7661"/>
        <s v="CUST-1534"/>
        <s v="CUST-7422"/>
        <s v="CUST-9693"/>
        <s v="CUST-5458"/>
        <s v="CUST-3011"/>
        <s v="CUST-1826"/>
        <s v="CUST-3333"/>
        <s v="CUST-7901"/>
        <s v="CUST-9759"/>
        <s v="CUST-7232"/>
        <s v="CUST-8993"/>
        <s v="CUST-7729"/>
        <s v="CUST-9986"/>
        <s v="CUST-2731"/>
        <s v="CUST-4235"/>
        <s v="CUST-3377"/>
        <s v="CUST-3258"/>
        <s v="CUST-2155"/>
        <s v="CUST-8012"/>
        <s v="CUST-2917"/>
        <s v="CUST-4653"/>
        <s v="CUST-3311"/>
        <s v="CUST-2924"/>
        <s v="CUST-7198"/>
        <s v="CUST-3419"/>
        <s v="CUST-2390"/>
        <s v="CUST-8177"/>
        <s v="CUST-6357"/>
        <s v="CUST-7690"/>
        <s v="CUST-4487"/>
        <s v="CUST-8204"/>
        <s v="CUST-1729"/>
        <s v="CUST-4269"/>
        <s v="CUST-1370"/>
        <s v="CUST-5381"/>
        <s v="CUST-3694"/>
        <s v="CUST-7563"/>
        <s v="CUST-4188"/>
        <s v="CUST-9376"/>
        <s v="CUST-9094"/>
        <s v="CUST-2366"/>
        <s v="CUST-7168"/>
        <s v="CUST-8157"/>
        <s v="CUST-9146"/>
        <s v="CUST-5129"/>
        <s v="CUST-6028"/>
        <s v="CUST-8687"/>
        <s v="CUST-8172"/>
        <s v="CUST-8861"/>
        <s v="CUST-9241"/>
        <s v="CUST-2126"/>
        <s v="CUST-7513"/>
        <s v="CUST-1992"/>
        <s v="CUST-8848"/>
        <s v="CUST-9368"/>
        <s v="CUST-6797"/>
        <s v="CUST-9333"/>
        <s v="CUST-6654"/>
        <s v="CUST-8622"/>
        <s v="CUST-8776"/>
        <s v="CUST-9100"/>
        <s v="CUST-5601"/>
        <s v="CUST-5246"/>
        <s v="CUST-3128"/>
        <s v="CUST-4604"/>
        <s v="CUST-2586"/>
        <s v="CUST-6585"/>
        <s v="CUST-3425"/>
        <s v="CUST-8633"/>
        <s v="CUST-8243"/>
        <s v="CUST-5496"/>
        <s v="CUST-2228"/>
        <s v="CUST-4151"/>
        <s v="CUST-9617"/>
        <s v="CUST-7958"/>
        <s v="CUST-9931"/>
        <s v="CUST-2088"/>
        <s v="CUST-1686"/>
        <s v="CUST-4894"/>
        <s v="CUST-5201"/>
        <s v="CUST-8626"/>
        <s v="CUST-1013"/>
        <s v="CUST-3601"/>
        <s v="CUST-7846"/>
        <s v="CUST-3433"/>
        <s v="CUST-2423"/>
        <s v="CUST-3559"/>
        <s v="CUST-6850"/>
        <s v="CUST-5566"/>
        <s v="CUST-2593"/>
        <s v="CUST-6957"/>
        <s v="CUST-8498"/>
        <s v="CUST-2612"/>
        <s v="CUST-6013"/>
        <s v="CUST-8289"/>
        <s v="CUST-5668"/>
        <s v="CUST-4526"/>
        <s v="CUST-4447"/>
        <s v="CUST-2698"/>
        <s v="CUST-6297"/>
        <s v="CUST-4380"/>
        <s v="CUST-6108"/>
        <s v="CUST-5663"/>
        <s v="CUST-9311"/>
        <s v="CUST-8154"/>
        <s v="CUST-4462"/>
        <s v="CUST-4660"/>
        <s v="CUST-9002"/>
        <s v="CUST-1057"/>
        <s v="CUST-9596"/>
        <s v="CUST-6947"/>
        <s v="CUST-7236"/>
        <s v="CUST-1127"/>
        <s v="CUST-6262"/>
        <s v="CUST-5070"/>
        <s v="CUST-7946"/>
        <s v="CUST-1793"/>
        <s v="CUST-8839"/>
        <s v="CUST-6725"/>
        <s v="CUST-3793"/>
        <s v="CUST-6075"/>
        <s v="CUST-6381"/>
        <s v="CUST-4593"/>
        <s v="CUST-5043"/>
        <s v="CUST-4722"/>
        <s v="CUST-7931"/>
        <s v="CUST-7221"/>
        <s v="CUST-2594"/>
        <s v="CUST-2111"/>
        <s v="CUST-6829"/>
        <s v="CUST-5061"/>
        <s v="CUST-7915"/>
        <s v="CUST-1940"/>
        <s v="CUST-5549"/>
        <s v="CUST-2314"/>
        <s v="CUST-6360"/>
        <s v="CUST-9942"/>
        <s v="CUST-1808"/>
        <s v="CUST-7277"/>
        <s v="CUST-2660"/>
        <s v="CUST-3970"/>
        <s v="CUST-8039"/>
        <s v="CUST-4446"/>
        <s v="CUST-7787"/>
        <s v="CUST-9074"/>
        <s v="CUST-8330"/>
        <s v="CUST-5638"/>
        <s v="CUST-4537"/>
        <s v="CUST-3181"/>
        <s v="CUST-1015"/>
        <s v="CUST-2709"/>
        <s v="CUST-1197"/>
        <s v="CUST-7758"/>
        <s v="CUST-3912"/>
        <s v="CUST-4190"/>
        <s v="CUST-7568"/>
        <s v="CUST-3293"/>
        <s v="CUST-8180"/>
        <s v="CUST-2807"/>
        <s v="CUST-4081"/>
        <s v="CUST-9212"/>
        <s v="CUST-1674"/>
        <s v="CUST-2897"/>
        <s v="CUST-1136"/>
        <s v="CUST-1376"/>
        <s v="CUST-1553"/>
        <s v="CUST-5704"/>
        <s v="CUST-6738"/>
        <s v="CUST-3127"/>
        <s v="CUST-9347"/>
        <s v="CUST-8575"/>
        <s v="CUST-4382"/>
        <s v="CUST-6815"/>
        <s v="CUST-7309"/>
        <s v="CUST-9531"/>
        <s v="CUST-6032"/>
        <s v="CUST-6257"/>
        <s v="CUST-7812"/>
        <s v="CUST-6205"/>
        <s v="CUST-5357"/>
        <s v="CUST-9802"/>
        <s v="CUST-5646"/>
        <s v="CUST-7171"/>
        <s v="CUST-5231"/>
        <s v="CUST-8734"/>
        <s v="CUST-4916"/>
        <s v="CUST-3289"/>
        <s v="CUST-4928"/>
        <s v="CUST-4902"/>
        <s v="CUST-6504"/>
        <s v="CUST-8036"/>
        <s v="CUST-7199"/>
        <s v="CUST-6176"/>
        <s v="CUST-5127"/>
        <s v="CUST-9902"/>
        <s v="CUST-7446"/>
        <s v="CUST-7540"/>
        <s v="CUST-8351"/>
        <s v="CUST-3918"/>
        <s v="CUST-1991"/>
        <s v="CUST-7606"/>
        <s v="CUST-8844"/>
        <s v="CUST-4335"/>
        <s v="CUST-5891"/>
        <s v="CUST-6371"/>
        <s v="CUST-6655"/>
        <s v="CUST-6492"/>
        <s v="CUST-1154"/>
        <s v="CUST-8713"/>
        <s v="CUST-6765"/>
        <s v="CUST-6849"/>
        <s v="CUST-4973"/>
        <s v="CUST-2394"/>
        <s v="CUST-5406"/>
        <s v="CUST-1963"/>
        <s v="CUST-9017"/>
        <s v="CUST-7967"/>
        <s v="CUST-5334"/>
        <s v="CUST-5846"/>
        <s v="CUST-3285"/>
        <s v="CUST-6368"/>
        <s v="CUST-6231"/>
        <s v="CUST-2021"/>
        <s v="CUST-1493"/>
        <s v="CUST-8416"/>
        <s v="CUST-3103"/>
        <s v="CUST-4457"/>
        <s v="CUST-7036"/>
        <s v="CUST-8512"/>
        <s v="CUST-6345"/>
        <s v="CUST-4505"/>
        <s v="CUST-7960"/>
        <s v="CUST-3365"/>
        <s v="CUST-1557"/>
        <s v="CUST-3058"/>
        <s v="CUST-6076"/>
        <s v="CUST-2098"/>
        <s v="CUST-7193"/>
        <s v="CUST-8948"/>
        <s v="CUST-6921"/>
        <s v="CUST-4086"/>
        <s v="CUST-8747"/>
        <s v="CUST-3156"/>
        <s v="CUST-2043"/>
        <s v="CUST-8808"/>
        <s v="CUST-1293"/>
        <s v="CUST-8384"/>
        <s v="CUST-8422"/>
        <s v="CUST-4766"/>
        <s v="CUST-1182"/>
        <s v="CUST-4461"/>
        <s v="CUST-9690"/>
        <s v="CUST-6879"/>
        <s v="CUST-4714"/>
        <s v="CUST-7547"/>
        <s v="CUST-3288"/>
        <s v="CUST-8597"/>
        <s v="CUST-9085"/>
        <s v="CUST-7746"/>
        <s v="CUST-3119"/>
        <s v="CUST-7518"/>
        <s v="CUST-1343"/>
        <s v="CUST-7548"/>
        <s v="CUST-3631"/>
        <s v="CUST-1453"/>
        <s v="CUST-1951"/>
        <s v="CUST-6300"/>
        <s v="CUST-1417"/>
        <s v="CUST-5421"/>
        <s v="CUST-2829"/>
        <s v="CUST-6529"/>
        <s v="CUST-3126"/>
        <s v="CUST-3991"/>
        <s v="CUST-7553"/>
        <s v="CUST-8527"/>
        <s v="CUST-5015"/>
        <s v="CUST-3344"/>
        <s v="CUST-5866"/>
        <s v="CUST-7180"/>
        <s v="CUST-8745"/>
        <s v="CUST-3704"/>
        <s v="CUST-5884"/>
        <s v="CUST-7503"/>
        <s v="CUST-6973"/>
        <s v="CUST-3303"/>
        <s v="CUST-5754"/>
        <s v="CUST-7848"/>
        <s v="CUST-9048"/>
        <s v="CUST-2951"/>
        <s v="CUST-3072"/>
        <s v="CUST-2221"/>
        <s v="CUST-3943"/>
        <s v="CUST-7510"/>
        <s v="CUST-2041"/>
        <s v="CUST-4466"/>
        <s v="CUST-3188"/>
        <s v="CUST-6638"/>
        <s v="CUST-3540"/>
        <s v="CUST-3351"/>
        <s v="CUST-4375"/>
        <s v="CUST-5125"/>
        <s v="CUST-6010"/>
        <s v="CUST-9036"/>
        <s v="CUST-7929"/>
        <s v="CUST-1106"/>
        <s v="CUST-9557"/>
        <s v="CUST-2689"/>
        <s v="CUST-2879"/>
        <s v="CUST-5150"/>
        <s v="CUST-9776"/>
        <s v="CUST-2551"/>
        <s v="CUST-4708"/>
        <s v="CUST-8206"/>
        <s v="CUST-1297"/>
        <s v="CUST-7558"/>
        <s v="CUST-1798"/>
        <s v="CUST-7333"/>
        <s v="CUST-2086"/>
        <s v="CUST-6522"/>
        <s v="CUST-8329"/>
        <s v="CUST-4426"/>
        <s v="CUST-3360"/>
        <s v="CUST-2623"/>
        <s v="CUST-3175"/>
        <s v="CUST-9630"/>
        <s v="CUST-8274"/>
        <s v="CUST-2514"/>
        <s v="CUST-9576"/>
        <s v="CUST-2395"/>
        <s v="CUST-8941"/>
        <s v="CUST-9448"/>
        <s v="CUST-8354"/>
        <s v="CUST-2200"/>
        <s v="CUST-1178"/>
        <s v="CUST-8099"/>
        <s v="CUST-7596"/>
        <s v="CUST-2328"/>
        <s v="CUST-8483"/>
        <s v="CUST-2388"/>
        <s v="CUST-7054"/>
        <s v="CUST-8160"/>
        <s v="CUST-8770"/>
        <s v="CUST-6928"/>
        <s v="CUST-9044"/>
        <s v="CUST-7146"/>
        <s v="CUST-8534"/>
        <s v="CUST-4486"/>
        <s v="CUST-5287"/>
        <s v="CUST-3445"/>
        <s v="CUST-4983"/>
        <s v="CUST-2597"/>
        <s v="CUST-7505"/>
        <s v="CUST-3446"/>
        <s v="CUST-3549"/>
        <s v="CUST-2795"/>
        <s v="CUST-1081"/>
        <s v="CUST-3992"/>
        <s v="CUST-6647"/>
        <s v="CUST-5087"/>
        <s v="CUST-9297"/>
        <s v="CUST-7996"/>
        <s v="CUST-4117"/>
        <s v="CUST-4848"/>
        <s v="CUST-6046"/>
        <s v="CUST-3789"/>
        <m/>
      </sharedItems>
    </cacheField>
    <cacheField name="customer_name" numFmtId="0">
      <sharedItems containsBlank="1" count="24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Ananya Rao "/>
        <s v="Kabir Singh"/>
        <s v="Vikram  Iyer"/>
        <s v="Priya Menon "/>
        <s v="Aarav  Sharma"/>
        <s v="  Diya Patel "/>
        <s v="Rohan  Mehta"/>
        <s v="  Rahul Verma "/>
        <s v="Karan Malhotra "/>
        <m/>
      </sharedItems>
    </cacheField>
    <cacheField name="Customer Name Clean" numFmtId="0">
      <sharedItems containsBlank="1" count="16">
        <s v="Karan Malhotra"/>
        <s v="Mira Das"/>
        <s v="Isha Nair"/>
        <s v="Arjun Bose"/>
        <s v="Ananya Rao"/>
        <s v="Vikram Iyer"/>
        <s v="Neha Gupta"/>
        <s v="Aditi Sen"/>
        <s v="Priya Menon"/>
        <s v="Rahul Verma"/>
        <s v="Aarav Sharma"/>
        <s v="Sneha Kapoor"/>
        <s v="Rohan Mehta"/>
        <s v="Diya Patel"/>
        <s v="Kabir Singh"/>
        <m/>
      </sharedItems>
    </cacheField>
    <cacheField name="segment" numFmtId="0">
      <sharedItems containsBlank="1" count="13">
        <s v="Consumer"/>
        <s v="Small Business"/>
        <s v="Corporate"/>
        <s v="Home Office"/>
        <s v="Corporate "/>
        <s v="  Small Business "/>
        <s v="  Home Office "/>
        <s v="  Consumer "/>
        <s v="Small Business "/>
        <s v="Small  Business"/>
        <s v="  Corporate "/>
        <s v="Home Office "/>
        <m/>
      </sharedItems>
    </cacheField>
    <cacheField name="segment clean" numFmtId="0">
      <sharedItems containsBlank="1" count="5">
        <s v="Consumer"/>
        <s v="Small Business"/>
        <s v="Corporate"/>
        <s v="Home Office"/>
        <m/>
      </sharedItems>
    </cacheField>
    <cacheField name="region" numFmtId="0">
      <sharedItems containsBlank="1" count="10">
        <s v="  North "/>
        <s v="East"/>
        <s v="South"/>
        <s v="West"/>
        <s v="North"/>
        <m/>
        <s v="North "/>
        <s v="  East "/>
        <s v="West "/>
        <s v="  South "/>
      </sharedItems>
    </cacheField>
    <cacheField name="region clean" numFmtId="0">
      <sharedItems containsBlank="1" count="6">
        <s v="North"/>
        <s v="East"/>
        <s v="South"/>
        <s v="West"/>
        <s v=""/>
        <m/>
      </sharedItems>
    </cacheField>
    <cacheField name="state" numFmtId="0">
      <sharedItems containsBlank="1" count="20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  <m/>
      </sharedItems>
    </cacheField>
    <cacheField name="state clean" numFmtId="0">
      <sharedItems containsBlank="1" count="20">
        <s v="Rajasthan"/>
        <s v="Odisha"/>
        <s v="Telangana"/>
        <s v="Maharashtra"/>
        <s v="Madhya Pradesh"/>
        <s v="Andhra Pradesh"/>
        <s v="West Bengal"/>
        <s v="Punjab"/>
        <s v="Uttar Pradesh"/>
        <s v="Bihar"/>
        <s v="Assam"/>
        <s v="Karnataka"/>
        <s v="Gujarat"/>
        <s v="Kerala"/>
        <s v="Goa"/>
        <s v="Jharkhand"/>
        <s v="Haryana"/>
        <s v="Tamil Nadu"/>
        <s v="Delhi"/>
        <m/>
      </sharedItems>
    </cacheField>
    <cacheField name="city" numFmtId="0">
      <sharedItems containsBlank="1" count="21"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  <m/>
      </sharedItems>
    </cacheField>
    <cacheField name="city clean" numFmtId="0">
      <sharedItems containsBlank="1" count="21">
        <s v="Jaipur"/>
        <s v="Bhubaneswar"/>
        <s v="Hyderabad"/>
        <s v="Mumbai"/>
        <s v="Indore"/>
        <s v="Vijayawada"/>
        <s v="Kolkata"/>
        <s v="Udaipur"/>
        <s v="Ludhiana"/>
        <s v="Noida"/>
        <s v="Patna"/>
        <s v="Guwahati"/>
        <s v="Bengaluru"/>
        <s v="Ahmedabad"/>
        <s v="Kochi"/>
        <s v="Panaji"/>
        <s v="Ranchi"/>
        <s v="Gurugram"/>
        <s v="Chennai"/>
        <s v="New Delhi"/>
        <m/>
      </sharedItems>
    </cacheField>
    <cacheField name="category" numFmtId="0">
      <sharedItems containsBlank="1" count="10">
        <s v="Office Supplies"/>
        <s v="Furniture"/>
        <s v="Technology"/>
        <s v="  Furniture "/>
        <s v="Technology "/>
        <s v="Furniture "/>
        <s v="Office  Supplies"/>
        <s v="Office Supplies "/>
        <s v="  Technology "/>
        <m/>
      </sharedItems>
    </cacheField>
    <cacheField name="category clean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7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s v="  Accessories "/>
        <s v="Accessories "/>
        <s v="Machines "/>
        <m/>
      </sharedItems>
    </cacheField>
    <cacheField name="subcategory clean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 count="896"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  <m/>
      </sharedItems>
    </cacheField>
    <cacheField name="product name clean" numFmtId="0">
      <sharedItems containsBlank="1" count="896">
        <s v="Pro Paper 122"/>
        <s v="Pro Tables 258"/>
        <s v="Elite Art 525"/>
        <s v="Smart Furnishings 294"/>
        <s v="Elite Chairs 543"/>
        <s v="Pro Accessories 821"/>
        <s v="Eco Copiers 790"/>
        <s v="Eco Art 848"/>
        <s v="Classic Labels 815"/>
        <s v="Pro Paper 622"/>
        <s v="Prime Labels 644"/>
        <s v="Smart Accessories 603"/>
        <s v="Pro Paper 481"/>
        <s v="Smart Art 795"/>
        <s v="Max Copiers 983"/>
        <s v="Classic Storage 198"/>
        <s v="Basic Art 204"/>
        <s v="Basic Furnishings 434"/>
        <s v="Eco Copiers 755"/>
        <s v="Prime Storage 121"/>
        <s v="Elite Copiers 233"/>
        <s v="Eco Furnishings 897"/>
        <s v="Max Binders 355"/>
        <s v="Pro Bookcases 394"/>
        <s v="Max Art 215"/>
        <s v="Classic Accessories 478"/>
        <s v="Pro Phones 243"/>
        <s v="Basic Paper 613"/>
        <s v="Prime Phones 698"/>
        <s v="Pro Phones 442"/>
        <s v="Pro Labels 355"/>
        <s v="Pro Paper 959"/>
        <s v="Basic Phones 242"/>
        <s v="Max Tables 836"/>
        <s v="Elite Chairs 862"/>
        <s v="Prime Bookcases 414"/>
        <s v="Eco Bookcases 220"/>
        <s v="Pro Copiers 830"/>
        <s v="Prime Phones 507"/>
        <s v="Classic Copiers 590"/>
        <s v="Eco Copiers 865"/>
        <s v="Classic Bookcases 835"/>
        <s v="Eco Phones 702"/>
        <s v="Smart Furnishings 956"/>
        <s v="Max Chairs 393"/>
        <s v="Prime Art 221"/>
        <s v="Elite Bookcases 671"/>
        <s v="Max Storage 432"/>
        <s v="Basic Chairs 837"/>
        <s v="Classic Copiers 295"/>
        <s v="Pro Copiers 963"/>
        <s v="Pro Art 907"/>
        <s v="Pro Chairs 526"/>
        <s v="Elite Storage 924"/>
        <s v="Pro Labels 957"/>
        <s v="Classic Machines 310"/>
        <s v="Smart Binders 393"/>
        <s v="Max Chairs 813"/>
        <s v="Basic Storage 872"/>
        <s v="Smart Labels 655"/>
        <s v="Eco Labels 210"/>
        <s v="Classic Bookcases 296"/>
        <s v="Basic Phones 230"/>
        <s v="Pro Binders 690"/>
        <s v="Classic Paper 458"/>
        <s v="Pro Paper 552"/>
        <s v="Elite Accessories 187"/>
        <s v="Eco Paper 922"/>
        <s v="Pro Storage 975"/>
        <s v="Prime Machines 782"/>
        <s v="Max Phones 661"/>
        <s v="Elite Machines 836"/>
        <s v="Prime Tables 902"/>
        <s v="Smart Bookcases 167"/>
        <s v="Max Chairs 244"/>
        <s v="Eco Labels 653"/>
        <s v="Max Labels 617"/>
        <s v="Pro Furnishings 529"/>
        <s v="Smart Tables 561"/>
        <s v="Prime Chairs 838"/>
        <s v="Elite Storage 371"/>
        <s v="Eco Labels 662"/>
        <s v="Smart Copiers 702"/>
        <s v="Elite Tables 362"/>
        <s v="Elite Phones 781"/>
        <s v="Eco Binders 456"/>
        <s v="Basic Copiers 525"/>
        <s v="Eco Binders 258"/>
        <s v="Max Bookcases 398"/>
        <s v="Smart Bookcases 857"/>
        <s v="Smart Copiers 556"/>
        <s v="Prime Copiers 575"/>
        <s v="Elite Paper 669"/>
        <s v="Eco Binders 780"/>
        <s v="Elite Phones 723"/>
        <s v="Classic Bookcases 988"/>
        <s v="Smart Copiers 547"/>
        <s v="Basic Storage 656"/>
        <s v="Elite Copiers 785"/>
        <s v="Smart Accessories 542"/>
        <s v="Eco Storage 936"/>
        <s v="Classic Furnishings 682"/>
        <s v="Classic Chairs 604"/>
        <s v="Prime Tables 377"/>
        <s v="Prime Labels 807"/>
        <s v="Eco Tables 575"/>
        <s v="Eco Paper 918"/>
        <s v="Prime Furnishings 952"/>
        <s v="Prime Bookcases 631"/>
        <s v="Classic Binders 660"/>
        <s v="Pro Labels 255"/>
        <s v="Basic Accessories 187"/>
        <s v="Max Accessories 451"/>
        <s v="Classic Tables 752"/>
        <s v="Eco Accessories 452"/>
        <s v="Classic Binders 203"/>
        <s v="Basic Binders 859"/>
        <s v="Elite Machines 705"/>
        <s v="Pro Copiers 208"/>
        <s v="Elite Chairs 921"/>
        <s v="Prime Phones 540"/>
        <s v="Max Machines 948"/>
        <s v="Max Chairs 786"/>
        <s v="Max Copiers 970"/>
        <s v="Pro Copiers 769"/>
        <s v="Basic Tables 753"/>
        <s v="Prime Copiers 651"/>
        <s v="Basic Storage 321"/>
        <s v="Prime Furnishings 710"/>
        <s v="Elite Binders 723"/>
        <s v="Smart Labels 878"/>
        <s v="Pro Paper 934"/>
        <s v="Classic Machines 886"/>
        <s v="Prime Phones 419"/>
        <s v="Elite Bookcases 266"/>
        <s v="Prime Bookcases 954"/>
        <s v="Max Binders 362"/>
        <s v="Prime Chairs 261"/>
        <s v="Basic Machines 185"/>
        <s v="Basic Labels 509"/>
        <s v="Elite Bookcases 696"/>
        <s v="Elite Bookcases 772"/>
        <s v="Classic Phones 142"/>
        <s v="Pro Paper 575"/>
        <s v="Elite Accessories 905"/>
        <s v="Smart Paper 899"/>
        <s v="Classic Storage 423"/>
        <s v="Classic Furnishings 743"/>
        <s v="Smart Phones 336"/>
        <s v="Eco Copiers 381"/>
        <s v="Max Bookcases 595"/>
        <s v="Max Copiers 992"/>
        <s v="Pro Tables 407"/>
        <s v="Prime Labels 559"/>
        <s v="Classic Bookcases 847"/>
        <s v="Classic Furnishings 655"/>
        <s v="Eco Machines 657"/>
        <s v="Pro Bookcases 430"/>
        <s v="Max Bookcases 881"/>
        <s v="Elite Chairs 998"/>
        <s v="Max Paper 113"/>
        <s v="Smart Binders 267"/>
        <s v="Pro Furnishings 108"/>
        <s v="Elite Tables 389"/>
        <s v="Pro Bookcases 595"/>
        <s v="Max Chairs 148"/>
        <s v="Basic Labels 671"/>
        <s v="Elite Storage 628"/>
        <s v="Eco Accessories 590"/>
        <s v="Pro Art 734"/>
        <s v="Eco Copiers 102"/>
        <s v="Basic Labels 876"/>
        <s v="Prime Furnishings 381"/>
        <s v="Prime Copiers 440"/>
        <s v="Pro Bookcases 319"/>
        <s v="Basic Machines 584"/>
        <s v="Pro Bookcases 612"/>
        <s v="Classic Art 573"/>
        <s v="Eco Art 854"/>
        <s v="Classic Furnishings 996"/>
        <s v="Prime Binders 735"/>
        <s v="Pro Art 587"/>
        <s v="Basic Machines 575"/>
        <s v="Elite Copiers 788"/>
        <s v="Max Bookcases 472"/>
        <s v="Smart Labels 475"/>
        <s v="Basic Tables 417"/>
        <s v="Pro Chairs 844"/>
        <s v="Elite Bookcases 883"/>
        <s v="Basic Bookcases 754"/>
        <s v="Eco Storage 158"/>
        <s v="Prime Bookcases 602"/>
        <s v="Eco Chairs 438"/>
        <s v="Prime Copiers 142"/>
        <s v="Prime Furnishings 433"/>
        <s v="Smart Furnishings 685"/>
        <s v="Elite Storage 915"/>
        <s v="Basic Storage 961"/>
        <s v="Classic Art 968"/>
        <s v="Prime Machines 806"/>
        <s v="Classic Copiers 479"/>
        <s v="Basic Labels 511"/>
        <s v="Prime Accessories 733"/>
        <s v="Max Accessories 186"/>
        <s v="Elite Tables 318"/>
        <s v="Smart Labels 354"/>
        <s v="Pro Furnishings 981"/>
        <s v="Eco Bookcases 671"/>
        <s v="Max Chairs 151"/>
        <s v="Prime Paper 903"/>
        <s v="Classic Machines 944"/>
        <s v="Basic Copiers 222"/>
        <s v="Max Phones 329"/>
        <s v="Classic Accessories 840"/>
        <s v="Classic Accessories 757"/>
        <s v="Prime Paper 286"/>
        <s v="Basic Tables 400"/>
        <s v="Basic Bookcases 405"/>
        <s v="Classic Bookcases 139"/>
        <s v="Elite Machines 290"/>
        <s v="Elite Storage 925"/>
        <s v="Classic Chairs 231"/>
        <s v="Prime Storage 818"/>
        <s v="Elite Furnishings 449"/>
        <s v="Classic Furnishings 109"/>
        <s v="Classic Phones 548"/>
        <s v="Max Copiers 363"/>
        <s v="Prime Binders 507"/>
        <s v="Smart Labels 914"/>
        <s v="Smart Bookcases 662"/>
        <s v="Eco Paper 937"/>
        <s v="Max Labels 370"/>
        <s v="Classic Phones 530"/>
        <s v="Smart Bookcases 328"/>
        <s v="Eco Furnishings 981"/>
        <s v="Basic Storage 195"/>
        <s v="Elite Bookcases 907"/>
        <s v="Smart Copiers 471"/>
        <s v="Prime Storage 625"/>
        <s v="Smart Machines 801"/>
        <s v="Max Binders 170"/>
        <s v="Basic Storage 737"/>
        <s v="Classic Art 126"/>
        <s v="Prime Accessories 243"/>
        <s v="Eco Bookcases 768"/>
        <s v="Pro Chairs 316"/>
        <s v="Classic Machines 819"/>
        <s v="Smart Accessories 572"/>
        <s v="Basic Labels 432"/>
        <s v="Classic Furnishings 378"/>
        <s v="Prime Furnishings 781"/>
        <s v="Prime Tables 263"/>
        <s v="Basic Storage 269"/>
        <s v="Classic Phones 442"/>
        <s v="Elite Accessories 978"/>
        <s v="Eco Phones 132"/>
        <s v="Prime Tables 481"/>
        <s v="Smart Accessories 180"/>
        <s v="Smart Tables 774"/>
        <s v="Prime Machines 793"/>
        <s v="Elite Binders 827"/>
        <s v="Prime Labels 326"/>
        <s v="Eco Phones 245"/>
        <s v="Smart Binders 905"/>
        <s v="Pro Copiers 599"/>
        <s v="Basic Bookcases 570"/>
        <s v="Classic Storage 926"/>
        <s v="Basic Furnishings 372"/>
        <s v="Prime Accessories 367"/>
        <s v="Max Tables 526"/>
        <s v="Prime Machines 794"/>
        <s v="Max Binders 927"/>
        <s v="Eco Chairs 314"/>
        <s v="Basic Paper 657"/>
        <s v="Pro Copiers 406"/>
        <s v="Eco Furnishings 678"/>
        <s v="Basic Chairs 141"/>
        <s v="Elite Accessories 291"/>
        <s v="Pro Accessories 207"/>
        <s v="Max Storage 564"/>
        <s v="Prime Copiers 961"/>
        <s v="Basic Binders 637"/>
        <s v="Classic Tables 811"/>
        <s v="Classic Furnishings 819"/>
        <s v="Prime Tables 542"/>
        <s v="Basic Storage 771"/>
        <s v="Pro Furnishings 848"/>
        <s v="Prime Copiers 924"/>
        <s v="Classic Binders 721"/>
        <s v="Basic Bookcases 823"/>
        <s v="Classic Tables 178"/>
        <s v="Eco Binders 153"/>
        <s v="Classic Art 183"/>
        <s v="Pro Phones 455"/>
        <s v="Basic Phones 326"/>
        <s v="Max Binders 587"/>
        <s v="Basic Furnishings 617"/>
        <s v="Prime Copiers 669"/>
        <s v="Eco Copiers 894"/>
        <s v="Max Accessories 145"/>
        <s v="Classic Accessories 126"/>
        <s v="Elite Phones 202"/>
        <s v="Elite Storage 535"/>
        <s v="Elite Chairs 107"/>
        <s v="Pro Furnishings 991"/>
        <s v="Eco Chairs 105"/>
        <s v="Pro Phones 530"/>
        <s v="Basic Tables 911"/>
        <s v="Classic Tables 224"/>
        <s v="Prime Tables 214"/>
        <s v="Max Machines 988"/>
        <s v="Max Binders 425"/>
        <s v="Elite Phones 679"/>
        <s v="Pro Phones 764"/>
        <s v="Elite Labels 544"/>
        <s v="Smart Paper 817"/>
        <s v="Classic Labels 466"/>
        <s v="Pro Tables 778"/>
        <s v="Basic Phones 789"/>
        <s v="Prime Binders 554"/>
        <s v="Classic Art 299"/>
        <s v="Eco Accessories 220"/>
        <s v="Max Phones 422"/>
        <s v="Basic Labels 102"/>
        <s v="Prime Copiers 170"/>
        <s v="Smart Furnishings 533"/>
        <s v="Classic Accessories 489"/>
        <s v="Smart Storage 439"/>
        <s v="Prime Storage 232"/>
        <s v="Prime Accessories 335"/>
        <s v="Smart Binders 939"/>
        <s v="Basic Machines 601"/>
        <s v="Pro Phones 968"/>
        <s v="Pro Storage 563"/>
        <s v="Prime Paper 559"/>
        <s v="Pro Copiers 999"/>
        <s v="Classic Labels 206"/>
        <s v="Eco Accessories 315"/>
        <s v="Elite Bookcases 988"/>
        <s v="Smart Binders 414"/>
        <s v="Eco Chairs 552"/>
        <s v="Smart Binders 574"/>
        <s v="Pro Machines 444"/>
        <s v="Elite Bookcases 184"/>
        <s v="Elite Furnishings 138"/>
        <s v="Eco Chairs 369"/>
        <s v="Max Chairs 487"/>
        <s v="Classic Phones 989"/>
        <s v="Max Furnishings 628"/>
        <s v="Elite Furnishings 279"/>
        <s v="Pro Storage 847"/>
        <s v="Elite Copiers 706"/>
        <s v="Prime Art 978"/>
        <s v="Classic Furnishings 498"/>
        <s v="Max Tables 829"/>
        <s v="Eco Chairs 346"/>
        <s v="Max Machines 770"/>
        <s v="Smart Bookcases 134"/>
        <s v="Classic Phones 586"/>
        <s v="Elite Furnishings 634"/>
        <s v="Basic Chairs 113"/>
        <s v="Elite Machines 216"/>
        <s v="Smart Tables 943"/>
        <s v="Prime Chairs 101"/>
        <s v="Basic Accessories 774"/>
        <s v="Max Tables 478"/>
        <s v="Eco Art 646"/>
        <s v="Prime Accessories 962"/>
        <s v="Eco Labels 646"/>
        <s v="Classic Copiers 505"/>
        <s v="Pro Art 906"/>
        <s v="Max Chairs 181"/>
        <s v="Prime Storage 951"/>
        <s v="Smart Labels 668"/>
        <s v="Pro Chairs 364"/>
        <s v="Basic Chairs 248"/>
        <s v="Basic Storage 360"/>
        <s v="Basic Accessories 988"/>
        <s v="Max Paper 334"/>
        <s v="Prime Bookcases 952"/>
        <s v="Prime Binders 523"/>
        <s v="Pro Phones 538"/>
        <s v="Basic Art 608"/>
        <s v="Prime Copiers 820"/>
        <s v="Classic Labels 670"/>
        <s v="Prime Furnishings 597"/>
        <s v="Prime Chairs 196"/>
        <s v="Elite Chairs 639"/>
        <s v="Elite Machines 563"/>
        <s v="Pro Furnishings 281"/>
        <s v="Eco Storage 285"/>
        <s v="Classic Furnishings 746"/>
        <s v="Eco Labels 815"/>
        <s v="Prime Furnishings 879"/>
        <s v="Pro Tables 142"/>
        <s v="Prime Machines 267"/>
        <s v="Eco Tables 378"/>
        <s v="Elite Machines 523"/>
        <s v="Elite Paper 308"/>
        <s v="Prime Paper 851"/>
        <s v="Classic Tables 151"/>
        <s v="Smart Tables 829"/>
        <s v="Classic Paper 237"/>
        <s v="Prime Chairs 891"/>
        <s v="Max Bookcases 812"/>
        <s v="Basic Furnishings 164"/>
        <s v="Smart Labels 261"/>
        <s v="Max Chairs 765"/>
        <s v="Pro Accessories 686"/>
        <s v="Smart Tables 100"/>
        <s v="Basic Tables 615"/>
        <s v="Basic Chairs 790"/>
        <s v="Smart Accessories 226"/>
        <s v="Max Storage 692"/>
        <s v="Basic Storage 684"/>
        <s v="Smart Furnishings 152"/>
        <s v="Max Art 736"/>
        <s v="Elite Copiers 971"/>
        <s v="Classic Phones 940"/>
        <s v="Pro Machines 579"/>
        <s v="Elite Binders 943"/>
        <s v="Elite Copiers 474"/>
        <s v="Prime Accessories 236"/>
        <s v="Prime Phones 881"/>
        <s v="Pro Labels 903"/>
        <s v="Max Copiers 402"/>
        <s v="Prime Accessories 419"/>
        <s v="Elite Phones 488"/>
        <s v="Prime Copiers 109"/>
        <s v="Max Paper 576"/>
        <s v="Max Machines 412"/>
        <s v="Classic Bookcases 291"/>
        <s v="Elite Art 946"/>
        <s v="Eco Accessories 705"/>
        <s v="Max Machines 151"/>
        <s v="Max Furnishings 803"/>
        <s v="Max Accessories 423"/>
        <s v="Elite Phones 276"/>
        <s v="Smart Storage 287"/>
        <s v="Basic Machines 610"/>
        <s v="Elite Bookcases 393"/>
        <s v="Prime Tables 242"/>
        <s v="Basic Furnishings 563"/>
        <s v="Prime Accessories 482"/>
        <s v="Eco Bookcases 215"/>
        <s v="Eco Storage 793"/>
        <s v="Basic Bookcases 182"/>
        <s v="Prime Chairs 631"/>
        <s v="Basic Machines 808"/>
        <s v="Pro Chairs 302"/>
        <s v="Classic Paper 272"/>
        <s v="Smart Accessories 149"/>
        <s v="Elite Labels 322"/>
        <s v="Max Furnishings 821"/>
        <s v="Basic Art 556"/>
        <s v="Smart Accessories 265"/>
        <s v="Elite Tables 418"/>
        <s v="Pro Phones 907"/>
        <s v="Basic Paper 233"/>
        <s v="Eco Copiers 603"/>
        <s v="Max Paper 700"/>
        <s v="Pro Binders 404"/>
        <s v="Eco Phones 208"/>
        <s v="Elite Paper 106"/>
        <s v="Eco Labels 914"/>
        <s v="Max Accessories 486"/>
        <s v="Max Copiers 867"/>
        <s v="Pro Binders 555"/>
        <s v="Pro Copiers 971"/>
        <s v="Pro Tables 833"/>
        <s v="Prime Binders 497"/>
        <s v="Pro Storage 756"/>
        <s v="Max Copiers 829"/>
        <s v="Prime Furnishings 827"/>
        <s v="Eco Chairs 365"/>
        <s v="Classic Storage 545"/>
        <s v="Pro Chairs 186"/>
        <s v="Classic Machines 561"/>
        <s v="Max Chairs 594"/>
        <s v="Eco Storage 923"/>
        <s v="Classic Machines 287"/>
        <s v="Basic Accessories 518"/>
        <s v="Pro Copiers 984"/>
        <s v="Max Furnishings 297"/>
        <s v="Elite Bookcases 802"/>
        <s v="Pro Tables 257"/>
        <s v="Prime Furnishings 299"/>
        <s v="Eco Tables 487"/>
        <s v="Prime Accessories 960"/>
        <s v="Smart Binders 191"/>
        <s v="Prime Accessories 118"/>
        <s v="Elite Storage 331"/>
        <s v="Prime Paper 996"/>
        <s v="Smart Phones 125"/>
        <s v="Eco Phones 220"/>
        <s v="Eco Chairs 795"/>
        <s v="Smart Accessories 896"/>
        <s v="Basic Chairs 255"/>
        <s v="Eco Chairs 210"/>
        <s v="Prime Phones 533"/>
        <s v="Elite Art 325"/>
        <s v="Prime Copiers 557"/>
        <s v="Smart Phones 674"/>
        <s v="Elite Art 553"/>
        <s v="Classic Art 339"/>
        <s v="Smart Furnishings 352"/>
        <s v="Classic Binders 602"/>
        <s v="Smart Machines 853"/>
        <s v="Classic Machines 599"/>
        <s v="Pro Storage 373"/>
        <s v="Smart Bookcases 920"/>
        <s v="Pro Labels 849"/>
        <s v="Prime Accessories 849"/>
        <s v="Smart Accessories 388"/>
        <s v="Classic Paper 752"/>
        <s v="Classic Copiers 143"/>
        <s v="Basic Furnishings 386"/>
        <s v="Classic Tables 592"/>
        <s v="Pro Tables 412"/>
        <s v="Prime Machines 393"/>
        <s v="Classic Labels 776"/>
        <s v="Max Phones 612"/>
        <s v="Basic Paper 315"/>
        <s v="Basic Chairs 333"/>
        <s v="Prime Chairs 215"/>
        <s v="Elite Tables 815"/>
        <s v="Basic Paper 388"/>
        <s v="Eco Binders 855"/>
        <s v="Classic Bookcases 947"/>
        <s v="Eco Binders 352"/>
        <s v="Pro Storage 364"/>
        <s v="Classic Tables 213"/>
        <s v="Smart Tables 659"/>
        <s v="Classic Accessories 325"/>
        <s v="Eco Copiers 243"/>
        <s v="Elite Chairs 777"/>
        <s v="Classic Art 772"/>
        <s v="Elite Tables 888"/>
        <s v="Classic Chairs 666"/>
        <s v="Basic Furnishings 350"/>
        <s v="Elite Copiers 831"/>
        <s v="Eco Bookcases 759"/>
        <s v="Max Copiers 440"/>
        <s v="Smart Art 201"/>
        <s v="Classic Storage 755"/>
        <s v="Prime Paper 143"/>
        <s v="Max Copiers 607"/>
        <s v="Prime Bookcases 402"/>
        <s v="Pro Art 287"/>
        <s v="Max Accessories 591"/>
        <s v="Elite Chairs 314"/>
        <s v="Pro Copiers 246"/>
        <s v="Pro Storage 128"/>
        <s v="Prime Furnishings 892"/>
        <s v="Prime Storage 689"/>
        <s v="Classic Tables 769"/>
        <s v="Prime Phones 503"/>
        <s v="Basic Machines 136"/>
        <s v="Basic Copiers 512"/>
        <s v="Smart Storage 767"/>
        <s v="Eco Copiers 954"/>
        <s v="Elite Binders 143"/>
        <s v="Classic Tables 560"/>
        <s v="Basic Tables 759"/>
        <s v="Prime Phones 564"/>
        <s v="Smart Paper 807"/>
        <s v="Classic Machines 522"/>
        <s v="Elite Furnishings 822"/>
        <s v="Max Furnishings 647"/>
        <s v="Prime Phones 895"/>
        <s v="Eco Phones 368"/>
        <s v="Pro Phones 644"/>
        <s v="Smart Machines 566"/>
        <s v="Elite Furnishings 173"/>
        <s v="Smart Binders 417"/>
        <s v="Smart Furnishings 714"/>
        <s v="Elite Copiers 682"/>
        <s v="Pro Storage 482"/>
        <s v="Pro Chairs 888"/>
        <s v="Classic Art 611"/>
        <s v="Basic Art 174"/>
        <s v="Classic Storage 451"/>
        <s v="Pro Art 172"/>
        <s v="Prime Phones 744"/>
        <s v="Prime Binders 249"/>
        <s v="Eco Accessories 948"/>
        <s v="Classic Accessories 458"/>
        <s v="Max Phones 318"/>
        <s v="Elite Chairs 372"/>
        <s v="Eco Copiers 324"/>
        <s v="Classic Accessories 131"/>
        <s v="Eco Tables 550"/>
        <s v="Basic Chairs 932"/>
        <s v="Classic Phones 294"/>
        <s v="Elite Chairs 700"/>
        <s v="Prime Copiers 969"/>
        <s v="Eco Copiers 268"/>
        <s v="Pro Phones 588"/>
        <s v="Prime Storage 432"/>
        <s v="Basic Paper 452"/>
        <s v="Max Copiers 477"/>
        <s v="Prime Accessories 300"/>
        <s v="Max Binders 547"/>
        <s v="Pro Furnishings 267"/>
        <s v="Max Copiers 520"/>
        <s v="Max Storage 424"/>
        <s v="Elite Furnishings 706"/>
        <s v="Pro Chairs 908"/>
        <s v="Pro Chairs 712"/>
        <s v="Max Binders 785"/>
        <s v="Elite Phones 239"/>
        <s v="Basic Machines 413"/>
        <s v="Elite Chairs 140"/>
        <s v="Basic Art 771"/>
        <s v="Prime Paper 664"/>
        <s v="Pro Phones 226"/>
        <s v="Basic Tables 684"/>
        <s v="Prime Binders 938"/>
        <s v="Classic Machines 337"/>
        <s v="Max Chairs 748"/>
        <s v="Basic Storage 934"/>
        <s v="Pro Storage 509"/>
        <s v="Prime Chairs 765"/>
        <s v="Elite Chairs 358"/>
        <s v="Elite Machines 971"/>
        <s v="Max Phones 825"/>
        <s v="Eco Accessories 933"/>
        <s v="Max Tables 908"/>
        <s v="Elite Paper 239"/>
        <s v="Eco Chairs 452"/>
        <s v="Smart Furnishings 721"/>
        <s v="Basic Accessories 729"/>
        <s v="Classic Chairs 220"/>
        <s v="Max Chairs 305"/>
        <s v="Smart Paper 872"/>
        <s v="Max Copiers 994"/>
        <s v="Pro Storage 744"/>
        <s v="Elite Chairs 744"/>
        <s v="Basic Storage 973"/>
        <s v="Smart Furnishings 783"/>
        <s v="Prime Binders 287"/>
        <s v="Elite Labels 654"/>
        <s v="Pro Chairs 812"/>
        <s v="Basic Chairs 480"/>
        <s v="Elite Machines 955"/>
        <s v="Prime Art 461"/>
        <s v="Prime Art 301"/>
        <s v="Classic Accessories 354"/>
        <s v="Basic Accessories 210"/>
        <s v="Smart Paper 364"/>
        <s v="Smart Binders 999"/>
        <s v="Max Copiers 356"/>
        <s v="Classic Machines 639"/>
        <s v="Smart Furnishings 748"/>
        <s v="Pro Machines 589"/>
        <s v="Eco Storage 316"/>
        <s v="Eco Art 763"/>
        <s v="Pro Phones 356"/>
        <s v="Basic Phones 865"/>
        <s v="Max Machines 595"/>
        <s v="Elite Machines 367"/>
        <s v="Basic Copiers 787"/>
        <s v="Max Accessories 903"/>
        <s v="Max Art 660"/>
        <s v="Classic Copiers 908"/>
        <s v="Pro Machines 706"/>
        <s v="Pro Paper 187"/>
        <s v="Classic Tables 606"/>
        <s v="Smart Tables 835"/>
        <s v="Classic Copiers 583"/>
        <s v="Classic Chairs 460"/>
        <s v="Classic Bookcases 488"/>
        <s v="Basic Accessories 944"/>
        <s v="Eco Furnishings 217"/>
        <s v="Smart Phones 967"/>
        <s v="Smart Chairs 610"/>
        <s v="Prime Tables 123"/>
        <s v="Smart Copiers 579"/>
        <s v="Eco Accessories 658"/>
        <s v="Smart Tables 777"/>
        <s v="Eco Storage 861"/>
        <s v="Eco Furnishings 875"/>
        <s v="Prime Bookcases 784"/>
        <s v="Classic Art 380"/>
        <s v="Pro Copiers 502"/>
        <s v="Prime Tables 604"/>
        <s v="Basic Art 798"/>
        <s v="Elite Tables 717"/>
        <s v="Max Art 725"/>
        <s v="Smart Copiers 456"/>
        <s v="Prime Furnishings 883"/>
        <s v="Smart Bookcases 828"/>
        <s v="Classic Storage 291"/>
        <s v="Prime Machines 102"/>
        <s v="Classic Phones 842"/>
        <s v="Max Labels 970"/>
        <s v="Classic Machines 648"/>
        <s v="Max Bookcases 565"/>
        <s v="Basic Machines 220"/>
        <s v="Pro Art 151"/>
        <s v="Pro Tables 980"/>
        <s v="Classic Tables 997"/>
        <s v="Max Bookcases 738"/>
        <s v="Max Binders 411"/>
        <s v="Max Paper 343"/>
        <s v="Pro Accessories 485"/>
        <s v="Elite Bookcases 113"/>
        <s v="Eco Phones 787"/>
        <s v="Smart Art 279"/>
        <s v="Basic Machines 172"/>
        <s v="Smart Chairs 259"/>
        <s v="Pro Machines 987"/>
        <s v="Pro Copiers 206"/>
        <s v="Max Chairs 372"/>
        <s v="Basic Phones 496"/>
        <s v="Prime Machines 612"/>
        <s v="Smart Art 866"/>
        <s v="Pro Art 447"/>
        <s v="Smart Copiers 196"/>
        <s v="Pro Copiers 532"/>
        <s v="Eco Chairs 442"/>
        <s v="Eco Accessories 364"/>
        <s v="Elite Furnishings 921"/>
        <s v="Max Tables 309"/>
        <s v="Pro Phones 857"/>
        <s v="Max Accessories 567"/>
        <s v="Max Machines 200"/>
        <s v="Pro Machines 563"/>
        <s v="Elite Art 696"/>
        <s v="Eco Binders 178"/>
        <s v="Max Phones 678"/>
        <s v="Classic Furnishings 582"/>
        <s v="Classic Accessories 981"/>
        <s v="Classic Tables 534"/>
        <s v="Pro Chairs 383"/>
        <s v="Max Chairs 845"/>
        <s v="Prime Paper 307"/>
        <s v="Basic Phones 859"/>
        <s v="Eco Chairs 883"/>
        <s v="Max Chairs 706"/>
        <s v="Prime Paper 768"/>
        <s v="Basic Art 764"/>
        <s v="Prime Binders 181"/>
        <s v="Max Copiers 866"/>
        <s v="Pro Paper 662"/>
        <s v="Classic Paper 388"/>
        <s v="Pro Phones 765"/>
        <s v="Classic Machines 543"/>
        <s v="Max Accessories 291"/>
        <s v="Eco Machines 414"/>
        <s v="Basic Storage 273"/>
        <s v="Elite Furnishings 588"/>
        <s v="Elite Storage 857"/>
        <s v="Prime Storage 183"/>
        <s v="Smart Accessories 362"/>
        <s v="Classic Bookcases 310"/>
        <s v="Prime Chairs 721"/>
        <s v="Prime Tables 797"/>
        <s v="Max Art 926"/>
        <s v="Max Machines 364"/>
        <s v="Classic Machines 122"/>
        <s v="Elite Furnishings 169"/>
        <s v="Pro Bookcases 615"/>
        <s v="Max Labels 136"/>
        <s v="Prime Art 380"/>
        <s v="Classic Binders 234"/>
        <s v="Classic Paper 280"/>
        <s v="Classic Bookcases 922"/>
        <s v="Eco Copiers 396"/>
        <s v="Basic Machines 401"/>
        <s v="Basic Chairs 279"/>
        <s v="Basic Phones 753"/>
        <s v="Smart Machines 789"/>
        <s v="Elite Accessories 312"/>
        <s v="Eco Copiers 528"/>
        <s v="Elite Accessories 226"/>
        <s v="Pro Copiers 298"/>
        <s v="Prime Chairs 331"/>
        <s v="Classic Chairs 798"/>
        <s v="Classic Labels 204"/>
        <s v="Basic Copiers 254"/>
        <s v="Basic Art 709"/>
        <s v="Max Copiers 551"/>
        <s v="Eco Storage 183"/>
        <s v="Pro Furnishings 233"/>
        <s v="Prime Paper 878"/>
        <s v="Smart Chairs 353"/>
        <s v="Smart Copiers 408"/>
        <s v="Classic Art 781"/>
        <s v="Eco Bookcases 144"/>
        <s v="Elite Furnishings 852"/>
        <s v="Basic Copiers 238"/>
        <s v="Elite Paper 847"/>
        <s v="Pro Copiers 653"/>
        <s v="Elite Machines 459"/>
        <s v="Elite Binders 764"/>
        <s v="Classic Furnishings 348"/>
        <s v="Smart Accessories 487"/>
        <s v="Elite Storage 825"/>
        <s v="Pro Accessories 500"/>
        <s v="Pro Furnishings 909"/>
        <s v="Basic Labels 359"/>
        <s v="Eco Furnishings 541"/>
        <s v="Classic Binders 103"/>
        <s v="Max Copiers 560"/>
        <s v="Smart Labels 436"/>
        <s v="Pro Furnishings 386"/>
        <s v="Eco Binders 601"/>
        <s v="Pro Copiers 867"/>
        <s v="Eco Accessories 122"/>
        <s v="Basic Tables 127"/>
        <s v="Smart Labels 126"/>
        <s v="Max Machines 569"/>
        <s v="Basic Furnishings 306"/>
        <s v="Classic Binders 873"/>
        <s v="Pro Labels 611"/>
        <s v="Prime Machines 524"/>
        <s v="Classic Bookcases 882"/>
        <s v="Classic Accessories 471"/>
        <s v="Smart Furnishings 175"/>
        <s v="Basic Paper 899"/>
        <s v="Pro Paper 267"/>
        <s v="Basic Machines 832"/>
        <s v="Elite Accessories 790"/>
        <s v="Basic Paper 707"/>
        <s v="Elite Chairs 979"/>
        <s v="Pro Furnishings 192"/>
        <s v="Smart Machines 951"/>
        <s v="Smart Chairs 794"/>
        <s v="Max Phones 919"/>
        <s v="Basic Bookcases 499"/>
        <s v="Basic Art 143"/>
        <s v="Prime Phones 338"/>
        <s v="Smart Labels 814"/>
        <s v="Prime Paper 812"/>
        <s v="Pro Paper 355"/>
        <s v="Basic Phones 398"/>
        <s v="Classic Chairs 204"/>
        <s v="Max Art 339"/>
        <s v="Smart Machines 581"/>
        <s v="Prime Phones 482"/>
        <s v="Pro Art 588"/>
        <s v="Eco Tables 792"/>
        <s v="Prime Bookcases 177"/>
        <s v="Pro Tables 828"/>
        <s v="Elite Furnishings 480"/>
        <s v="Prime Bookcases 755"/>
        <s v="Prime Paper 317"/>
        <s v="Classic Accessories 933"/>
        <s v="Smart Tables 513"/>
        <s v="Elite Accessories 708"/>
        <s v="Max Bookcases 381"/>
        <s v="Classic Labels 215"/>
        <s v="Classic Storage 918"/>
        <s v="Max Storage 223"/>
        <s v="Basic Accessories 602"/>
        <s v="Elite Phones 394"/>
        <s v="Classic Storage 194"/>
        <s v="Smart Furnishings 892"/>
        <s v="Pro Binders 488"/>
        <s v="Prime Furnishings 679"/>
        <s v="Smart Phones 158"/>
        <s v="Classic Labels 218"/>
        <s v="Smart Bookcases 552"/>
        <s v="Eco Accessories 389"/>
        <s v="Elite Storage 187"/>
        <s v="Max Tables 281"/>
        <s v="Pro Accessories 325"/>
        <s v="Prime Furnishings 178"/>
        <s v="Elite Storage 144"/>
        <s v="Elite Paper 309"/>
        <s v="Elite Copiers 752"/>
        <s v="Max Storage 438"/>
        <s v="Basic Paper 904"/>
        <s v="Smart Art 990"/>
        <s v="Basic Chairs 327"/>
        <s v="Eco Copiers 987"/>
        <s v="Basic Accessories 607"/>
        <s v="Classic Storage 211"/>
        <s v="Eco Storage 783"/>
        <s v="Pro Tables 866"/>
        <s v="Max Accessories 541"/>
        <s v="Prime Art 596"/>
        <s v="Pro Art 620"/>
        <s v="Prime Storage 806"/>
        <s v="Smart Storage 288"/>
        <s v="Elite Machines 281"/>
        <s v="Elite Copiers 221"/>
        <s v="Max Tables 291"/>
        <s v="Classic Tables 638"/>
        <s v="Basic Chairs 212"/>
        <s v="Max Copiers 121"/>
        <s v="Eco Paper 747"/>
        <s v="Classic Tables 535"/>
        <s v="Elite Chairs 971"/>
        <m/>
      </sharedItems>
    </cacheField>
    <cacheField name="ship_mode" numFmtId="0">
      <sharedItems containsBlank="1" count="9">
        <s v="Second Class"/>
        <s v="Same Day"/>
        <s v="First Class"/>
        <s v="Standard Class"/>
        <m/>
        <s v="Second Class "/>
        <s v="Standard  Class"/>
        <s v="  Second Class "/>
        <s v="  First Class "/>
      </sharedItems>
    </cacheField>
    <cacheField name="ship modeclean" numFmtId="0">
      <sharedItems containsBlank="1" count="6">
        <s v="Second Class"/>
        <s v="Same Day"/>
        <s v="First Class"/>
        <s v="Standard Class"/>
        <s v=""/>
        <m/>
      </sharedItems>
    </cacheField>
    <cacheField name="shipping delay days" numFmtId="0">
      <sharedItems containsString="0" containsBlank="1" containsNumber="1" containsInteger="1" minValue="-4" maxValue="8" count="14">
        <n v="6"/>
        <n v="5"/>
        <n v="7"/>
        <n v="1"/>
        <n v="3"/>
        <n v="4"/>
        <n v="0"/>
        <n v="2"/>
        <n v="-3"/>
        <n v="8"/>
        <n v="-4"/>
        <n v="-1"/>
        <n v="-2"/>
        <m/>
      </sharedItems>
    </cacheField>
    <cacheField name="quantity" numFmtId="0">
      <sharedItems containsString="0" containsBlank="1" containsNumber="1" containsInteger="1" minValue="1" maxValue="9" count="10">
        <n v="8"/>
        <n v="3"/>
        <n v="4"/>
        <n v="6"/>
        <n v="7"/>
        <n v="1"/>
        <n v="9"/>
        <n v="2"/>
        <n v="5"/>
        <m/>
      </sharedItems>
    </cacheField>
    <cacheField name="unit_price" numFmtId="0">
      <sharedItems containsString="0" containsBlank="1" containsNumber="1" minValue="121.49" maxValue="4499.46" count="901">
        <n v="2976.45"/>
        <n v="2437.5"/>
        <n v="1065.43"/>
        <n v="1848.43"/>
        <n v="2973.76"/>
        <n v="1053.11"/>
        <n v="1719.87"/>
        <n v="2980.71"/>
        <n v="3134.2"/>
        <n v="852.04"/>
        <n v="3534.83"/>
        <n v="2005.95"/>
        <n v="702.14"/>
        <n v="3964.72"/>
        <n v="2737.83"/>
        <n v="3965.76"/>
        <n v="3323.51"/>
        <n v="1526.78"/>
        <n v="1997.99"/>
        <n v="3887.94"/>
        <n v="4373.06"/>
        <n v="697.69"/>
        <n v="1219.34"/>
        <n v="1958.01"/>
        <n v="4492.94"/>
        <n v="4315.2"/>
        <n v="716.13"/>
        <n v="1806.51"/>
        <n v="1942.22"/>
        <n v="256.01"/>
        <n v="3421.77"/>
        <n v="3092.55"/>
        <n v="4001.25"/>
        <n v="492.41"/>
        <n v="4159.69"/>
        <n v="2507.12"/>
        <n v="3126.47"/>
        <n v="1327.54"/>
        <n v="2210.68"/>
        <n v="1370.92"/>
        <n v="2509.27"/>
        <n v="855.81"/>
        <n v="979.87"/>
        <n v="1010.23"/>
        <n v="3329.77"/>
        <n v="3927.82"/>
        <n v="2386.79"/>
        <n v="2445.31"/>
        <n v="4063.66"/>
        <n v="792.11"/>
        <n v="2382.8"/>
        <n v="1528.08"/>
        <n v="1399.63"/>
        <n v="1207.47"/>
        <n v="474.37"/>
        <n v="1516.24"/>
        <n v="3155.61"/>
        <n v="255.87"/>
        <n v="1389.48"/>
        <n v="4133.85"/>
        <n v="275.76"/>
        <n v="949.59"/>
        <n v="3042.29"/>
        <n v="2832.77"/>
        <n v="447.84"/>
        <n v="4280.19"/>
        <n v="1057.46"/>
        <n v="3609.34"/>
        <n v="2211.12"/>
        <n v="3417.09"/>
        <n v="905.87"/>
        <n v="2027.32"/>
        <n v="2287.47"/>
        <n v="1425.74"/>
        <n v="551.64"/>
        <n v="3294.82"/>
        <n v="3406.27"/>
        <n v="2582.2"/>
        <n v="2129.51"/>
        <n v="4131.52"/>
        <n v="1182.32"/>
        <n v="1841.91"/>
        <n v="1001.73"/>
        <n v="131.74"/>
        <n v="570.28"/>
        <n v="608.64"/>
        <n v="885.28"/>
        <n v="3345.22"/>
        <n v="3284.75"/>
        <n v="3761.09"/>
        <n v="3703.96"/>
        <n v="269.68"/>
        <n v="4458.26"/>
        <n v="2788.97"/>
        <n v="3781.53"/>
        <n v="1754.13"/>
        <n v="2259.24"/>
        <n v="3602.36"/>
        <n v="2108.93"/>
        <n v="2165.29"/>
        <n v="1673.8"/>
        <n v="4396.52"/>
        <n v="2865.71"/>
        <n v="2440.34"/>
        <n v="2112.54"/>
        <n v="685"/>
        <n v="4004.04"/>
        <n v="4302.89"/>
        <n v="537.54"/>
        <n v="2788.62"/>
        <n v="2250.47"/>
        <n v="1708.44"/>
        <n v="3829.48"/>
        <n v="1089.15"/>
        <n v="4388.4"/>
        <n v="446.34"/>
        <n v="531.99"/>
        <n v="3324.55"/>
        <n v="1580.27"/>
        <n v="314.05"/>
        <n v="1823.67"/>
        <n v="3482.92"/>
        <n v="170.35"/>
        <n v="634.13"/>
        <n v="465.06"/>
        <n v="3235.27"/>
        <n v="1593.86"/>
        <n v="3039.3"/>
        <n v="923.45"/>
        <n v="2741.29"/>
        <n v="218.42"/>
        <n v="373.91"/>
        <n v="533.08"/>
        <n v="3372.15"/>
        <n v="383.1"/>
        <n v="3424.78"/>
        <n v="4330.33"/>
        <n v="2667.07"/>
        <n v="4003.05"/>
        <n v="1287.63"/>
        <n v="2914.55"/>
        <n v="634.29"/>
        <n v="907.54"/>
        <n v="3409.5"/>
        <n v="2147.99"/>
        <n v="4182.15"/>
        <n v="3165.43"/>
        <n v="386.1"/>
        <n v="1696.07"/>
        <n v="2527.61"/>
        <n v="1554.12"/>
        <n v="3859.11"/>
        <n v="1088.04"/>
        <n v="3280.31"/>
        <n v="2599.12"/>
        <n v="2859.32"/>
        <n v="2305.37"/>
        <n v="915.84"/>
        <n v="4199.54"/>
        <n v="4430.5"/>
        <n v="1260.42"/>
        <n v="1643.41"/>
        <n v="4472.84"/>
        <n v="2903.58"/>
        <n v="3154.42"/>
        <n v="3422.99"/>
        <n v="2557.85"/>
        <n v="3030.93"/>
        <n v="639.27"/>
        <n v="733.9"/>
        <n v="1711.32"/>
        <n v="4246.27"/>
        <n v="2962.62"/>
        <n v="2312.25"/>
        <n v="1620.53"/>
        <n v="2673.42"/>
        <n v="3563.09"/>
        <n v="3879.95"/>
        <n v="3281.74"/>
        <n v="3186.3"/>
        <n v="844.59"/>
        <n v="2551.45"/>
        <n v="775.77"/>
        <n v="2304.86"/>
        <n v="888.98"/>
        <n v="1003.17"/>
        <n v="3608.43"/>
        <n v="2905.74"/>
        <n v="3559.57"/>
        <n v="3318.24"/>
        <n v="540.09"/>
        <n v="4308.4"/>
        <n v="2191.03"/>
        <n v="1956.63"/>
        <n v="858.39"/>
        <n v="1922.83"/>
        <n v="1212.03"/>
        <n v="4096.44"/>
        <n v="1184.58"/>
        <n v="2185.58"/>
        <n v="2868.44"/>
        <n v="2503.53"/>
        <n v="1740.94"/>
        <n v="570.34"/>
        <n v="477.69"/>
        <n v="873.59"/>
        <n v="215.13"/>
        <n v="1095.45"/>
        <n v="999.83"/>
        <n v="864.98"/>
        <n v="4131.36"/>
        <n v="4221.95"/>
        <n v="214.5"/>
        <n v="4332.73"/>
        <n v="248.18"/>
        <n v="3202.4"/>
        <n v="1839.87"/>
        <n v="1021.28"/>
        <n v="258.28"/>
        <n v="121.49"/>
        <n v="2810.17"/>
        <n v="1531.53"/>
        <n v="4308.09"/>
        <n v="490.3"/>
        <n v="3944.64"/>
        <n v="1032.47"/>
        <n v="2208.27"/>
        <n v="577.75"/>
        <n v="3194.37"/>
        <n v="2886.23"/>
        <n v="1540.33"/>
        <n v="2183.38"/>
        <n v="223.37"/>
        <n v="3904.59"/>
        <n v="1353.61"/>
        <n v="2671.29"/>
        <n v="4062.78"/>
        <n v="2330.3"/>
        <n v="4005.05"/>
        <n v="1960.06"/>
        <n v="2315.1"/>
        <n v="1617.2"/>
        <n v="1999.24"/>
        <n v="4499.46"/>
        <n v="1021.89"/>
        <n v="3275.93"/>
        <n v="231.95"/>
        <n v="2493.4"/>
        <n v="787.91"/>
        <n v="2790.29"/>
        <n v="3373.86"/>
        <n v="1022.16"/>
        <n v="1455.92"/>
        <n v="832.79"/>
        <n v="1000.55"/>
        <n v="1830"/>
        <n v="2260.61"/>
        <n v="3237.27"/>
        <n v="3720.07"/>
        <n v="2853.92"/>
        <n v="2897.12"/>
        <n v="686.74"/>
        <n v="3349.86"/>
        <n v="4042.45"/>
        <n v="1503.07"/>
        <n v="582.37"/>
        <n v="4339.24"/>
        <n v="261.8"/>
        <n v="632.2"/>
        <n v="1925.86"/>
        <n v="827.44"/>
        <n v="1667.75"/>
        <n v="557.21"/>
        <n v="2521.63"/>
        <n v="4246.71"/>
        <n v="980.51"/>
        <n v="3391.53"/>
        <n v="2133.73"/>
        <n v="3979.64"/>
        <n v="4359.12"/>
        <n v="993.67"/>
        <n v="3438.38"/>
        <n v="2298"/>
        <n v="1814.01"/>
        <n v="1576.92"/>
        <n v="4081.77"/>
        <n v="701.8"/>
        <n v="2555.66"/>
        <n v="4359.9"/>
        <n v="4346.69"/>
        <n v="1842.63"/>
        <n v="3228.66"/>
        <n v="3748.95"/>
        <n v="4401.51"/>
        <n v="4159.33"/>
        <n v="3476.05"/>
        <n v="3495.41"/>
        <n v="1169.92"/>
        <n v="348.49"/>
        <n v="1719.05"/>
        <n v="3893.74"/>
        <n v="1654.11"/>
        <n v="2703.28"/>
        <n v="1313.14"/>
        <n v="2403.05"/>
        <n v="4156.06"/>
        <n v="3673.11"/>
        <n v="4093.04"/>
        <n v="731.57"/>
        <n v="2060.73"/>
        <n v="2034.25"/>
        <n v="554.04"/>
        <n v="2614.74"/>
        <n v="2081.43"/>
        <n v="847.76"/>
        <n v="3450.4"/>
        <n v="1947.53"/>
        <n v="2996.97"/>
        <n v="4149.46"/>
        <n v="270.28"/>
        <n v="876.14"/>
        <n v="674.82"/>
        <n v="1369.48"/>
        <n v="1331.46"/>
        <n v="1947.88"/>
        <n v="3671.2"/>
        <n v="3187.05"/>
        <n v="1834.55"/>
        <n v="3100.68"/>
        <n v="4053.03"/>
        <n v="783.09"/>
        <n v="2685.66"/>
        <n v="3911.96"/>
        <n v="1468.05"/>
        <n v="1921.47"/>
        <n v="4289.37"/>
        <n v="1992.57"/>
        <n v="1181.74"/>
        <n v="4402.36"/>
        <n v="3265.76"/>
        <n v="4058.08"/>
        <n v="3960.33"/>
        <n v="1528.92"/>
        <n v="3837"/>
        <n v="3456.38"/>
        <n v="2765.3"/>
        <n v="1607.46"/>
        <n v="2981.49"/>
        <n v="2860.26"/>
        <n v="2867.55"/>
        <n v="3309.54"/>
        <n v="719.44"/>
        <n v="2862.6"/>
        <n v="1431.67"/>
        <n v="3346.78"/>
        <n v="3203.48"/>
        <n v="621.7"/>
        <n v="546.13"/>
        <n v="1253.92"/>
        <n v="616.96"/>
        <n v="3155.25"/>
        <n v="4165.58"/>
        <n v="491.16"/>
        <n v="1831.37"/>
        <n v="1239.15"/>
        <n v="1706.4"/>
        <n v="4418.28"/>
        <n v="3815.09"/>
        <n v="243.19"/>
        <n v="1169.37"/>
        <n v="2333.81"/>
        <n v="1026.06"/>
        <n v="1530.36"/>
        <n v="1118.68"/>
        <n v="2393.25"/>
        <n v="1166.61"/>
        <n v="1844.78"/>
        <n v="2564.74"/>
        <n v="3910.61"/>
        <n v="1136.68"/>
        <n v="2235.85"/>
        <n v="4387.15"/>
        <n v="4361.85"/>
        <n v="2242.75"/>
        <n v="1881.4"/>
        <n v="365.76"/>
        <n v="2786.66"/>
        <n v="352.86"/>
        <n v="3128.59"/>
        <n v="1937.54"/>
        <n v="1917.26"/>
        <n v="714.43"/>
        <n v="4053.01"/>
        <n v="1936.91"/>
        <n v="3945.21"/>
        <n v="861.91"/>
        <n v="638.73"/>
        <n v="1731.88"/>
        <n v="1263.65"/>
        <n v="4358.5"/>
        <n v="878.09"/>
        <n v="2625.85"/>
        <n v="1365.26"/>
        <n v="3512.25"/>
        <n v="359.61"/>
        <n v="3878.01"/>
        <n v="3924.2"/>
        <n v="2644.55"/>
        <n v="1773.46"/>
        <n v="3025.46"/>
        <n v="1302.61"/>
        <n v="4167.81"/>
        <n v="2111.39"/>
        <n v="1918.23"/>
        <n v="2484.08"/>
        <n v="1727.26"/>
        <n v="638.95"/>
        <n v="3863"/>
        <n v="3660.4"/>
        <n v="688.83"/>
        <n v="1209.99"/>
        <n v="1037.45"/>
        <n v="688.85"/>
        <n v="3779.31"/>
        <n v="804.52"/>
        <n v="1065.69"/>
        <n v="3756.66"/>
        <n v="2939.44"/>
        <n v="1235.93"/>
        <n v="2943.1"/>
        <n v="4320.84"/>
        <n v="4118.45"/>
        <n v="172.82"/>
        <n v="1540.22"/>
        <n v="652.78"/>
        <n v="2737.71"/>
        <n v="1156.78"/>
        <n v="379.82"/>
        <n v="2266.47"/>
        <n v="665.25"/>
        <n v="3722.84"/>
        <n v="4217.49"/>
        <n v="1842.31"/>
        <n v="3683.75"/>
        <n v="2379.24"/>
        <n v="2111.23"/>
        <n v="4242.51"/>
        <n v="4288.7"/>
        <n v="201.21"/>
        <n v="3270.36"/>
        <n v="2278.57"/>
        <n v="1917.64"/>
        <n v="2013.33"/>
        <n v="1483.52"/>
        <n v="3298"/>
        <n v="808.77"/>
        <n v="2604.91"/>
        <n v="2851.51"/>
        <n v="3183.72"/>
        <n v="1150.92"/>
        <n v="1359.88"/>
        <n v="3378.15"/>
        <n v="1275.14"/>
        <n v="889.5"/>
        <n v="3625.08"/>
        <n v="1258.9"/>
        <n v="1591.96"/>
        <n v="4288.33"/>
        <n v="2188.33"/>
        <n v="1041.66"/>
        <n v="4424.78"/>
        <n v="3019.14"/>
        <n v="263.46"/>
        <n v="191.45"/>
        <n v="1633.57"/>
        <n v="3378.82"/>
        <n v="383.58"/>
        <n v="2193.23"/>
        <n v="4079.71"/>
        <n v="2202.55"/>
        <n v="905.16"/>
        <n v="2793.88"/>
        <n v="1286.22"/>
        <n v="829.66"/>
        <n v="3641.22"/>
        <n v="2555.19"/>
        <n v="1946.18"/>
        <n v="1231.1"/>
        <n v="1547.6"/>
        <n v="452.19"/>
        <n v="406.42"/>
        <n v="606.58"/>
        <n v="2725.44"/>
        <n v="2296.7"/>
        <n v="671.68"/>
        <n v="995.98"/>
        <n v="3686.42"/>
        <n v="3106.88"/>
        <n v="447.55"/>
        <n v="1110.87"/>
        <n v="3795.99"/>
        <n v="3497.54"/>
        <n v="826.93"/>
        <n v="1681.6"/>
        <n v="4328.12"/>
        <n v="2438.29"/>
        <n v="669.8"/>
        <n v="2990.42"/>
        <n v="1831"/>
        <n v="3631.44"/>
        <n v="4238.51"/>
        <n v="544.27"/>
        <n v="4031.45"/>
        <n v="1099.49"/>
        <n v="3872.94"/>
        <n v="4458.49"/>
        <n v="2233.18"/>
        <n v="2123.28"/>
        <n v="1604.13"/>
        <n v="4365.21"/>
        <n v="1695.91"/>
        <n v="2192.11"/>
        <n v="3670.54"/>
        <n v="2902.63"/>
        <n v="4207.36"/>
        <n v="2524.4"/>
        <n v="284.04"/>
        <n v="3247.56"/>
        <n v="3457.09"/>
        <n v="1822.25"/>
        <n v="1994.51"/>
        <n v="442.97"/>
        <n v="2089.14"/>
        <n v="481.3"/>
        <n v="3963.39"/>
        <n v="4000.98"/>
        <n v="3788.9"/>
        <n v="676.37"/>
        <n v="3908.6"/>
        <n v="705.35"/>
        <n v="3852.07"/>
        <n v="2880.56"/>
        <n v="4067.62"/>
        <n v="492.67"/>
        <n v="3643.62"/>
        <n v="2900.86"/>
        <n v="2567.37"/>
        <n v="3722.09"/>
        <n v="1072.01"/>
        <n v="3804.27"/>
        <n v="2126.44"/>
        <n v="3148.09"/>
        <n v="312.53"/>
        <n v="1294.11"/>
        <n v="1071.22"/>
        <n v="1042.8"/>
        <n v="4426.66"/>
        <n v="3769.46"/>
        <n v="3079.95"/>
        <n v="3277.82"/>
        <n v="282.53"/>
        <n v="725.22"/>
        <n v="121.54"/>
        <n v="790.97"/>
        <n v="921.34"/>
        <n v="1921.86"/>
        <n v="2617.89"/>
        <n v="1374.06"/>
        <n v="3806.3"/>
        <n v="3251.17"/>
        <n v="3946.44"/>
        <n v="4276.29"/>
        <n v="739.56"/>
        <n v="573.65"/>
        <n v="1355.8"/>
        <n v="1244.82"/>
        <n v="2614.46"/>
        <n v="268.45"/>
        <n v="2633.65"/>
        <n v="3202.41"/>
        <n v="163.72"/>
        <n v="4080.95"/>
        <n v="671.24"/>
        <n v="2626.84"/>
        <n v="984.93"/>
        <n v="3453.66"/>
        <n v="1334.2"/>
        <n v="4253.84"/>
        <n v="4446.36"/>
        <n v="524.75"/>
        <n v="3430.35"/>
        <n v="3545.08"/>
        <n v="4401.41"/>
        <n v="4100.11"/>
        <n v="3981.76"/>
        <n v="1825.56"/>
        <n v="2723.26"/>
        <n v="274.88"/>
        <n v="1490.69"/>
        <n v="1103.54"/>
        <n v="3682.75"/>
        <n v="1615.03"/>
        <n v="3423.82"/>
        <n v="2574.29"/>
        <n v="1076.3"/>
        <n v="1680.01"/>
        <n v="3890.81"/>
        <n v="954.67"/>
        <n v="2153.75"/>
        <n v="4337.48"/>
        <n v="3032.95"/>
        <n v="655.28"/>
        <n v="3844.01"/>
        <n v="3361.3"/>
        <n v="3398.32"/>
        <n v="3144.38"/>
        <n v="3925.55"/>
        <n v="2741.91"/>
        <n v="1870.11"/>
        <n v="4251.26"/>
        <n v="734.34"/>
        <n v="1092.84"/>
        <n v="2759.01"/>
        <n v="1359.19"/>
        <n v="4451.03"/>
        <n v="527.67"/>
        <n v="1434.13"/>
        <n v="2360.02"/>
        <n v="806.67"/>
        <n v="4198.46"/>
        <n v="3047.05"/>
        <n v="4362.48"/>
        <n v="2850.53"/>
        <n v="1626.08"/>
        <n v="2427.15"/>
        <n v="3122.85"/>
        <n v="1910.31"/>
        <n v="3192.47"/>
        <n v="3224.32"/>
        <n v="1594.7"/>
        <n v="1584.12"/>
        <n v="3202.87"/>
        <n v="1275.21"/>
        <n v="3871.18"/>
        <n v="3750.02"/>
        <n v="2423.61"/>
        <n v="729.14"/>
        <n v="2123.81"/>
        <n v="703.59"/>
        <n v="2258.96"/>
        <n v="2648.76"/>
        <n v="598.55"/>
        <n v="4320.59"/>
        <n v="4457.93"/>
        <n v="2570.06"/>
        <n v="2151.82"/>
        <n v="2751.1"/>
        <n v="2541.25"/>
        <n v="2852.42"/>
        <n v="444.31"/>
        <n v="4442.91"/>
        <n v="232.5"/>
        <n v="1784.8"/>
        <n v="3185.01"/>
        <n v="1908.83"/>
        <n v="2110.52"/>
        <n v="279.83"/>
        <n v="3959.14"/>
        <n v="600.46"/>
        <n v="1700.72"/>
        <n v="857.86"/>
        <n v="3649.51"/>
        <n v="2528.53"/>
        <n v="4072.9"/>
        <n v="1033.71"/>
        <n v="963.26"/>
        <n v="3411.21"/>
        <n v="2623.48"/>
        <n v="2763.61"/>
        <n v="1410.57"/>
        <n v="3700.24"/>
        <n v="1200.27"/>
        <n v="2590.78"/>
        <n v="1646.45"/>
        <n v="4396.65"/>
        <n v="818.15"/>
        <n v="2349.13"/>
        <n v="172.05"/>
        <n v="3037.66"/>
        <n v="489.58"/>
        <n v="865.63"/>
        <n v="1538.1"/>
        <n v="2365.68"/>
        <n v="4149.77"/>
        <n v="2736.24"/>
        <n v="257.39"/>
        <n v="1178.84"/>
        <n v="567.15"/>
        <n v="4081.66"/>
        <n v="1400.11"/>
        <n v="3055.9"/>
        <n v="1224.94"/>
        <n v="997.34"/>
        <n v="1150.03"/>
        <n v="2825.63"/>
        <n v="3371.75"/>
        <n v="2112.75"/>
        <n v="3722.66"/>
        <n v="4357.66"/>
        <n v="1363.04"/>
        <n v="1559.16"/>
        <n v="4326.75"/>
        <n v="1382.86"/>
        <n v="289.97"/>
        <n v="2075.02"/>
        <n v="2843.09"/>
        <n v="3388.02"/>
        <n v="2598.92"/>
        <n v="1972.27"/>
        <n v="2372.41"/>
        <n v="4479.92"/>
        <n v="2729.95"/>
        <n v="481.51"/>
        <n v="2391.93"/>
        <n v="253.43"/>
        <n v="2134.73"/>
        <n v="2018"/>
        <n v="3730.66"/>
        <n v="2363.02"/>
        <n v="1810.63"/>
        <n v="782.01"/>
        <n v="4376.68"/>
        <n v="2464.63"/>
        <n v="2797.96"/>
        <n v="2761.86"/>
        <n v="1515.79"/>
        <n v="290.75"/>
        <n v="601.52"/>
        <n v="2188.19"/>
        <n v="2393.86"/>
        <n v="2583"/>
        <n v="2951.12"/>
        <n v="2260.95"/>
        <n v="491.4"/>
        <n v="2701.89"/>
        <n v="723.59"/>
        <n v="2583.19"/>
        <n v="1473.83"/>
        <n v="3848.04"/>
        <n v="1716.7"/>
        <n v="3925.93"/>
        <n v="2963.25"/>
        <n v="2465.22"/>
        <n v="1017.22"/>
        <n v="891.34"/>
        <n v="2481.74"/>
        <n v="2177.1"/>
        <n v="1904.78"/>
        <n v="4166.91"/>
        <n v="3986.01"/>
        <n v="3365.53"/>
        <n v="2489.12"/>
        <n v="3694.12"/>
        <n v="2742.48"/>
        <n v="4414"/>
        <n v="608.14"/>
        <n v="2307.96"/>
        <n v="1244.58"/>
        <n v="3234.24"/>
        <n v="3612.75"/>
        <n v="863"/>
        <n v="2131.41"/>
        <n v="3903.22"/>
        <n v="2945.07"/>
        <n v="1076.75"/>
        <n v="3956.12"/>
        <n v="3857.13"/>
        <n v="1489.74"/>
        <n v="1676.88"/>
        <n v="3153.54"/>
        <n v="426.43"/>
        <n v="383.4"/>
        <n v="669.63"/>
        <n v="2581.93"/>
        <n v="418.18"/>
        <n v="3012.94"/>
        <n v="715.45"/>
        <n v="3718.77"/>
        <n v="2487.64"/>
        <n v="3537.48"/>
        <n v="667.59"/>
        <n v="1558.77"/>
        <n v="3501.12"/>
        <n v="4302.32"/>
        <n v="951.55"/>
        <n v="2894.66"/>
        <n v="1894.44"/>
        <n v="1714.37"/>
        <n v="1706.05"/>
        <n v="967.41"/>
        <n v="4163.72"/>
        <n v="3372.21"/>
        <n v="1441.91"/>
        <n v="4306.65"/>
        <n v="2050.62"/>
        <n v="2030.06"/>
        <n v="3665.97"/>
        <n v="2432.98"/>
        <n v="977.28"/>
        <n v="1366.13"/>
        <n v="3151.85"/>
        <n v="1610.75"/>
        <n v="2228.47"/>
        <n v="1337.67"/>
        <n v="2375.94"/>
        <n v="715.81"/>
        <n v="874.3"/>
        <n v="1829.69"/>
        <n v="1981.04"/>
        <n v="4246.01"/>
        <n v="319.57"/>
        <n v="1942.49"/>
        <n v="3202.04"/>
        <n v="668.33"/>
        <n v="4436.74"/>
        <n v="2720.17"/>
        <n v="2190.14"/>
        <n v="844.89"/>
        <n v="3791.96"/>
        <n v="1035.14"/>
        <n v="2382.88"/>
        <n v="3462.7"/>
        <n v="4302.02"/>
        <n v="3949.4"/>
        <n v="674.61"/>
        <n v="1509.59"/>
        <n v="537.11"/>
        <n v="4177.63"/>
        <n v="1470.57"/>
        <n v="531.43"/>
        <n v="1584.11"/>
        <n v="3237.16"/>
        <n v="2192.08"/>
        <n v="3989.52"/>
        <n v="3515.15"/>
        <n v="3616.23"/>
        <n v="3977.52"/>
        <n v="210.08"/>
        <n v="1744.35"/>
        <n v="679.63"/>
        <n v="1211.01"/>
        <n v="1161.3"/>
        <n v="4205.35"/>
        <n v="579.8"/>
        <n v="2233.64"/>
        <n v="2073.53"/>
        <n v="395.1"/>
        <n v="2708.97"/>
        <n v="2904.86"/>
        <n v="4399.2"/>
        <n v="4397.32"/>
        <n v="3405.68"/>
        <n v="1395.14"/>
        <n v="2937.23"/>
        <n v="3406.87"/>
        <n v="3992.04"/>
        <n v="3043.37"/>
        <n v="1043.49"/>
        <n v="224.94"/>
        <n v="796.65"/>
        <n v="2932.92"/>
        <n v="2186.23"/>
        <n v="2212.02"/>
        <n v="623.31"/>
        <n v="3924.88"/>
        <n v="3852.62"/>
        <n v="3790.22"/>
        <n v="674.36"/>
        <n v="1557.21"/>
        <n v="1182.03"/>
        <n v="3234.77"/>
        <n v="3726.75"/>
        <n v="1912.45"/>
        <n v="1620.87"/>
        <n v="2098.54"/>
        <n v="2167.08"/>
        <n v="3989.9"/>
        <n v="4176.13"/>
        <n v="3523.64"/>
        <n v="3922.08"/>
        <n v="2909.56"/>
        <n v="2407.97"/>
        <n v="726.89"/>
        <n v="395.49"/>
        <n v="4254.05"/>
        <n v="711.18"/>
        <n v="3693.03"/>
        <n v="1786.65"/>
        <n v="1536.7"/>
        <n v="881.08"/>
        <m/>
      </sharedItems>
    </cacheField>
    <cacheField name="discount" numFmtId="0">
      <sharedItems containsBlank="1" containsNumber="1" containsMixedTypes="1" count="24">
        <n v="0.2"/>
        <n v="0"/>
        <n v="0.55"/>
        <n v="0.25"/>
        <n v="0.15"/>
        <n v="0.05"/>
        <n v="-0.19"/>
        <n v="-0.23"/>
        <n v="0.1"/>
        <m/>
        <n v="-0.09"/>
        <s v="70%"/>
        <n v="-0.15"/>
        <n v="0.65"/>
        <n v="-0.16"/>
        <s v="85%"/>
        <n v="-0.14"/>
        <n v="-0.06"/>
        <n v="-0.1"/>
        <n v="-0.13"/>
        <n v="-0.07"/>
        <n v="-0.05"/>
        <n v="-0.24"/>
        <n v="-0.02"/>
      </sharedItems>
    </cacheField>
    <cacheField name="cleaned_discount" numFmtId="0">
      <sharedItems containsBlank="1" containsNumber="1" containsMixedTypes="1" count="11">
        <n v="0.2"/>
        <n v="0"/>
        <n v="0.55"/>
        <n v="0.25"/>
        <n v="0.15"/>
        <n v="0.05"/>
        <n v="0.1"/>
        <s v="70%"/>
        <n v="0.65"/>
        <s v="85%"/>
        <m/>
      </sharedItems>
    </cacheField>
    <cacheField name="sales" numFmtId="0">
      <sharedItems containsString="0" containsBlank="1" containsNumber="1" minValue="217.48" maxValue="36782.27" count="913">
        <n v="19049.28"/>
        <n v="7312.5"/>
        <n v="4261.72"/>
        <n v="8317.93"/>
        <n v="20816.32"/>
        <n v="2527.46"/>
        <n v="5847.56"/>
        <n v="2980.71"/>
        <n v="25073.6"/>
        <n v="6134.69"/>
        <n v="10074.27"/>
        <n v="9628.56"/>
        <n v="596.82"/>
        <n v="26365.39"/>
        <n v="4106.74"/>
        <n v="23794.56"/>
        <n v="9970.53"/>
        <n v="7633.9"/>
        <n v="3995.98"/>
        <n v="9331.06"/>
        <n v="16398.98"/>
        <n v="2790.76"/>
        <n v="8291.51"/>
        <n v="6265.63"/>
        <n v="13478.82"/>
        <n v="7335.84"/>
        <n v="2578.07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5"/>
        <n v="11254.79"/>
        <n v="16535.4"/>
        <n v="661.82"/>
        <n v="949.59"/>
        <n v="21904.49"/>
        <n v="4815.71"/>
        <n v="3134.88"/>
        <n v="4066.18"/>
        <n v="7032.11"/>
        <n v="24002.11"/>
        <n v="19900.08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"/>
        <n v="5525.73"/>
        <n v="6010.38"/>
        <n v="948.53"/>
        <n v="2737.34"/>
        <n v="608.64"/>
        <n v="2390.26"/>
        <n v="23416.54"/>
        <n v="6241.02"/>
        <n v="21062.1"/>
        <n v="9445.1"/>
        <n v="2427.12"/>
        <n v="36111.91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6"/>
        <n v="1233"/>
        <n v="7207.27"/>
        <n v="12263.24"/>
        <n v="806.31"/>
        <n v="2091.47"/>
        <n v="4500.94"/>
        <n v="1623.02"/>
        <n v="10914.02"/>
        <n v="2450.59"/>
        <n v="3949.56"/>
        <n v="758.78"/>
        <n v="3590.93"/>
        <n v="25432.81"/>
        <n v="6321.08"/>
        <n v="1884.3"/>
        <n v="1458.94"/>
        <n v="17414.6"/>
        <n v="511.05"/>
        <n v="634.13"/>
        <n v="4185.54"/>
        <n v="14558.72"/>
        <n v="4303.42"/>
        <n v="5774.67"/>
        <n v="4386.39"/>
        <n v="18229.58"/>
        <n v="873.68"/>
        <n v="2692.15"/>
        <n v="1066.16"/>
        <n v="22930.62"/>
        <n v="1436.62"/>
        <n v="3424.78"/>
        <n v="31178.38"/>
        <n v="19202.9"/>
        <n v="24018.3"/>
        <n v="10301.04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"/>
        <n v="1643.41"/>
        <n v="35997.62"/>
        <n v="15679.33"/>
        <n v="2365.82"/>
        <n v="10268.97"/>
        <n v="2046.28"/>
        <n v="23186.61"/>
        <n v="2557.08"/>
        <n v="5577.64"/>
        <n v="5133.96"/>
        <n v="15923.51"/>
        <n v="23997.22"/>
        <n v="1734.19"/>
        <n v="8264.7"/>
        <n v="15906.85"/>
        <n v="24229.01"/>
        <n v="31039.6"/>
        <n v="13126.96"/>
        <n v="9558.9"/>
        <n v="5320.92"/>
        <n v="10205.8"/>
        <n v="5430.39"/>
        <n v="12907.22"/>
        <n v="1777.96"/>
        <n v="1605.07"/>
        <n v="23996.06"/>
        <n v="8717.22"/>
        <n v="6553.95"/>
        <n v="25384.54"/>
        <n v="1458.24"/>
        <n v="25850.4"/>
        <n v="8764.12"/>
        <n v="9391.82"/>
        <n v="7339.23"/>
        <n v="9614.15"/>
        <n v="3272.48"/>
        <n v="17409.87"/>
        <n v="1125.35"/>
        <n v="9835.11"/>
        <n v="12907.98"/>
        <n v="4756.71"/>
        <n v="13231.14"/>
        <n v="484.79"/>
        <n v="1624.15"/>
        <n v="4193.23"/>
        <n v="430.26"/>
        <n v="1752.72"/>
        <n v="999.83"/>
        <n v="7006.34"/>
        <n v="4131.36"/>
        <n v="27020.48"/>
        <n v="364.65"/>
        <n v="13864.74"/>
        <n v="707.31"/>
        <n v="19214.4"/>
        <n v="11039.22"/>
        <n v="4595.76"/>
        <n v="1291.4"/>
        <n v="242.98"/>
        <n v="9554.58"/>
        <n v="4900.9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"/>
        <n v="10964.24"/>
        <n v="15226.35"/>
        <n v="24376.68"/>
        <n v="20972.7"/>
        <n v="26633.58"/>
        <n v="3136.1"/>
        <n v="20835.9"/>
        <n v="1212.9"/>
        <n v="5697.83"/>
        <n v="4049.51"/>
        <n v="6131.34"/>
        <n v="9827.79"/>
        <n v="521.89"/>
        <n v="14960.4"/>
        <n v="6027.51"/>
        <n v="8928.93"/>
        <n v="14338.9"/>
        <n v="6132.96"/>
        <n v="2329.47"/>
        <n v="4746.9"/>
        <n v="5603.08"/>
        <n v="1281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"/>
        <n v="11674.25"/>
        <n v="3510.42"/>
        <n v="22694.67"/>
        <n v="21658.22"/>
        <n v="980.51"/>
        <n v="15261.89"/>
        <n v="2008.39"/>
        <n v="3780.66"/>
        <n v="4141.16"/>
        <n v="8943.03"/>
        <n v="16504.22"/>
        <n v="4596"/>
        <n v="1814.01"/>
        <n v="4730.76"/>
        <n v="36735.93"/>
        <n v="4421.34"/>
        <n v="6516.93"/>
        <n v="7411.83"/>
        <n v="8258.71"/>
        <n v="1658.37"/>
        <n v="9685.98"/>
        <n v="33740.55"/>
        <n v="8362.87"/>
        <n v="18716.99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"/>
        <n v="2493.18"/>
        <n v="15688.44"/>
        <n v="12488.58"/>
        <n v="6485.36"/>
        <n v="29500.92"/>
        <n v="3116.05"/>
        <n v="22926.82"/>
        <n v="11203.54"/>
        <n v="270.28"/>
        <n v="2628.42"/>
        <n v="2699.28"/>
        <n v="6984.35"/>
        <n v="10185.67"/>
        <n v="1655.7"/>
        <n v="15602.6"/>
        <n v="15138.49"/>
        <n v="4402.92"/>
        <n v="18604.08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6"/>
        <n v="19355.96"/>
        <n v="11914.34"/>
        <n v="3237.48"/>
        <n v="10734.75"/>
        <n v="10308.02"/>
        <n v="20080.68"/>
        <n v="16017.4"/>
        <n v="2486.8"/>
        <n v="4369.04"/>
        <n v="5956.12"/>
        <n v="4997.38"/>
        <n v="17669.4"/>
        <n v="35615.71"/>
        <n v="1866.41"/>
        <n v="6867.64"/>
        <n v="6195.75"/>
        <n v="12968.64"/>
        <n v="8836.56"/>
        <n v="19456.96"/>
        <n v="2079.27"/>
        <n v="8945.68"/>
        <n v="13069.34"/>
        <n v="4617.27"/>
        <n v="7651.8"/>
        <n v="10068.12"/>
        <n v="14359.5"/>
        <n v="2624.87"/>
        <n v="8854.94"/>
        <n v="2564.74"/>
        <n v="7821.22"/>
        <n v="7956.76"/>
        <n v="8384.44"/>
        <n v="16671.17"/>
        <n v="10468.44"/>
        <n v="4485.5"/>
        <n v="2822.1"/>
        <n v="1975.1"/>
        <n v="20063.95"/>
        <n v="1764.3"/>
        <n v="9385.77"/>
        <n v="7750.16"/>
        <n v="6135.23"/>
        <n v="714.43"/>
        <n v="36477.09"/>
        <n v="3680.13"/>
        <n v="27616.47"/>
        <n v="5731.7"/>
        <n v="1213.59"/>
        <n v="3463.76"/>
        <n v="2021.84"/>
        <n v="3268.88"/>
        <n v="5839.3"/>
        <n v="7877.55"/>
        <n v="4095.78"/>
        <n v="16683.19"/>
        <n v="1078.83"/>
        <n v="24431.46"/>
        <n v="5886.3"/>
        <n v="7933.65"/>
        <n v="7093.84"/>
        <n v="2269.1"/>
        <n v="9378.79"/>
        <n v="3334.25"/>
        <n v="1583.54"/>
        <n v="15345.84"/>
        <n v="9439.5"/>
        <n v="10277.2"/>
        <n v="3833.7"/>
        <n v="18542.4"/>
        <n v="21962.4"/>
        <n v="1308.78"/>
        <n v="1814.99"/>
        <n v="2489.88"/>
        <n v="4098.66"/>
        <n v="27211.03"/>
        <n v="6436.16"/>
        <n v="1918.24"/>
        <n v="27047.95"/>
        <n v="26454.96"/>
        <n v="1853.89"/>
        <n v="17658.6"/>
        <n v="3672.71"/>
        <n v="6177.67"/>
        <n v="985.07"/>
        <n v="6160.88"/>
        <n v="3263.9"/>
        <n v="2327.05"/>
        <n v="6593.65"/>
        <n v="2886.63"/>
        <n v="1813.18"/>
        <n v="3326.25"/>
        <n v="17869.63"/>
        <n v="25304.94"/>
        <n v="1842.31"/>
        <n v="3315.38"/>
        <n v="20342.5"/>
        <n v="3377.97"/>
        <n v="33940.08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"/>
        <n v="3452.76"/>
        <n v="11626.97"/>
        <n v="8614.28"/>
        <n v="2040.22"/>
        <n v="2846.4"/>
        <n v="10331.48"/>
        <n v="2517.8"/>
        <n v="11462.11"/>
        <n v="19297.49"/>
        <n v="6564.99"/>
        <n v="2812.48"/>
        <n v="7079.65"/>
        <n v="6793.07"/>
        <n v="1844.22"/>
        <n v="918.96"/>
        <n v="4900.71"/>
        <n v="20272.92"/>
        <n v="1035.67"/>
        <n v="11843.44"/>
        <n v="25702.17"/>
        <n v="1651.91"/>
        <n v="4525.8"/>
        <n v="10616.74"/>
        <n v="2893.99"/>
        <n v="705.21"/>
        <n v="16385.49"/>
        <n v="7665.57"/>
        <n v="4670.83"/>
        <n v="6155.5"/>
        <n v="8666.56"/>
        <n v="361.75"/>
        <n v="2418.2"/>
        <n v="1941.06"/>
        <n v="4088.16"/>
        <n v="15273.05"/>
        <n v="1712.78"/>
        <n v="3784.72"/>
        <n v="6635.56"/>
        <n v="2485.5"/>
        <n v="850.35"/>
        <n v="7498.37"/>
        <n v="34163.91"/>
        <n v="17837.45"/>
        <n v="4465.42"/>
        <n v="10594.08"/>
        <n v="17312.48"/>
        <n v="17555.69"/>
        <n v="1205.64"/>
        <n v="8971.26"/>
        <n v="7324"/>
        <n v="23241.22"/>
        <n v="8477.02"/>
        <n v="3673.82"/>
        <n v="6047.17"/>
        <n v="6212.38"/>
        <n v="20913.88"/>
        <n v="3566.79"/>
        <n v="2233.18"/>
        <n v="11890.37"/>
        <n v="8421.68"/>
        <n v="13968.67"/>
        <n v="1611.11"/>
        <n v="12495.03"/>
        <n v="33034.86"/>
        <n v="5805.26"/>
        <n v="34079.62"/>
        <n v="11359.8"/>
        <n v="908.93"/>
        <n v="13802.13"/>
        <n v="29558.12"/>
        <n v="16400.25"/>
        <n v="17053.06"/>
        <n v="398.67"/>
        <n v="17862.15"/>
        <n v="2165.85"/>
        <n v="14268.2"/>
        <n v="9602.35"/>
        <n v="19891.72"/>
        <n v="1927.65"/>
        <n v="29900.79"/>
        <n v="1904.45"/>
        <n v="21571.59"/>
        <n v="8641.68"/>
        <n v="9988.53"/>
        <n v="418.77"/>
        <n v="21861.72"/>
        <n v="17260.12"/>
        <n v="10911.32"/>
        <n v="30148.93"/>
        <n v="1072.01"/>
        <n v="10271.53"/>
        <n v="10206.91"/>
        <n v="8027.63"/>
        <n v="1875.18"/>
        <n v="8735.24"/>
        <n v="4070.64"/>
        <n v="5943.96"/>
        <n v="4426.66"/>
        <n v="32228.88"/>
        <n v="19711.68"/>
        <n v="14750.19"/>
        <n v="1130.12"/>
        <n v="2900.88"/>
        <n v="680.62"/>
        <n v="5694.98"/>
        <n v="1474.14"/>
        <n v="9224.93"/>
        <n v="4712.2"/>
        <n v="1305.36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7"/>
        <n v="837.19"/>
        <n v="27629.28"/>
        <n v="7471.52"/>
        <n v="3615.76"/>
        <n v="32013.79"/>
        <n v="1574.25"/>
        <n v="20582.1"/>
        <n v="10635.24"/>
        <n v="29929.59"/>
        <n v="27675.74"/>
        <n v="11945.28"/>
        <n v="13144.03"/>
        <n v="18382.01"/>
        <n v="1855.44"/>
        <n v="3354.05"/>
        <n v="2482.97"/>
        <n v="11048.25"/>
        <n v="6460.12"/>
        <n v="26192.22"/>
        <n v="19564.6"/>
        <n v="3228.9"/>
        <n v="7560.04"/>
        <n v="8754.32"/>
        <n v="4057.35"/>
        <n v="19383.75"/>
        <n v="30362.36"/>
        <n v="2729.65"/>
        <n v="4718.02"/>
        <n v="3844.01"/>
        <n v="22688.78"/>
        <n v="20389.92"/>
        <n v="5904.57"/>
        <n v="18842.64"/>
        <n v="24677.19"/>
        <n v="12623.24"/>
        <n v="3401.01"/>
        <n v="6609.06"/>
        <n v="5464.2"/>
        <n v="10484.24"/>
        <n v="10329.84"/>
        <n v="8456.96"/>
        <n v="1266.4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"/>
        <n v="6776.88"/>
        <n v="15760.12"/>
        <n v="1795.65"/>
        <n v="18362.51"/>
        <n v="26524.68"/>
        <n v="2056.05"/>
        <n v="8607.28"/>
        <n v="9903.96"/>
        <n v="2033"/>
        <n v="19966.94"/>
        <n v="710.9"/>
        <n v="15994.48"/>
        <n v="1627.5"/>
        <n v="9637.92"/>
        <n v="4777.52"/>
        <n v="1527.06"/>
        <n v="5698.4"/>
        <n v="265.84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"/>
        <n v="760.29"/>
        <n v="14943.11"/>
        <n v="8072"/>
        <n v="28353.02"/>
        <n v="2008.57"/>
        <n v="9234.21"/>
        <n v="2658.83"/>
        <n v="15756.05"/>
        <n v="14787.78"/>
        <n v="25181.64"/>
        <n v="8837.95"/>
        <n v="7275.79"/>
        <n v="2355.08"/>
        <n v="3609.12"/>
        <n v="2188.19"/>
        <n v="11370.84"/>
        <n v="9298.8"/>
        <n v="7082.69"/>
        <n v="9043.8"/>
        <n v="2211.3"/>
        <n v="12158.5"/>
        <n v="1736.62"/>
        <n v="8266.21"/>
        <n v="10022.04"/>
        <n v="2886.03"/>
        <n v="1459.19"/>
        <n v="26696.32"/>
        <n v="8445.26"/>
        <n v="11709.79"/>
        <n v="2593.91"/>
        <n v="2674.02"/>
        <n v="9926.96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"/>
        <n v="933.43"/>
        <n v="14554.08"/>
        <n v="8128.69"/>
        <n v="3106.8"/>
        <n v="6394.23"/>
        <n v="3708.06"/>
        <n v="9424.22"/>
        <n v="7752.6"/>
        <n v="23736.72"/>
        <n v="26999.91"/>
        <n v="5065.12"/>
        <n v="6707.52"/>
        <n v="11983.45"/>
        <n v="1364.58"/>
        <n v="862.65"/>
        <n v="1138.37"/>
        <n v="2452.83"/>
        <n v="1589.08"/>
        <n v="4519.41"/>
        <n v="2718.71"/>
        <n v="7065.66"/>
        <n v="17911.01"/>
        <n v="14149.92"/>
        <n v="4272.58"/>
        <n v="9352.62"/>
        <n v="2800.9"/>
        <n v="21511.6"/>
        <n v="7279.36"/>
        <n v="26051.94"/>
        <n v="9661.64"/>
        <n v="13714.96"/>
        <n v="15354.45"/>
        <n v="4595.2"/>
        <n v="21234.97"/>
        <n v="8093.3"/>
        <n v="8651.46"/>
        <n v="4306.65"/>
        <n v="1948.09"/>
        <n v="3045.09"/>
        <n v="2932.78"/>
        <n v="4379.36"/>
        <n v="5472.77"/>
        <n v="7377.1"/>
        <n v="2363.89"/>
        <n v="2577.2"/>
        <n v="17827.76"/>
        <n v="2675.34"/>
        <n v="3563.91"/>
        <n v="4259.07"/>
        <n v="786.87"/>
        <n v="8233.6"/>
        <n v="12678.66"/>
        <n v="33968.08"/>
        <n v="511.31"/>
        <n v="10877.94"/>
        <n v="10246.53"/>
        <n v="1704.24"/>
        <n v="33719.22"/>
        <n v="2720.17"/>
        <n v="8213.02"/>
        <n v="633.67"/>
        <n v="25216.53"/>
        <n v="6521.38"/>
        <n v="12867.55"/>
        <n v="26489.65"/>
        <n v="36782.27"/>
        <n v="23696.4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4"/>
        <n v="4177.45"/>
        <n v="10898.18"/>
        <n v="6975.7"/>
        <n v="8811.69"/>
        <n v="17034.35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"/>
        <n v="25524.3"/>
        <n v="2418.01"/>
        <n v="3508.38"/>
        <n v="6789.27"/>
        <n v="4917.44"/>
        <n v="3304.05"/>
        <n v="10989.89"/>
        <n v="9549.44"/>
        <n v="10348.43"/>
        <n v="12116.89"/>
        <n v="6589.37"/>
        <n v="5206.53"/>
        <n v="27322.9"/>
        <n v="21443.63"/>
        <n v="4099.69"/>
        <n v="3797.79"/>
        <n v="808.67"/>
        <n v="11778.71"/>
        <m/>
      </sharedItems>
    </cacheField>
    <cacheField name="calculated sales" numFmtId="0">
      <sharedItems containsString="0" containsBlank="1" containsNumber="1" minValue="36.447" maxValue="36782.271" count="901">
        <n v="19049.28"/>
        <n v="7312.5"/>
        <n v="1917.774"/>
        <n v="8317.935"/>
        <n v="20816.32"/>
        <n v="2527.464"/>
        <n v="5847.558"/>
        <n v="2980.71"/>
        <n v="25073.6"/>
        <n v="6134.688"/>
        <n v="10074.2655"/>
        <n v="9628.56"/>
        <n v="596.819"/>
        <n v="26365.388"/>
        <n v="4106.745"/>
        <n v="23794.56"/>
        <n v="9970.53"/>
        <n v="7633.9"/>
        <n v="3995.98"/>
        <n v="11663.82"/>
        <n v="16398.975"/>
        <n v="2790.76"/>
        <n v="8291.512"/>
        <n v="6265.632"/>
        <n v="13478.82"/>
        <n v="7335.84"/>
        <n v="2578.068"/>
        <n v="6774.4125"/>
        <n v="2913.33"/>
        <n v="217.6085"/>
        <n v="3079.593"/>
        <n v="27832.95"/>
        <n v="12003.75"/>
        <n v="2585.1525"/>
        <n v="6655.504"/>
        <n v="19054.112"/>
        <n v="9379.41"/>
        <n v="4248.128"/>
        <n v="13927.284"/>
        <n v="4935.312"/>
        <n v="14051.912"/>
        <n v="6846.48"/>
        <n v="7447.012"/>
        <n v="3030.69"/>
        <n v="26971.137"/>
        <n v="29851.432"/>
        <n v="16110.8325"/>
        <n v="17606.232"/>
        <n v="28445.62"/>
        <n v="6772.5405"/>
        <n v="2025.38"/>
        <n v="9168.48"/>
        <n v="12596.67"/>
        <n v="5131.7475"/>
        <n v="3415.464"/>
        <n v="3411.54"/>
        <n v="9466.83"/>
        <n v="1279.35"/>
        <n v="11254.788"/>
        <n v="16535.4"/>
        <n v="661.824"/>
        <n v="949.59"/>
        <n v="21904.488"/>
        <n v="4815.709"/>
        <n v="3134.88"/>
        <n v="4066.1805"/>
        <n v="7032.109"/>
        <n v="24002.111"/>
        <n v="19900.08"/>
        <n v="21527.667"/>
        <n v="1539.979"/>
        <n v="10947.528"/>
        <n v="13610.4465"/>
        <n v="7128.7"/>
        <n v="3309.84"/>
        <n v="7907.568"/>
        <n v="10218.81"/>
        <n v="2194.87"/>
        <n v="9050.4175"/>
        <n v="33465.312"/>
        <n v="4256.352"/>
        <n v="5525.73"/>
        <n v="6010.38"/>
        <n v="948.528"/>
        <n v="2737.344"/>
        <n v="608.64"/>
        <n v="2390.256"/>
        <n v="23416.54"/>
        <n v="6241.025"/>
        <n v="21062.104"/>
        <n v="9445.098"/>
        <n v="2427.12"/>
        <n v="36111.906"/>
        <n v="19522.79"/>
        <n v="26470.71"/>
        <n v="10524.78"/>
        <n v="3840.708"/>
        <n v="14409.44"/>
        <n v="15184.296"/>
        <n v="6495.87"/>
        <n v="9540.66"/>
        <n v="16486.95"/>
        <n v="11462.84"/>
        <n v="7809.088"/>
        <n v="7922.025"/>
        <n v="1233"/>
        <n v="8008.08"/>
        <n v="12263.2365"/>
        <n v="806.31"/>
        <n v="2091.465"/>
        <n v="4500.94"/>
        <n v="1623.018"/>
        <n v="10914.018"/>
        <n v="2450.5875"/>
        <n v="3949.56"/>
        <n v="758.778"/>
        <n v="3590.9325"/>
        <n v="8976.285"/>
        <n v="6321.08"/>
        <n v="1884.3"/>
        <n v="1458.936"/>
        <n v="17414.6"/>
        <n v="511.05"/>
        <n v="634.13"/>
        <n v="4185.54"/>
        <n v="14558.715"/>
        <n v="4303.422"/>
        <n v="5774.67"/>
        <n v="4386.3875"/>
        <n v="18229.5785"/>
        <n v="873.68"/>
        <n v="2692.152"/>
        <n v="1066.16"/>
        <n v="22930.62"/>
        <n v="1436.625"/>
        <n v="3424.78"/>
        <n v="31178.376"/>
        <n v="19202.904"/>
        <n v="24018.3"/>
        <n v="10301.04"/>
        <n v="8743.65"/>
        <n v="3996.027"/>
        <n v="3857.045"/>
        <n v="3068.55"/>
        <n v="11276.9475"/>
        <n v="15055.74"/>
        <n v="25639.983"/>
        <n v="2779.92"/>
        <n v="10176.42"/>
        <n v="13269.9525"/>
        <n v="1398.708"/>
        <n v="7718.22"/>
        <n v="5875.416"/>
        <n v="22962.17"/>
        <n v="2209.252"/>
        <n v="7720.164"/>
        <n v="12103.1925"/>
        <n v="2335.392"/>
        <n v="3989.563"/>
        <n v="33893.325"/>
        <n v="4789.596"/>
        <n v="1643.41"/>
        <n v="35782.72"/>
        <n v="15679.332"/>
        <n v="2365.815"/>
        <n v="10268.97"/>
        <n v="2046.28"/>
        <n v="23186.6145"/>
        <n v="2557.08"/>
        <n v="5577.64"/>
        <n v="5133.96"/>
        <n v="15923.5125"/>
        <n v="23997.222"/>
        <n v="1734.1875"/>
        <n v="8264.703"/>
        <n v="15906.849"/>
        <n v="24229.012"/>
        <n v="31039.6"/>
        <n v="13126.96"/>
        <n v="9558.9"/>
        <n v="5320.917"/>
        <n v="10205.8"/>
        <n v="5430.39"/>
        <n v="12907.216"/>
        <n v="1777.96"/>
        <n v="1605.072"/>
        <n v="23996.0595"/>
        <n v="8717.22"/>
        <n v="6407.226"/>
        <n v="29864.16"/>
        <n v="1458.243"/>
        <n v="9047.64"/>
        <n v="8764.12"/>
        <n v="9391.824"/>
        <n v="7339.2345"/>
        <n v="9614.15"/>
        <n v="3272.481"/>
        <n v="17409.87"/>
        <n v="1125.351"/>
        <n v="9835.11"/>
        <n v="12907.98"/>
        <n v="5007.06"/>
        <n v="13231.144"/>
        <n v="484.789"/>
        <n v="1624.146"/>
        <n v="4193.232"/>
        <n v="430.26"/>
        <n v="1752.72"/>
        <n v="999.83"/>
        <n v="7006.338"/>
        <n v="4131.36"/>
        <n v="27020.48"/>
        <n v="364.65"/>
        <n v="13864.736"/>
        <n v="707.313"/>
        <n v="19214.4"/>
        <n v="11039.22"/>
        <n v="4595.76"/>
        <n v="1291.4"/>
        <n v="36.447"/>
        <n v="9554.578"/>
        <n v="4900.896"/>
        <n v="25848.54"/>
        <n v="1176.72"/>
        <n v="11833.92"/>
        <n v="5265.597"/>
        <n v="1987.443"/>
        <n v="1473.2625"/>
        <n v="2715.2145"/>
        <n v="8658.69"/>
        <n v="11090.376"/>
        <n v="11462.745"/>
        <n v="670.11"/>
        <n v="31236.72"/>
        <n v="10964.241"/>
        <n v="15226.353"/>
        <n v="24376.68"/>
        <n v="20972.7"/>
        <n v="12615.9075"/>
        <n v="3136.096"/>
        <n v="20835.9"/>
        <n v="1212.9"/>
        <n v="5697.834"/>
        <n v="4049.514"/>
        <n v="6131.34"/>
        <n v="9827.79"/>
        <n v="521.8875"/>
        <n v="14960.4"/>
        <n v="6027.5115"/>
        <n v="8928.928"/>
        <n v="14338.905"/>
        <n v="6132.96"/>
        <n v="2329.472"/>
        <n v="4746.903"/>
        <n v="5603.08"/>
        <n v="12810"/>
        <n v="19328.2155"/>
        <n v="6474.54"/>
        <n v="5580.105"/>
        <n v="18265.088"/>
        <n v="15209.88"/>
        <n v="1648.176"/>
        <n v="13399.44"/>
        <n v="32743.845"/>
        <n v="6012.28"/>
        <n v="495.0145"/>
        <n v="13017.72"/>
        <n v="785.4"/>
        <n v="3319.05"/>
        <n v="1925.86"/>
        <n v="2482.32"/>
        <n v="11674.25"/>
        <n v="3510.423"/>
        <n v="22694.67"/>
        <n v="21658.221"/>
        <n v="980.51"/>
        <n v="20349.18"/>
        <n v="1813.6705"/>
        <n v="3780.658"/>
        <n v="4141.164"/>
        <n v="8943.03"/>
        <n v="16504.224"/>
        <n v="4596"/>
        <n v="1814.01"/>
        <n v="4730.76"/>
        <n v="36735.93"/>
        <n v="4421.34"/>
        <n v="6516.933"/>
        <n v="7411.83"/>
        <n v="8258.711"/>
        <n v="1658.367"/>
        <n v="9685.98"/>
        <n v="33740.55"/>
        <n v="3081.057"/>
        <n v="18716.985"/>
        <n v="9385.335"/>
        <n v="17826.591"/>
        <n v="5966.592"/>
        <n v="1951.544"/>
        <n v="10830.015"/>
        <n v="31539.294"/>
        <n v="6285.618"/>
        <n v="4054.92"/>
        <n v="2363.652"/>
        <n v="12976.47"/>
        <n v="7480.908"/>
        <n v="14692.44"/>
        <n v="29469.888"/>
        <n v="2341.024"/>
        <n v="12982.599"/>
        <n v="16274"/>
        <n v="2493.18"/>
        <n v="20917.92"/>
        <n v="12488.58"/>
        <n v="6485.364"/>
        <n v="29500.92"/>
        <n v="3116.048"/>
        <n v="22926.8205"/>
        <n v="11203.542"/>
        <n v="270.28"/>
        <n v="788.526"/>
        <n v="2699.28"/>
        <n v="6984.348"/>
        <n v="10185.669"/>
        <n v="1655.698"/>
        <n v="15602.6"/>
        <n v="15138.4875"/>
        <n v="4402.92"/>
        <n v="18604.08"/>
        <n v="15401.514"/>
        <n v="783.09"/>
        <n v="10742.64"/>
        <n v="7823.92"/>
        <n v="2936.1"/>
        <n v="12969.9225"/>
        <n v="11581.299"/>
        <n v="15940.56"/>
        <n v="7090.44"/>
        <n v="26414.16"/>
        <n v="20900.864"/>
        <n v="18261.36"/>
        <n v="7524.627"/>
        <n v="12231.36"/>
        <n v="31079.7"/>
        <n v="31107.42"/>
        <n v="5530.6"/>
        <n v="7715.808"/>
        <n v="11925.96"/>
        <n v="19306.755"/>
        <n v="19355.9625"/>
        <n v="11914.344"/>
        <n v="3237.48"/>
        <n v="10734.75"/>
        <n v="10308.024"/>
        <n v="20080.68"/>
        <n v="16017.4"/>
        <n v="2486.8"/>
        <n v="4369.04"/>
        <n v="5956.12"/>
        <n v="4997.376"/>
        <n v="17669.4"/>
        <n v="35615.709"/>
        <n v="1866.408"/>
        <n v="6867.6375"/>
        <n v="6195.75"/>
        <n v="13651.2"/>
        <n v="8836.56"/>
        <n v="19456.959"/>
        <n v="2079.2745"/>
        <n v="8945.6805"/>
        <n v="13069.336"/>
        <n v="6156.36"/>
        <n v="7651.8"/>
        <n v="10068.12"/>
        <n v="14359.5"/>
        <n v="2624.8725"/>
        <n v="8854.944"/>
        <n v="2564.74"/>
        <n v="7821.22"/>
        <n v="7956.76"/>
        <n v="8384.4375"/>
        <n v="16671.17"/>
        <n v="10468.44"/>
        <n v="4485.5"/>
        <n v="2822.1"/>
        <n v="1975.104"/>
        <n v="20063.952"/>
        <n v="1764.3"/>
        <n v="9385.77"/>
        <n v="7750.16"/>
        <n v="6135.232"/>
        <n v="714.43"/>
        <n v="36477.09"/>
        <n v="3680.129"/>
        <n v="27616.47"/>
        <n v="5731.7015"/>
        <n v="1213.587"/>
        <n v="3463.76"/>
        <n v="2021.84"/>
        <n v="3268.875"/>
        <n v="6146.63"/>
        <n v="7877.55"/>
        <n v="4095.78"/>
        <n v="16683.1875"/>
        <n v="1078.83"/>
        <n v="24431.463"/>
        <n v="5886.3"/>
        <n v="7933.65"/>
        <n v="7093.84"/>
        <n v="2269.095"/>
        <n v="9378.792"/>
        <n v="3334.248"/>
        <n v="1583.5425"/>
        <n v="15345.84"/>
        <n v="9439.504"/>
        <n v="10277.197"/>
        <n v="3833.7"/>
        <n v="18542.4"/>
        <n v="21962.4"/>
        <n v="1308.777"/>
        <n v="1814.985"/>
        <n v="2489.88"/>
        <n v="4098.6575"/>
        <n v="27211.032"/>
        <n v="6436.16"/>
        <n v="1918.242"/>
        <n v="27047.952"/>
        <n v="26454.96"/>
        <n v="1853.895"/>
        <n v="17658.6"/>
        <n v="3672.714"/>
        <n v="6177.675"/>
        <n v="985.074"/>
        <n v="6160.88"/>
        <n v="3263.9"/>
        <n v="2327.0535"/>
        <n v="6593.646"/>
        <n v="2886.632"/>
        <n v="1813.176"/>
        <n v="3326.25"/>
        <n v="17869.632"/>
        <n v="25304.94"/>
        <n v="1842.31"/>
        <n v="3315.375"/>
        <n v="20342.502"/>
        <n v="3377.968"/>
        <n v="33940.08"/>
        <n v="21872.37"/>
        <n v="342.057"/>
        <n v="19622.16"/>
        <n v="15380.3475"/>
        <n v="13039.952"/>
        <n v="9663.984"/>
        <n v="7417.6"/>
        <n v="25229.7"/>
        <n v="3235.08"/>
        <n v="11070.8675"/>
        <n v="19960.57"/>
        <n v="8596.044"/>
        <n v="3452.76"/>
        <n v="11626.974"/>
        <n v="8614.2825"/>
        <n v="2040.224"/>
        <n v="2846.4"/>
        <n v="10331.478"/>
        <n v="2517.8"/>
        <n v="11462.112"/>
        <n v="19297.485"/>
        <n v="6564.99"/>
        <n v="2812.482"/>
        <n v="7079.648"/>
        <n v="6793.065"/>
        <n v="1844.22"/>
        <n v="918.96"/>
        <n v="4900.71"/>
        <n v="20272.92"/>
        <n v="1035.666"/>
        <n v="11843.442"/>
        <n v="25702.173"/>
        <n v="2202.55"/>
        <n v="4525.8"/>
        <n v="1676.328"/>
        <n v="2893.995"/>
        <n v="705.211"/>
        <n v="16385.49"/>
        <n v="7665.57"/>
        <n v="4670.832"/>
        <n v="6155.5"/>
        <n v="8666.56"/>
        <n v="361.752"/>
        <n v="2418.199"/>
        <n v="1941.056"/>
        <n v="4088.16"/>
        <n v="15273.055"/>
        <n v="2015.04"/>
        <n v="3784.724"/>
        <n v="6635.556"/>
        <n v="2485.504"/>
        <n v="850.345"/>
        <n v="9997.83"/>
        <n v="5124.5865"/>
        <n v="17837.454"/>
        <n v="4465.422"/>
        <n v="10594.08"/>
        <n v="17312.48"/>
        <n v="17555.688"/>
        <n v="1205.64"/>
        <n v="8971.26"/>
        <n v="7324"/>
        <n v="23241.216"/>
        <n v="8477.02"/>
        <n v="3673.8225"/>
        <n v="6047.175"/>
        <n v="5937.246"/>
        <n v="20913.876"/>
        <n v="4458.49"/>
        <n v="2233.18"/>
        <n v="11890.368"/>
        <n v="8421.6825"/>
        <n v="13968.672"/>
        <n v="1611.1145"/>
        <n v="12495.027"/>
        <n v="33034.86"/>
        <n v="5805.26"/>
        <n v="34079.616"/>
        <n v="11359.8"/>
        <n v="1136.16"/>
        <n v="13802.13"/>
        <n v="29558.1195"/>
        <n v="16400.25"/>
        <n v="17053.0605"/>
        <n v="398.673"/>
        <n v="17862.147"/>
        <n v="2165.85"/>
        <n v="14268.204"/>
        <n v="9602.352"/>
        <n v="19891.725"/>
        <n v="1927.6545"/>
        <n v="29900.79"/>
        <n v="1904.445"/>
        <n v="21571.592"/>
        <n v="8641.68"/>
        <n v="9762.288"/>
        <n v="418.7695"/>
        <n v="21861.72"/>
        <n v="17260.117"/>
        <n v="10911.3225"/>
        <n v="30148.929"/>
        <n v="1072.01"/>
        <n v="10271.529"/>
        <n v="10206.912"/>
        <n v="8027.6295"/>
        <n v="750.072"/>
        <n v="8735.2425"/>
        <n v="4070.636"/>
        <n v="5943.96"/>
        <n v="4426.66"/>
        <n v="32228.883"/>
        <n v="19711.68"/>
        <n v="14750.19"/>
        <n v="1130.12"/>
        <n v="2900.88"/>
        <n v="680.624"/>
        <n v="5694.984"/>
        <n v="1474.144"/>
        <n v="9224.928"/>
        <n v="4712.202"/>
        <n v="1305.357"/>
        <n v="2854.725"/>
        <n v="14630.265"/>
        <n v="8879.49"/>
        <n v="21381.45"/>
        <n v="1774.944"/>
        <n v="573.65"/>
        <n v="5423.2"/>
        <n v="3983.424"/>
        <n v="23530.14"/>
        <n v="1879.15"/>
        <n v="15011.805"/>
        <n v="3202.41"/>
        <n v="417.486"/>
        <n v="16323.8"/>
        <n v="3356.2"/>
        <n v="2101.472"/>
        <n v="837.1905"/>
        <n v="27629.28"/>
        <n v="7471.52"/>
        <n v="3615.764"/>
        <n v="32013.792"/>
        <n v="1574.25"/>
        <n v="20582.1"/>
        <n v="10635.24"/>
        <n v="29929.588"/>
        <n v="27675.7425"/>
        <n v="11945.28"/>
        <n v="13144.032"/>
        <n v="18382.005"/>
        <n v="1855.44"/>
        <n v="3354.0525"/>
        <n v="2482.965"/>
        <n v="11048.25"/>
        <n v="6460.12"/>
        <n v="26192.223"/>
        <n v="19564.604"/>
        <n v="3228.9"/>
        <n v="1260.0075"/>
        <n v="8754.3225"/>
        <n v="4057.3475"/>
        <n v="19383.75"/>
        <n v="30362.36"/>
        <n v="2729.655"/>
        <n v="4718.016"/>
        <n v="3844.01"/>
        <n v="22688.775"/>
        <n v="20389.92"/>
        <n v="5659.884"/>
        <n v="18842.64"/>
        <n v="24677.19"/>
        <n v="12623.2425"/>
        <n v="3401.008"/>
        <n v="6609.06"/>
        <n v="5464.2"/>
        <n v="10484.238"/>
        <n v="10329.844"/>
        <n v="8456.957"/>
        <n v="1266.408"/>
        <n v="11473.04"/>
        <n v="4012.034"/>
        <n v="5364.3555"/>
        <n v="10706.073"/>
        <n v="10969.38"/>
        <n v="31409.856"/>
        <n v="14252.65"/>
        <n v="1382.168"/>
        <n v="9223.17"/>
        <n v="16394.9625"/>
        <n v="12990.108"/>
        <n v="5107.952"/>
        <n v="7738.368"/>
        <n v="1514.965"/>
        <n v="1267.296"/>
        <n v="6405.74"/>
        <n v="8607.6675"/>
        <n v="26324.024"/>
        <n v="14250.076"/>
        <n v="13087.494"/>
        <n v="1640.565"/>
        <n v="14441.908"/>
        <n v="5065.848"/>
        <n v="6776.88"/>
        <n v="15760.122"/>
        <n v="1795.65"/>
        <n v="18362.5075"/>
        <n v="26524.6835"/>
        <n v="2056.048"/>
        <n v="8607.28"/>
        <n v="11004.4"/>
        <n v="2033"/>
        <n v="19966.94"/>
        <n v="710.896"/>
        <n v="15994.476"/>
        <n v="1627.5"/>
        <n v="9637.92"/>
        <n v="6370.02"/>
        <n v="1527.064"/>
        <n v="5698.404"/>
        <n v="265.8385"/>
        <n v="3959.14"/>
        <n v="2401.84"/>
        <n v="5102.16"/>
        <n v="6176.592"/>
        <n v="31203.3105"/>
        <n v="12010.5175"/>
        <n v="13847.86"/>
        <n v="1033.71"/>
        <n v="2889.78"/>
        <n v="20296.6995"/>
        <n v="18364.36"/>
        <n v="21141.6165"/>
        <n v="1692.684"/>
        <n v="14800.96"/>
        <n v="6001.35"/>
        <n v="7772.34"/>
        <n v="7902.96"/>
        <n v="24621.24"/>
        <n v="3313.5075"/>
        <n v="4698.26"/>
        <n v="688.2"/>
        <n v="15492.066"/>
        <n v="3745.287"/>
        <n v="3462.52"/>
        <n v="8767.17"/>
        <n v="8516.448"/>
        <n v="11826.8445"/>
        <n v="11629.02"/>
        <n v="1029.56"/>
        <n v="3536.52"/>
        <n v="3970.05"/>
        <n v="27755.288"/>
        <n v="9450.7425"/>
        <n v="7792.545"/>
        <n v="8574.58"/>
        <n v="2692.818"/>
        <n v="1035.027"/>
        <n v="2401.7855"/>
        <n v="16015.8125"/>
        <n v="1901.475"/>
        <n v="8375.985"/>
        <n v="16559.108"/>
        <n v="8110.088"/>
        <n v="7406.01"/>
        <n v="4110.4125"/>
        <n v="9680.02"/>
        <n v="217.4775"/>
        <n v="18675.18"/>
        <n v="19901.63"/>
        <n v="2879.817"/>
        <n v="18712.224"/>
        <n v="4733.448"/>
        <n v="3795.856"/>
        <n v="15231.728"/>
        <n v="13649.75"/>
        <n v="4333.59"/>
        <n v="13634.001"/>
        <n v="760.29"/>
        <n v="14943.11"/>
        <n v="8072"/>
        <n v="28353.016"/>
        <n v="2008.567"/>
        <n v="9234.213"/>
        <n v="2658.834"/>
        <n v="15756.048"/>
        <n v="14787.78"/>
        <n v="25181.64"/>
        <n v="8837.952"/>
        <n v="7275.792"/>
        <n v="2355.075"/>
        <n v="3609.12"/>
        <n v="2188.19"/>
        <n v="11370.835"/>
        <n v="9298.8"/>
        <n v="8853.36"/>
        <n v="9043.8"/>
        <n v="2211.3"/>
        <n v="12158.505"/>
        <n v="1736.616"/>
        <n v="8266.208"/>
        <n v="10022.044"/>
        <n v="2886.03"/>
        <n v="1459.195"/>
        <n v="26696.324"/>
        <n v="8445.2625"/>
        <n v="11709.795"/>
        <n v="2593.911"/>
        <n v="2674.02"/>
        <n v="9926.96"/>
        <n v="12191.76"/>
        <n v="4285.755"/>
        <n v="4166.91"/>
        <n v="14947.5375"/>
        <n v="13462.12"/>
        <n v="7467.36"/>
        <n v="5910.592"/>
        <n v="16454.88"/>
        <n v="25159.8"/>
        <n v="1824.42"/>
        <n v="16617.312"/>
        <n v="933.435"/>
        <n v="14554.08"/>
        <n v="8128.6875"/>
        <n v="3452"/>
        <n v="8525.64"/>
        <n v="3708.059"/>
        <n v="9424.224"/>
        <n v="7752.6"/>
        <n v="23736.72"/>
        <n v="26999.91"/>
        <n v="5065.116"/>
        <n v="6707.52"/>
        <n v="11983.452"/>
        <n v="1364.576"/>
        <n v="862.65"/>
        <n v="1138.371"/>
        <n v="2452.8335"/>
        <n v="1589.084"/>
        <n v="4519.41"/>
        <n v="2718.71"/>
        <n v="7065.663"/>
        <n v="17911.008"/>
        <n v="14149.92"/>
        <n v="4272.576"/>
        <n v="9352.62"/>
        <n v="2800.896"/>
        <n v="21511.6"/>
        <n v="7279.3575"/>
        <n v="26051.94"/>
        <n v="9661.644"/>
        <n v="13714.96"/>
        <n v="15354.45"/>
        <n v="4595.1975"/>
        <n v="21234.972"/>
        <n v="8093.304"/>
        <n v="8651.46"/>
        <n v="4306.65"/>
        <n v="1948.089"/>
        <n v="3045.09"/>
        <n v="2932.776"/>
        <n v="4379.364"/>
        <n v="5472.768"/>
        <n v="7377.102"/>
        <n v="2363.8875"/>
        <n v="2577.2"/>
        <n v="17827.76"/>
        <n v="2675.34"/>
        <n v="3563.91"/>
        <n v="4259.0695"/>
        <n v="786.87"/>
        <n v="8233.605"/>
        <n v="15848.32"/>
        <n v="33968.08"/>
        <n v="511.312"/>
        <n v="10877.944"/>
        <n v="10246.528"/>
        <n v="1704.2415"/>
        <n v="33719.224"/>
        <n v="2720.17"/>
        <n v="8213.025"/>
        <n v="633.6675"/>
        <n v="25216.534"/>
        <n v="6521.382"/>
        <n v="12867.552"/>
        <n v="26489.655"/>
        <n v="36782.271"/>
        <n v="23696.4"/>
        <n v="4047.66"/>
        <n v="10038.7735"/>
        <n v="1074.22"/>
        <n v="9399.6675"/>
        <n v="1470.57"/>
        <n v="3826.296"/>
        <n v="6336.44"/>
        <n v="21850.83"/>
        <n v="7453.072"/>
        <n v="35905.68"/>
        <n v="3515.15"/>
        <n v="24409.5525"/>
        <n v="7955.04"/>
        <n v="336.128"/>
        <n v="1308.2625"/>
        <n v="1631.112"/>
        <n v="7266.06"/>
        <n v="1858.08"/>
        <n v="25021.8325"/>
        <n v="3710.72"/>
        <n v="8487.832"/>
        <n v="3110.295"/>
        <n v="1580.4"/>
        <n v="12190.365"/>
        <n v="11619.44"/>
        <n v="25075.44"/>
        <n v="4177.454"/>
        <n v="10898.176"/>
        <n v="6975.7"/>
        <n v="8811.69"/>
        <n v="17034.35"/>
        <n v="7984.08"/>
        <n v="21912.264"/>
        <n v="4695.705"/>
        <n v="1923.237"/>
        <n v="4301.91"/>
        <n v="22436.838"/>
        <n v="19676.07"/>
        <n v="8848.08"/>
        <n v="4487.832"/>
        <n v="29829.088"/>
        <n v="21574.672"/>
        <n v="22741.32"/>
        <n v="3641.544"/>
        <n v="11834.796"/>
        <n v="6028.353"/>
        <n v="16173.85"/>
        <n v="25155.5625"/>
        <n v="7649.8"/>
        <n v="1620.87"/>
        <n v="3567.518"/>
        <n v="1625.31"/>
        <n v="23739.905"/>
        <n v="16704.52"/>
        <n v="12685.104"/>
        <n v="5883.12"/>
        <n v="13965.888"/>
        <n v="10835.865"/>
        <n v="581.512"/>
        <n v="1127.1465"/>
        <n v="25524.3"/>
        <n v="2418.012"/>
        <n v="3508.3785"/>
        <n v="6789.27"/>
        <n v="4917.44"/>
        <n v="3304.05"/>
        <m/>
      </sharedItems>
    </cacheField>
    <cacheField name="cost" numFmtId="0">
      <sharedItems containsString="0" containsBlank="1" containsNumber="1" minValue="119.77" maxValue="30820.84" count="900">
        <n v="15841.89"/>
        <n v="4904.73"/>
        <n v="2465.69"/>
        <n v="6796.77"/>
        <n v="17705.37"/>
        <n v="1533.58"/>
        <n v="4727.25"/>
        <n v="2357.22"/>
        <n v="17347.23"/>
        <n v="3800.19"/>
        <n v="6048.27"/>
        <n v="8038.59"/>
        <n v="380.25"/>
        <n v="22306.24"/>
        <n v="2666.3"/>
        <n v="15698.47"/>
        <n v="5668.17"/>
        <n v="4706.91"/>
        <n v="2633.2"/>
        <n v="7529.31"/>
        <n v="9556.52"/>
        <n v="2037.71"/>
        <n v="6685.03"/>
        <n v="4321.86"/>
        <n v="10937.35"/>
        <n v="4968.41"/>
        <n v="1527.55"/>
        <n v="4710.36"/>
        <n v="2122.33"/>
        <n v="119.77"/>
        <n v="2001.89"/>
        <n v="17769.75"/>
        <n v="7529.92"/>
        <n v="2070.73"/>
        <n v="4340.21"/>
        <n v="15313.83"/>
        <n v="6670.85"/>
        <n v="3321.09"/>
        <n v="10504.87"/>
        <n v="3374.77"/>
        <n v="11990.37"/>
        <n v="4239.89"/>
        <n v="4496.22"/>
        <n v="1721.08"/>
        <n v="17376.2"/>
        <n v="17487.48"/>
        <n v="10680.03"/>
        <n v="12438.96"/>
        <n v="20938.59"/>
        <n v="5755.46"/>
        <n v="1140.65"/>
        <n v="7439.77"/>
        <n v="10603.29"/>
        <n v="2838.68"/>
        <n v="1993.23"/>
        <n v="2803.13"/>
        <n v="6557.83"/>
        <n v="1091.54"/>
        <n v="6578.06"/>
        <n v="12990.21"/>
        <n v="481.47"/>
        <n v="751.25"/>
        <n v="13570.55"/>
        <n v="3027.75"/>
        <n v="2367.63"/>
        <n v="2628.92"/>
        <n v="4610.34"/>
        <n v="18707.57"/>
        <n v="10962.66"/>
        <n v="18287.58"/>
        <n v="1070.2"/>
        <n v="6447.36"/>
        <n v="10039.05"/>
        <n v="4382.15"/>
        <n v="2671.08"/>
        <n v="5391.18"/>
        <n v="7616.97"/>
        <n v="1223.17"/>
        <n v="6778.85"/>
        <n v="24781.26"/>
        <n v="2495.33"/>
        <n v="3093.42"/>
        <n v="3762.85"/>
        <n v="674.62"/>
        <n v="2085.44"/>
        <n v="343.99"/>
        <n v="1495.94"/>
        <n v="15490.89"/>
        <n v="5345.88"/>
        <n v="12057.13"/>
        <n v="5586.28"/>
        <n v="1538.35"/>
        <n v="29194.5"/>
        <n v="12455.78"/>
        <n v="21367.6"/>
        <n v="8841.05"/>
        <n v="2516.29"/>
        <n v="8809.97"/>
        <n v="11270.74"/>
        <n v="4700.89"/>
        <n v="5561.49"/>
        <n v="12054.14"/>
        <n v="8979.78"/>
        <n v="6657.75"/>
        <n v="5619.95"/>
        <n v="1006.9"/>
        <n v="5709.39"/>
        <n v="8925.57"/>
        <n v="498.5"/>
        <n v="1317.22"/>
        <n v="2607.73"/>
        <n v="1077.46"/>
        <n v="6548.74"/>
        <n v="1639.89"/>
        <n v="3186.73"/>
        <n v="490.74"/>
        <n v="3061.39"/>
        <n v="20370.16"/>
        <n v="4407.22"/>
        <n v="1517.69"/>
        <n v="893.2"/>
        <n v="11760.91"/>
        <n v="367.18"/>
        <n v="453.35"/>
        <n v="3443.74"/>
        <n v="9591.48"/>
        <n v="2568.57"/>
        <n v="3518.36"/>
        <n v="3366.88"/>
        <n v="15139.15"/>
        <n v="661.72"/>
        <n v="2044.49"/>
        <n v="656.3"/>
        <n v="16875.55"/>
        <n v="912.52"/>
        <n v="1951.45"/>
        <n v="21421.09"/>
        <n v="15526.62"/>
        <n v="14070.78"/>
        <n v="6564.06"/>
        <n v="6603.76"/>
        <n v="2859.51"/>
        <n v="2769.26"/>
        <n v="1916.16"/>
        <n v="6908.76"/>
        <n v="9808.83"/>
        <n v="21635.08"/>
        <n v="1744.05"/>
        <n v="7604.47"/>
        <n v="8977.1"/>
        <n v="1056.92"/>
        <n v="5355.93"/>
        <n v="4380.55"/>
        <n v="15716.5"/>
        <n v="1523.78"/>
        <n v="5881"/>
        <n v="6717.87"/>
        <n v="1466.15"/>
        <n v="2381.38"/>
        <n v="25750.35"/>
        <n v="4037.64"/>
        <n v="907.4"/>
        <n v="26424.41"/>
        <n v="12477.82"/>
        <n v="1547.99"/>
        <n v="6470.92"/>
        <n v="1449.54"/>
        <n v="17906.54"/>
        <n v="2025.69"/>
        <n v="3541.29"/>
        <n v="3930"/>
        <n v="11291.8"/>
        <n v="16134.63"/>
        <n v="1386.07"/>
        <n v="4768.75"/>
        <n v="11014.46"/>
        <n v="13910.64"/>
        <n v="20866.72"/>
        <n v="10732.44"/>
        <n v="5516.76"/>
        <n v="3041.5"/>
        <n v="5986.31"/>
        <n v="3707.66"/>
        <n v="8327.89"/>
        <n v="1021.16"/>
        <n v="1337.28"/>
        <n v="20167.28"/>
        <n v="6215.96"/>
        <n v="4923.09"/>
        <n v="16872.39"/>
        <n v="943.32"/>
        <n v="19397.68"/>
        <n v="7220.05"/>
        <n v="6013.22"/>
        <n v="5434.12"/>
        <n v="7576.84"/>
        <n v="2517.44"/>
        <n v="14076.25"/>
        <n v="676.97"/>
        <n v="5437.64"/>
        <n v="9197.08"/>
        <n v="2954.86"/>
        <n v="11290.06"/>
        <n v="333.54"/>
        <n v="1217.99"/>
        <n v="3329.99"/>
        <n v="286.38"/>
        <n v="996.41"/>
        <n v="634.91"/>
        <n v="4640.88"/>
        <n v="2937.07"/>
        <n v="22885.24"/>
        <n v="280.74"/>
        <n v="11294.06"/>
        <n v="569"/>
        <n v="10916.01"/>
        <n v="7642.91"/>
        <n v="3396.8"/>
        <n v="756.93"/>
        <n v="161.42"/>
        <n v="6068.47"/>
        <n v="3552.69"/>
        <n v="17729.09"/>
        <n v="654.33"/>
        <n v="6682.92"/>
        <n v="4293.11"/>
        <n v="1110.23"/>
        <n v="899.86"/>
        <n v="1551.55"/>
        <n v="5535.94"/>
        <n v="8840.95"/>
        <n v="7163.54"/>
        <n v="559.57"/>
        <n v="26377.7"/>
        <n v="9262.47"/>
        <n v="11145.28"/>
        <n v="18533.39"/>
        <n v="13504.88"/>
        <n v="18838.75"/>
        <n v="2279.49"/>
        <n v="13928.19"/>
        <n v="690.52"/>
        <n v="4251.5"/>
        <n v="2509.2"/>
        <n v="4060.88"/>
        <n v="5478.28"/>
        <n v="444.52"/>
        <n v="12500.84"/>
        <n v="4883.82"/>
        <n v="5634.38"/>
        <n v="11897.65"/>
        <n v="4881.1"/>
        <n v="1603.62"/>
        <n v="2825.38"/>
        <n v="3132.52"/>
        <n v="9334.12"/>
        <n v="12039.5"/>
        <n v="5095.91"/>
        <n v="4307.01"/>
        <n v="10437.14"/>
        <n v="10891.15"/>
        <n v="987.91"/>
        <n v="8581.35"/>
        <n v="22452.05"/>
        <n v="3927.64"/>
        <n v="285.13"/>
        <n v="10170.57"/>
        <n v="557.22"/>
        <n v="2124.6"/>
        <n v="1321.89"/>
        <n v="1520.21"/>
        <n v="9621.19"/>
        <n v="2191.5"/>
        <n v="15405.36"/>
        <n v="15490.69"/>
        <n v="660.92"/>
        <n v="8413.53"/>
        <n v="1002.57"/>
        <n v="2148.31"/>
        <n v="2754.17"/>
        <n v="5165.38"/>
        <n v="11262.71"/>
        <n v="3220.33"/>
        <n v="1033.47"/>
        <n v="3139.73"/>
        <n v="30820.84"/>
        <n v="2489.98"/>
        <n v="4511.54"/>
        <n v="4904.63"/>
        <n v="7018.97"/>
        <n v="971.12"/>
        <n v="7730.04"/>
        <n v="24621.89"/>
        <n v="6541.04"/>
        <n v="12282.43"/>
        <n v="5828.54"/>
        <n v="10855.35"/>
        <n v="3994.72"/>
        <n v="1609.95"/>
        <n v="7055.31"/>
        <n v="22100.14"/>
        <n v="3705.38"/>
        <n v="2424.83"/>
        <n v="1876.1"/>
        <n v="10019.98"/>
        <n v="9851.91"/>
        <n v="10082.19"/>
        <n v="18935.51"/>
        <n v="1565.49"/>
        <n v="7246.36"/>
        <n v="9424.25"/>
        <n v="1764"/>
        <n v="10047.33"/>
        <n v="10717.4"/>
        <n v="5376.17"/>
        <n v="17989.68"/>
        <n v="1956.63"/>
        <n v="14621.59"/>
        <n v="8452.93"/>
        <n v="156.34"/>
        <n v="1541.54"/>
        <n v="1759.76"/>
        <n v="4023.63"/>
        <n v="6479.31"/>
        <n v="1354.8"/>
        <n v="11908.52"/>
        <n v="11235.72"/>
        <n v="2993.94"/>
        <n v="15834.3"/>
        <n v="8650.42"/>
        <n v="503.89"/>
        <n v="6477.37"/>
        <n v="6034.63"/>
        <n v="1923.1"/>
        <n v="9398.46"/>
        <n v="6829.43"/>
        <n v="12347.15"/>
        <n v="5672.27"/>
        <n v="21822.53"/>
        <n v="12513.14"/>
        <n v="11399.94"/>
        <n v="6229.6"/>
        <n v="8766.9"/>
        <n v="17758.25"/>
        <n v="20146.66"/>
        <n v="4453.11"/>
        <n v="4258.42"/>
        <n v="10103.51"/>
        <n v="14442.38"/>
        <n v="15012.45"/>
        <n v="9771.24"/>
        <n v="2118.34"/>
        <n v="6475.73"/>
        <n v="5822.31"/>
        <n v="12908.84"/>
        <n v="9557.8"/>
        <n v="2131.73"/>
        <n v="3716.88"/>
        <n v="4379.18"/>
        <n v="2971.39"/>
        <n v="13718.77"/>
        <n v="20389.71"/>
        <n v="1576.49"/>
        <n v="5205.36"/>
        <n v="3967.02"/>
        <n v="10119.61"/>
        <n v="5867.75"/>
        <n v="14520.06"/>
        <n v="1512.17"/>
        <n v="6740.35"/>
        <n v="8768.59"/>
        <n v="2981.94"/>
        <n v="5171.78"/>
        <n v="8595.37"/>
        <n v="8117.71"/>
        <n v="2253.88"/>
        <n v="7433.95"/>
        <n v="1754.58"/>
        <n v="4994.46"/>
        <n v="4799.54"/>
        <n v="4765.96"/>
        <n v="10833.19"/>
        <n v="8399.87"/>
        <n v="3131.86"/>
        <n v="1624.57"/>
        <n v="1115.35"/>
        <n v="14363.38"/>
        <n v="1332.49"/>
        <n v="6872.44"/>
        <n v="5434.3"/>
        <n v="3439.79"/>
        <n v="565.44"/>
        <n v="24525.48"/>
        <n v="2967.46"/>
        <n v="21225.26"/>
        <n v="4115.56"/>
        <n v="956.22"/>
        <n v="2143.74"/>
        <n v="1355.22"/>
        <n v="1993.74"/>
        <n v="4877.38"/>
        <n v="5562.77"/>
        <n v="2807.77"/>
        <n v="10301.16"/>
        <n v="926.35"/>
        <n v="18202.36"/>
        <n v="3621.76"/>
        <n v="5698.42"/>
        <n v="4587.49"/>
        <n v="1593.59"/>
        <n v="6774.48"/>
        <n v="2768.77"/>
        <n v="1014.19"/>
        <n v="10735.33"/>
        <n v="5519.39"/>
        <n v="7906.5"/>
        <n v="2886.35"/>
        <n v="11193.75"/>
        <n v="15331.99"/>
        <n v="843"/>
        <n v="1120.06"/>
        <n v="1707.52"/>
        <n v="2678.06"/>
        <n v="17940.43"/>
        <n v="4263.83"/>
        <n v="1373.52"/>
        <n v="18431.33"/>
        <n v="17630.25"/>
        <n v="1101.23"/>
        <n v="13842.48"/>
        <n v="2714.23"/>
        <n v="4520.75"/>
        <n v="844.48"/>
        <n v="4938.7"/>
        <n v="2068.44"/>
        <n v="1919.42"/>
        <n v="4359.39"/>
        <n v="1588.23"/>
        <n v="1363.64"/>
        <n v="2689.36"/>
        <n v="12163.8"/>
        <n v="20771.95"/>
        <n v="1019.17"/>
        <n v="2347.68"/>
        <n v="12407.51"/>
        <n v="2496.29"/>
        <n v="23754.19"/>
        <n v="13829.5"/>
        <n v="244.57"/>
        <n v="14271.27"/>
        <n v="9907.37"/>
        <n v="11127.82"/>
        <n v="5628.93"/>
        <n v="4955.86"/>
        <n v="20170.43"/>
        <n v="1848.6"/>
        <n v="6623.61"/>
        <n v="16603.6"/>
        <n v="5378.16"/>
        <n v="2077.96"/>
        <n v="7394.07"/>
        <n v="7052.08"/>
        <n v="1395.71"/>
        <n v="2132.37"/>
        <n v="7131.91"/>
        <n v="1478.54"/>
        <n v="7105.48"/>
        <n v="15451.66"/>
        <n v="5407.24"/>
        <n v="2282.12"/>
        <n v="4465.91"/>
        <n v="4985.22"/>
        <n v="1094.21"/>
        <n v="554.18"/>
        <n v="2713.9"/>
        <n v="15873.38"/>
        <n v="595.42"/>
        <n v="9356.88"/>
        <n v="14571.48"/>
        <n v="1034.57"/>
        <n v="2714.51"/>
        <n v="6353.59"/>
        <n v="1856.03"/>
        <n v="438.32"/>
        <n v="13679.24"/>
        <n v="5595.6"/>
        <n v="3166.49"/>
        <n v="4282.09"/>
        <n v="5967.44"/>
        <n v="262.53"/>
        <n v="1613.82"/>
        <n v="1207.42"/>
        <n v="3205.68"/>
        <n v="11088.76"/>
        <n v="1569.38"/>
        <n v="2419.24"/>
        <n v="3652.91"/>
        <n v="2028.43"/>
        <n v="600.98"/>
        <n v="6059.07"/>
        <n v="28577.15"/>
        <n v="13627.02"/>
        <n v="3377.1"/>
        <n v="7160.31"/>
        <n v="14424.22"/>
        <n v="13293.2"/>
        <n v="842.07"/>
        <n v="6814.35"/>
        <n v="4179.63"/>
        <n v="17220.9"/>
        <n v="6884.96"/>
        <n v="2088.15"/>
        <n v="3368.79"/>
        <n v="4088.46"/>
        <n v="11684.68"/>
        <n v="2083.41"/>
        <n v="1585.82"/>
        <n v="9234.53"/>
        <n v="6534.47"/>
        <n v="8857.58"/>
        <n v="895.15"/>
        <n v="9184.52"/>
        <n v="24539.83"/>
        <n v="4654.36"/>
        <n v="21871.39"/>
        <n v="7062.44"/>
        <n v="572.08"/>
        <n v="10075.93"/>
        <n v="21302.13"/>
        <n v="12146.96"/>
        <n v="10742.38"/>
        <n v="311.66"/>
        <n v="9892.21"/>
        <n v="2124.48"/>
        <n v="11705.3"/>
        <n v="7387.57"/>
        <n v="12295.76"/>
        <n v="1460.6"/>
        <n v="24650.67"/>
        <n v="1316.54"/>
        <n v="17118.07"/>
        <n v="5747.09"/>
        <n v="8368.24"/>
        <n v="313.72"/>
        <n v="18464.34"/>
        <n v="13513.51"/>
        <n v="6966.44"/>
        <n v="25155.07"/>
        <n v="852.62"/>
        <n v="8272.24"/>
        <n v="6764.53"/>
        <n v="5496.09"/>
        <n v="1579.17"/>
        <n v="6620.07"/>
        <n v="2831.62"/>
        <n v="3604.14"/>
        <n v="3035.2"/>
        <n v="24971.36"/>
        <n v="14461.8"/>
        <n v="9482.58"/>
        <n v="848.62"/>
        <n v="2391.85"/>
        <n v="463.49"/>
        <n v="4618.33"/>
        <n v="968.46"/>
        <n v="7005.2"/>
        <n v="3851.91"/>
        <n v="731.89"/>
        <n v="1968.12"/>
        <n v="11906.36"/>
        <n v="6344.57"/>
        <n v="13240.21"/>
        <n v="1007.4"/>
        <n v="322.67"/>
        <n v="4072.44"/>
        <n v="3174.91"/>
        <n v="19537.79"/>
        <n v="1134.9"/>
        <n v="9660.36"/>
        <n v="2608.44"/>
        <n v="261.67"/>
        <n v="9965.79"/>
        <n v="2205.72"/>
        <n v="1217.83"/>
        <n v="583.79"/>
        <n v="22026.48"/>
        <n v="6184.32"/>
        <n v="2951.52"/>
        <n v="20896.88"/>
        <n v="1326.12"/>
        <n v="15897.65"/>
        <n v="6031.88"/>
        <n v="22436.03"/>
        <n v="15571.08"/>
        <n v="9700.31"/>
        <n v="9764"/>
        <n v="13108.2"/>
        <n v="1262.74"/>
        <n v="2672.67"/>
        <n v="1621.72"/>
        <n v="9062.72"/>
        <n v="3604.03"/>
        <n v="20795.55"/>
        <n v="11154.59"/>
        <n v="1853.23"/>
        <n v="6448.05"/>
        <n v="6238.9"/>
        <n v="2862.03"/>
        <n v="11667.43"/>
        <n v="25065.4"/>
        <n v="1715.36"/>
        <n v="3908.23"/>
        <n v="2195.79"/>
        <n v="14672.41"/>
        <n v="16661.08"/>
        <n v="4337.79"/>
        <n v="11840.58"/>
        <n v="20350.85"/>
        <n v="10540.8"/>
        <n v="2917.54"/>
        <n v="4946.78"/>
        <n v="3318.09"/>
        <n v="6680.15"/>
        <n v="7512.22"/>
        <n v="5462.85"/>
        <n v="983.92"/>
        <n v="8931.33"/>
        <n v="3142.92"/>
        <n v="4391.29"/>
        <n v="5927.1"/>
        <n v="9254.46"/>
        <n v="22523.54"/>
        <n v="11558.31"/>
        <n v="810.03"/>
        <n v="5103.7"/>
        <n v="10404.17"/>
        <n v="10200.8"/>
        <n v="3133.08"/>
        <n v="4626.85"/>
        <n v="1046.17"/>
        <n v="923.53"/>
        <n v="3561.87"/>
        <n v="5337.64"/>
        <n v="16277.96"/>
        <n v="10914.92"/>
        <n v="7608.89"/>
        <n v="1136.98"/>
        <n v="10872.89"/>
        <n v="3517.23"/>
        <n v="3836.24"/>
        <n v="9931.53"/>
        <n v="996.72"/>
        <n v="11133.97"/>
        <n v="20574.3"/>
        <n v="1662.39"/>
        <n v="5124.01"/>
        <n v="7696.28"/>
        <n v="1291.41"/>
        <n v="12690.83"/>
        <n v="513.88"/>
        <n v="9224.28"/>
        <n v="939.9"/>
        <n v="7329.29"/>
        <n v="3152.98"/>
        <n v="1055.89"/>
        <n v="3640.89"/>
        <n v="223.49"/>
        <n v="3239.53"/>
        <n v="1873.11"/>
        <n v="3226.45"/>
        <n v="3560.96"/>
        <n v="17738.13"/>
        <n v="7864.61"/>
        <n v="8471.78"/>
        <n v="630.82"/>
        <n v="1811.23"/>
        <n v="14920.87"/>
        <n v="15445.81"/>
        <n v="11676.33"/>
        <n v="3881.51"/>
        <n v="12048.39"/>
        <n v="4182.99"/>
        <n v="4113.66"/>
        <n v="5512.03"/>
        <n v="17155.48"/>
        <n v="5606.79"/>
        <n v="2654.92"/>
        <n v="497.68"/>
        <n v="12581.23"/>
        <n v="2302.65"/>
        <n v="2797.29"/>
        <n v="5098.2"/>
        <n v="5903.81"/>
        <n v="8035.96"/>
        <n v="9627.21"/>
        <n v="626.33"/>
        <n v="2102.41"/>
        <n v="1849.3"/>
        <n v="23751.91"/>
        <n v="7798.56"/>
        <n v="4691.73"/>
        <n v="6685.81"/>
        <n v="1820.08"/>
        <n v="854.35"/>
        <n v="1820.34"/>
        <n v="11352.38"/>
        <n v="1354.28"/>
        <n v="11678.32"/>
        <n v="13233.79"/>
        <n v="6417.32"/>
        <n v="5941.74"/>
        <n v="2394.14"/>
        <n v="6876.66"/>
        <n v="132.13"/>
        <n v="13974.7"/>
        <n v="15492.03"/>
        <n v="1824.88"/>
        <n v="11852.22"/>
        <n v="3672.32"/>
        <n v="2264.92"/>
        <n v="12451.46"/>
        <n v="10288.03"/>
        <n v="2533.59"/>
        <n v="9589.81"/>
        <n v="497.77"/>
        <n v="8521.5"/>
        <n v="5379.22"/>
        <n v="19257.85"/>
        <n v="1194.83"/>
        <n v="5516.52"/>
        <n v="2226.97"/>
        <n v="10245.44"/>
        <n v="8596.65"/>
        <n v="15337.9"/>
        <n v="6157.27"/>
        <n v="6152.87"/>
        <n v="1350.03"/>
        <n v="2645.5"/>
        <n v="1298.84"/>
        <n v="7469.58"/>
        <n v="6548.5"/>
        <n v="5596.34"/>
        <n v="5913.38"/>
        <n v="1735.64"/>
        <n v="10260.07"/>
        <n v="1059.52"/>
        <n v="6236.32"/>
        <n v="5576.98"/>
        <n v="2064.83"/>
        <n v="1055.79"/>
        <n v="22724.52"/>
        <n v="6937.6"/>
        <n v="8372.29"/>
        <n v="1848.48"/>
        <n v="2207.57"/>
        <n v="7994.98"/>
        <n v="10457.49"/>
        <n v="2386.33"/>
        <n v="3412.63"/>
        <n v="9438.46"/>
        <n v="7600.63"/>
        <n v="5010.61"/>
        <n v="4775.44"/>
        <n v="12081.54"/>
        <n v="21606.83"/>
        <n v="1214.87"/>
        <n v="9195.73"/>
        <n v="583.09"/>
        <n v="11166.84"/>
        <n v="5071.66"/>
        <n v="2376.62"/>
        <n v="3520.69"/>
        <n v="2760.29"/>
        <n v="6178.92"/>
        <n v="4689.3"/>
        <n v="13890.9"/>
        <n v="17815.98"/>
        <n v="3530.12"/>
        <n v="5672.57"/>
        <n v="8572.9"/>
        <n v="978.16"/>
        <n v="603.73"/>
        <n v="797.34"/>
        <n v="1906.7"/>
        <n v="1084.66"/>
        <n v="3504.16"/>
        <n v="2065.05"/>
        <n v="4915.27"/>
        <n v="11546.05"/>
        <n v="9466.51"/>
        <n v="3328.92"/>
        <n v="5269.41"/>
        <n v="1735.98"/>
        <n v="15408.47"/>
        <n v="4870.39"/>
        <n v="16883.59"/>
        <n v="6303.77"/>
        <n v="10550.47"/>
        <n v="9656.5"/>
        <n v="3887.41"/>
        <n v="16736.09"/>
        <n v="6052.43"/>
        <n v="5254.62"/>
        <n v="2568.82"/>
        <n v="1507.08"/>
        <n v="2601.09"/>
        <n v="1900.35"/>
        <n v="3723.93"/>
        <n v="4477.33"/>
        <n v="5085.21"/>
        <n v="1471.51"/>
        <n v="1475.87"/>
        <n v="14122.13"/>
        <n v="1595.87"/>
        <n v="2639.7"/>
        <n v="3130.32"/>
        <n v="4713.79"/>
        <n v="10088.65"/>
        <n v="26902.44"/>
        <n v="436.43"/>
        <n v="9110.14"/>
        <n v="8634.42"/>
        <n v="957.55"/>
        <n v="28924.43"/>
        <n v="1834.23"/>
        <n v="5569.3"/>
        <n v="520.47"/>
        <n v="14216.94"/>
        <n v="4511.1"/>
        <n v="10068.94"/>
        <n v="15818.46"/>
        <n v="25902.81"/>
        <n v="18109.77"/>
        <n v="3078.93"/>
        <n v="5673.1"/>
        <n v="850.86"/>
        <n v="6540.37"/>
        <n v="834.02"/>
        <n v="2194.12"/>
        <n v="4680.68"/>
        <n v="16600.13"/>
        <n v="5133.78"/>
        <n v="23916.1"/>
        <n v="2216.34"/>
        <n v="17157.58"/>
        <n v="5580.68"/>
        <n v="242.19"/>
        <n v="1083.56"/>
        <n v="898.73"/>
        <n v="6216.89"/>
        <n v="1590.75"/>
        <n v="15544.44"/>
        <n v="3115.29"/>
        <n v="5245.72"/>
        <n v="2101.03"/>
        <n v="966.55"/>
        <n v="10176.99"/>
        <n v="7184.32"/>
        <n v="16282.74"/>
        <n v="2299.5"/>
        <n v="6231.41"/>
        <n v="4797.88"/>
        <n v="6765.91"/>
        <n v="14631.36"/>
        <n v="5658.05"/>
        <n v="16367.78"/>
        <n v="3871.69"/>
        <n v="1093.66"/>
        <n v="2374.4"/>
        <n v="17454.67"/>
        <n v="12458.62"/>
        <n v="5691.56"/>
        <n v="2633.78"/>
        <n v="20710.18"/>
        <n v="14672.83"/>
        <n v="16388.57"/>
        <n v="2690.37"/>
        <n v="9322.36"/>
        <n v="4433.63"/>
        <n v="13636.34"/>
        <n v="17592.69"/>
        <n v="4894.53"/>
        <n v="1103.61"/>
        <n v="2411.8"/>
        <n v="1157.89"/>
        <n v="17716.52"/>
        <n v="10158.28"/>
        <n v="10779.56"/>
        <n v="4647.91"/>
        <n v="11646.12"/>
        <n v="6419.92"/>
        <n v="423.86"/>
        <n v="845.62"/>
        <n v="16711.93"/>
        <n v="1441.89"/>
        <n v="2828.06"/>
        <n v="5626.43"/>
        <n v="3846.77"/>
        <n v="2279.41"/>
        <m/>
      </sharedItems>
    </cacheField>
    <cacheField name="profit" numFmtId="0">
      <sharedItems containsString="0" containsBlank="1" containsNumber="1" minValue="42.35" maxValue="15226" count="898">
        <n v="3207.39"/>
        <n v="2407.77"/>
        <n v="1796.03"/>
        <n v="1521.16"/>
        <n v="3110.95"/>
        <n v="993.88"/>
        <n v="1120.31"/>
        <n v="623.49"/>
        <n v="7726.37"/>
        <n v="2334.5"/>
        <n v="4026"/>
        <n v="1589.97"/>
        <n v="216.57"/>
        <n v="4059.15"/>
        <n v="1440.44"/>
        <n v="8096.09"/>
        <n v="4302.36"/>
        <n v="2926.99"/>
        <n v="1362.78"/>
        <n v="1801.75"/>
        <n v="6842.46"/>
        <n v="753.05"/>
        <n v="1606.48"/>
        <n v="1943.77"/>
        <n v="2541.47"/>
        <n v="2367.43"/>
        <n v="1050.52"/>
        <n v="2064.05"/>
        <n v="791"/>
        <n v="97.84"/>
        <n v="1077.7"/>
        <n v="10063.2"/>
        <n v="1472.89"/>
        <n v="514.42"/>
        <n v="2607.32"/>
        <n v="3740.28"/>
        <n v="2708.56"/>
        <n v="927.04"/>
        <n v="3422.41"/>
        <n v="1560.54"/>
        <n v="2061.54"/>
        <n v="2606.59"/>
        <n v="2950.79"/>
        <n v="1309.61"/>
        <n v="9594.94"/>
        <n v="12363.95"/>
        <n v="5430.8"/>
        <n v="5167.27"/>
        <n v="7507.03"/>
        <n v="1017.08"/>
        <n v="884.73"/>
        <n v="1728.71"/>
        <n v="1993.38"/>
        <n v="2293.07"/>
        <n v="1422.23"/>
        <n v="608.41"/>
        <n v="2909"/>
        <n v="187.81"/>
        <n v="4676.73"/>
        <n v="3545.19"/>
        <n v="180.35"/>
        <n v="198.34"/>
        <n v="8333.94"/>
        <n v="1917.47"/>
        <n v="767.25"/>
        <n v="1437.26"/>
        <n v="2421.77"/>
        <n v="5294.54"/>
        <n v="8937.42"/>
        <n v="3240.09"/>
        <n v="469.78"/>
        <n v="4500.17"/>
        <n v="3571.4"/>
        <n v="2746.55"/>
        <n v="638.76"/>
        <n v="2516.39"/>
        <n v="2601.84"/>
        <n v="971.7"/>
        <n v="2271.57"/>
        <n v="8684.05"/>
        <n v="1761.02"/>
        <n v="2432.31"/>
        <n v="2247.53"/>
        <n v="273.91"/>
        <n v="651.9"/>
        <n v="264.65"/>
        <n v="894.32"/>
        <n v="7925.65"/>
        <n v="895.14"/>
        <n v="9004.97"/>
        <n v="3858.82"/>
        <n v="804.53"/>
        <n v="6917.41"/>
        <n v="7067.01"/>
        <n v="5103.11"/>
        <n v="1683.73"/>
        <n v="1324.42"/>
        <n v="5599.47"/>
        <n v="3913.56"/>
        <n v="1794.98"/>
        <n v="3979.17"/>
        <n v="4432.81"/>
        <n v="2483.06"/>
        <n v="1151.34"/>
        <n v="2302.08"/>
        <n v="226.1"/>
        <n v="1497.88"/>
        <n v="3337.67"/>
        <n v="307.81"/>
        <n v="774.25"/>
        <n v="1893.21"/>
        <n v="545.56"/>
        <n v="4365.28"/>
        <n v="810.7"/>
        <n v="762.83"/>
        <n v="268.04"/>
        <n v="529.54"/>
        <n v="5062.65"/>
        <n v="1913.86"/>
        <n v="366.61"/>
        <n v="565.74"/>
        <n v="5653.69"/>
        <n v="143.87"/>
        <n v="180.78"/>
        <n v="741.8"/>
        <n v="4967.24"/>
        <n v="1734.85"/>
        <n v="2256.31"/>
        <n v="1019.51"/>
        <n v="3090.43"/>
        <n v="211.96"/>
        <n v="647.66"/>
        <n v="409.86"/>
        <n v="6055.07"/>
        <n v="524.1"/>
        <n v="1473.33"/>
        <n v="9757.29"/>
        <n v="3676.28"/>
        <n v="9947.52"/>
        <n v="3736.98"/>
        <n v="2139.89"/>
        <n v="1136.52"/>
        <n v="1087.78"/>
        <n v="1152.39"/>
        <n v="4368.19"/>
        <n v="5246.91"/>
        <n v="4004.9"/>
        <n v="1035.87"/>
        <n v="2571.95"/>
        <n v="4292.85"/>
        <n v="341.79"/>
        <n v="2362.29"/>
        <n v="1494.87"/>
        <n v="7245.67"/>
        <n v="685.47"/>
        <n v="1839.16"/>
        <n v="5385.32"/>
        <n v="869.24"/>
        <n v="1608.18"/>
        <n v="8142.97"/>
        <n v="751.96"/>
        <n v="736.01"/>
        <n v="9358.31"/>
        <n v="3201.51"/>
        <n v="817.83"/>
        <n v="3798.05"/>
        <n v="596.74"/>
        <n v="5280.07"/>
        <n v="531.39"/>
        <n v="2036.35"/>
        <n v="1203.96"/>
        <n v="4631.71"/>
        <n v="7862.59"/>
        <n v="348.12"/>
        <n v="3495.95"/>
        <n v="4892.39"/>
        <n v="10318.37"/>
        <n v="10172.88"/>
        <n v="2394.52"/>
        <n v="4042.14"/>
        <n v="2279.42"/>
        <n v="4219.49"/>
        <n v="1722.73"/>
        <n v="4579.33"/>
        <n v="756.8"/>
        <n v="267.79"/>
        <n v="3828.78"/>
        <n v="2501.26"/>
        <n v="1484.14"/>
        <n v="8512.15"/>
        <n v="514.92"/>
        <n v="6452.72"/>
        <n v="1544.07"/>
        <n v="3378.6"/>
        <n v="1905.11"/>
        <n v="2037.31"/>
        <n v="755.04"/>
        <n v="3333.62"/>
        <n v="448.38"/>
        <n v="4397.47"/>
        <n v="3710.9"/>
        <n v="1801.85"/>
        <n v="1941.08"/>
        <n v="151.25"/>
        <n v="406.16"/>
        <n v="863.24"/>
        <n v="143.88"/>
        <n v="756.31"/>
        <n v="364.92"/>
        <n v="2365.46"/>
        <n v="1194.29"/>
        <n v="4135.24"/>
        <n v="83.91"/>
        <n v="2570.68"/>
        <n v="138.31"/>
        <n v="8298.39"/>
        <n v="3396.31"/>
        <n v="1198.96"/>
        <n v="534.47"/>
        <n v="81.56"/>
        <n v="3486.11"/>
        <n v="1348.21"/>
        <n v="8119.45"/>
        <n v="522.39"/>
        <n v="5151"/>
        <n v="787.57"/>
        <n v="877.21"/>
        <n v="573.4"/>
        <n v="1163.66"/>
        <n v="3122.75"/>
        <n v="2249.43"/>
        <n v="4299.2"/>
        <n v="110.54"/>
        <n v="4859.02"/>
        <n v="1701.77"/>
        <n v="4081.07"/>
        <n v="5843.29"/>
        <n v="7467.82"/>
        <n v="7794.83"/>
        <n v="856.61"/>
        <n v="6907.71"/>
        <n v="522.38"/>
        <n v="1446.33"/>
        <n v="1540.31"/>
        <n v="2070.46"/>
        <n v="4349.51"/>
        <n v="77.37"/>
        <n v="2459.56"/>
        <n v="1143.69"/>
        <n v="3294.55"/>
        <n v="2441.25"/>
        <n v="1251.86"/>
        <n v="725.85"/>
        <n v="2470.56"/>
        <n v="3475.88"/>
        <n v="7288.72"/>
        <n v="1378.63"/>
        <n v="1273.1"/>
        <n v="7827.95"/>
        <n v="4318.73"/>
        <n v="660.27"/>
        <n v="4818.09"/>
        <n v="10291.79"/>
        <n v="2084.64"/>
        <n v="209.88"/>
        <n v="2847.15"/>
        <n v="228.18"/>
        <n v="1194.45"/>
        <n v="603.97"/>
        <n v="962.11"/>
        <n v="2053.06"/>
        <n v="1213.48"/>
        <n v="7289.31"/>
        <n v="6167.53"/>
        <n v="319.59"/>
        <n v="6848.36"/>
        <n v="811.1"/>
        <n v="1632.35"/>
        <n v="1386.99"/>
        <n v="3777.65"/>
        <n v="5241.51"/>
        <n v="1375.67"/>
        <n v="780.54"/>
        <n v="1591.03"/>
        <n v="5915.09"/>
        <n v="1931.36"/>
        <n v="2005.39"/>
        <n v="2507.2"/>
        <n v="1239.74"/>
        <n v="687.25"/>
        <n v="1955.94"/>
        <n v="9118.66"/>
        <n v="1821.83"/>
        <n v="6434.56"/>
        <n v="3556.8"/>
        <n v="6971.24"/>
        <n v="1971.87"/>
        <n v="341.59"/>
        <n v="3774.71"/>
        <n v="9439.15"/>
        <n v="2580.24"/>
        <n v="1630.09"/>
        <n v="487.55"/>
        <n v="2956.49"/>
        <n v="3447.48"/>
        <n v="4610.25"/>
        <n v="10534.38"/>
        <n v="775.53"/>
        <n v="5736.24"/>
        <n v="6849.75"/>
        <n v="729.18"/>
        <n v="5641.11"/>
        <n v="1771.18"/>
        <n v="1109.19"/>
        <n v="11511.24"/>
        <n v="1159.42"/>
        <n v="8305.23"/>
        <n v="2750.61"/>
        <n v="113.94"/>
        <n v="1086.88"/>
        <n v="939.52"/>
        <n v="2960.72"/>
        <n v="3706.36"/>
        <n v="300.9"/>
        <n v="3694.08"/>
        <n v="3902.77"/>
        <n v="1408.98"/>
        <n v="2769.78"/>
        <n v="6751.09"/>
        <n v="279.2"/>
        <n v="4265.27"/>
        <n v="1789.29"/>
        <n v="1013"/>
        <n v="3571.46"/>
        <n v="4751.87"/>
        <n v="3593.41"/>
        <n v="1262.87"/>
        <n v="4591.63"/>
        <n v="8387.72"/>
        <n v="6861.42"/>
        <n v="1295.03"/>
        <n v="3464.46"/>
        <n v="13321.45"/>
        <n v="10960.76"/>
        <n v="1077.49"/>
        <n v="3457.39"/>
        <n v="1822.45"/>
        <n v="4864.38"/>
        <n v="4017.4"/>
        <n v="2143.1"/>
        <n v="1119.14"/>
        <n v="4259.02"/>
        <n v="4485.71"/>
        <n v="7171.84"/>
        <n v="6459.6"/>
        <n v="355.07"/>
        <n v="652.16"/>
        <n v="1576.94"/>
        <n v="2025.99"/>
        <n v="3950.63"/>
        <n v="15226"/>
        <n v="289.92"/>
        <n v="1662.28"/>
        <n v="2228.73"/>
        <n v="2849.03"/>
        <n v="2968.81"/>
        <n v="4936.9"/>
        <n v="567.1"/>
        <n v="2205.33"/>
        <n v="4300.75"/>
        <n v="1635.33"/>
        <n v="2480.02"/>
        <n v="1472.75"/>
        <n v="6241.79"/>
        <n v="370.99"/>
        <n v="1420.99"/>
        <n v="810.16"/>
        <n v="2826.76"/>
        <n v="3157.22"/>
        <n v="3618.48"/>
        <n v="5837.98"/>
        <n v="2068.57"/>
        <n v="1353.64"/>
        <n v="1197.53"/>
        <n v="859.75"/>
        <n v="5700.57"/>
        <n v="431.81"/>
        <n v="2783.66"/>
        <n v="2315.86"/>
        <n v="2695.44"/>
        <n v="148.99"/>
        <n v="11951.61"/>
        <n v="712.67"/>
        <n v="6391.21"/>
        <n v="1616.14"/>
        <n v="257.37"/>
        <n v="1320.02"/>
        <n v="666.62"/>
        <n v="1275.14"/>
        <n v="961.92"/>
        <n v="2314.78"/>
        <n v="1288.01"/>
        <n v="6382.03"/>
        <n v="152.48"/>
        <n v="6229.1"/>
        <n v="2264.54"/>
        <n v="2235.23"/>
        <n v="2506.35"/>
        <n v="675.51"/>
        <n v="2604.31"/>
        <n v="565.48"/>
        <n v="569.35"/>
        <n v="4610.51"/>
        <n v="3920.11"/>
        <n v="2370.7"/>
        <n v="947.35"/>
        <n v="7348.65"/>
        <n v="6630.41"/>
        <n v="465.78"/>
        <n v="694.93"/>
        <n v="782.36"/>
        <n v="1420.6"/>
        <n v="9270.6"/>
        <n v="2172.33"/>
        <n v="544.72"/>
        <n v="8616.62"/>
        <n v="8824.71"/>
        <n v="752.66"/>
        <n v="3816.12"/>
        <n v="763.38"/>
        <n v="1656.92"/>
        <n v="140.59"/>
        <n v="1222.18"/>
        <n v="1195.46"/>
        <n v="407.63"/>
        <n v="2234.26"/>
        <n v="1298.4"/>
        <n v="449.54"/>
        <n v="636.89"/>
        <n v="5705.83"/>
        <n v="4532.99"/>
        <n v="823.14"/>
        <n v="967.7"/>
        <n v="7934.99"/>
        <n v="881.68"/>
        <n v="10185.89"/>
        <n v="8042.87"/>
        <n v="97.49"/>
        <n v="5350.89"/>
        <n v="5472.98"/>
        <n v="1912.13"/>
        <n v="4035.05"/>
        <n v="2461.74"/>
        <n v="5059.27"/>
        <n v="1386.48"/>
        <n v="4447.26"/>
        <n v="3356.97"/>
        <n v="3217.88"/>
        <n v="1374.8"/>
        <n v="4232.9"/>
        <n v="1562.2"/>
        <n v="644.51"/>
        <n v="714.03"/>
        <n v="3199.57"/>
        <n v="1039.26"/>
        <n v="4356.63"/>
        <n v="3845.83"/>
        <n v="1157.75"/>
        <n v="530.36"/>
        <n v="2613.74"/>
        <n v="1807.85"/>
        <n v="750.01"/>
        <n v="364.78"/>
        <n v="2186.81"/>
        <n v="4399.54"/>
        <n v="440.25"/>
        <n v="2486.56"/>
        <n v="11130.69"/>
        <n v="617.34"/>
        <n v="1811.29"/>
        <n v="4263.15"/>
        <n v="1037.96"/>
        <n v="266.89"/>
        <n v="2706.25"/>
        <n v="2069.97"/>
        <n v="1504.34"/>
        <n v="1873.41"/>
        <n v="2699.12"/>
        <n v="99.22"/>
        <n v="804.38"/>
        <n v="733.64"/>
        <n v="882.48"/>
        <n v="4184.29"/>
        <n v="360.66"/>
        <n v="1365.48"/>
        <n v="2982.65"/>
        <n v="457.07"/>
        <n v="249.37"/>
        <n v="1439.3"/>
        <n v="5586.76"/>
        <n v="4210.43"/>
        <n v="1088.32"/>
        <n v="3433.77"/>
        <n v="2888.26"/>
        <n v="4262.49"/>
        <n v="363.57"/>
        <n v="2156.91"/>
        <n v="3144.37"/>
        <n v="6020.32"/>
        <n v="1592.06"/>
        <n v="1585.67"/>
        <n v="2678.38"/>
        <n v="1848.79"/>
        <n v="9229.2"/>
        <n v="1483.38"/>
        <n v="647.36"/>
        <n v="2655.84"/>
        <n v="1887.21"/>
        <n v="5111.09"/>
        <n v="715.96"/>
        <n v="3310.51"/>
        <n v="8495.03"/>
        <n v="1150.9"/>
        <n v="12208.23"/>
        <n v="4297.36"/>
        <n v="336.85"/>
        <n v="3726.2"/>
        <n v="8255.99"/>
        <n v="4253.29"/>
        <n v="6310.68"/>
        <n v="87.01"/>
        <n v="7969.94"/>
        <n v="430.45"/>
        <n v="2562.9"/>
        <n v="2214.78"/>
        <n v="7595.96"/>
        <n v="467.05"/>
        <n v="5250.12"/>
        <n v="587.91"/>
        <n v="4453.52"/>
        <n v="2894.59"/>
        <n v="1394.05"/>
        <n v="105.05"/>
        <n v="3397.38"/>
        <n v="3746.61"/>
        <n v="4395.17"/>
        <n v="4993.86"/>
        <n v="219.39"/>
        <n v="1999.29"/>
        <n v="3442.38"/>
        <n v="2531.54"/>
        <n v="296.01"/>
        <n v="2115.17"/>
        <n v="1239.02"/>
        <n v="2339.82"/>
        <n v="1816.23"/>
        <n v="7257.52"/>
        <n v="5249.88"/>
        <n v="5267.61"/>
        <n v="281.5"/>
        <n v="509.03"/>
        <n v="217.13"/>
        <n v="1076.65"/>
        <n v="505.68"/>
        <n v="2219.73"/>
        <n v="860.29"/>
        <n v="573.47"/>
        <n v="886.61"/>
        <n v="2723.9"/>
        <n v="2534.92"/>
        <n v="8141.24"/>
        <n v="767.54"/>
        <n v="250.98"/>
        <n v="1350.76"/>
        <n v="808.51"/>
        <n v="3992.35"/>
        <n v="744.25"/>
        <n v="5351.45"/>
        <n v="593.97"/>
        <n v="155.82"/>
        <n v="6358.01"/>
        <n v="1150.48"/>
        <n v="883.64"/>
        <n v="253.4"/>
        <n v="5602.8"/>
        <n v="1287.2"/>
        <n v="664.24"/>
        <n v="11116.91"/>
        <n v="248.13"/>
        <n v="4684.45"/>
        <n v="4603.36"/>
        <n v="7493.56"/>
        <n v="12104.66"/>
        <n v="2244.97"/>
        <n v="3380.03"/>
        <n v="5273.81"/>
        <n v="592.7"/>
        <n v="681.38"/>
        <n v="861.25"/>
        <n v="1985.53"/>
        <n v="2856.09"/>
        <n v="5396.67"/>
        <n v="8410.01"/>
        <n v="1111.99"/>
        <n v="2515.42"/>
        <n v="1195.32"/>
        <n v="7716.32"/>
        <n v="5296.96"/>
        <n v="1014.29"/>
        <n v="809.79"/>
        <n v="1648.22"/>
        <n v="8016.37"/>
        <n v="3728.84"/>
        <n v="1322.09"/>
        <n v="7002.06"/>
        <n v="4326.34"/>
        <n v="2082.44"/>
        <n v="483.47"/>
        <n v="2146.11"/>
        <n v="3804.09"/>
        <n v="2817.62"/>
        <n v="2994.11"/>
        <n v="282.49"/>
        <n v="2541.71"/>
        <n v="869.11"/>
        <n v="973.07"/>
        <n v="4778.97"/>
        <n v="1714.92"/>
        <n v="8886.32"/>
        <n v="2694.34"/>
        <n v="572.14"/>
        <n v="4119.47"/>
        <n v="5990.79"/>
        <n v="2789.31"/>
        <n v="1974.87"/>
        <n v="3111.52"/>
        <n v="468.79"/>
        <n v="343.77"/>
        <n v="2843.87"/>
        <n v="3270.03"/>
        <n v="10046.06"/>
        <n v="3335.16"/>
        <n v="5133.22"/>
        <n v="503.59"/>
        <n v="3569.02"/>
        <n v="1548.62"/>
        <n v="2940.64"/>
        <n v="5828.59"/>
        <n v="798.93"/>
        <n v="7228.54"/>
        <n v="5950.38"/>
        <n v="393.66"/>
        <n v="3483.27"/>
        <n v="2207.68"/>
        <n v="741.59"/>
        <n v="7276.11"/>
        <n v="197.02"/>
        <n v="6770.2"/>
        <n v="687.6"/>
        <n v="2308.63"/>
        <n v="1624.54"/>
        <n v="471.17"/>
        <n v="2057.51"/>
        <n v="42.35"/>
        <n v="719.61"/>
        <n v="528.73"/>
        <n v="1875.71"/>
        <n v="2615.63"/>
        <n v="13465.18"/>
        <n v="4145.91"/>
        <n v="5376.08"/>
        <n v="402.89"/>
        <n v="1078.55"/>
        <n v="5375.83"/>
        <n v="2918.55"/>
        <n v="9465.29"/>
        <n v="1478.66"/>
        <n v="2752.57"/>
        <n v="1818.36"/>
        <n v="3270.06"/>
        <n v="2390.93"/>
        <n v="7465.76"/>
        <n v="1020.22"/>
        <n v="2043.34"/>
        <n v="190.52"/>
        <n v="2910.84"/>
        <n v="1442.64"/>
        <n v="665.23"/>
        <n v="3668.97"/>
        <n v="2612.64"/>
        <n v="3790.88"/>
        <n v="2001.81"/>
        <n v="403.23"/>
        <n v="1363.28"/>
        <n v="1128.24"/>
        <n v="4003.38"/>
        <n v="1652.18"/>
        <n v="3100.82"/>
        <n v="1888.77"/>
        <n v="872.74"/>
        <n v="180.68"/>
        <n v="581.45"/>
        <n v="4663.43"/>
        <n v="547.2"/>
        <n v="5073.65"/>
        <n v="3325.32"/>
        <n v="1692.77"/>
        <n v="1464.27"/>
        <n v="1716.27"/>
        <n v="2803.36"/>
        <n v="85.35"/>
        <n v="4700.48"/>
        <n v="4409.6"/>
        <n v="1054.94"/>
        <n v="6860"/>
        <n v="1061.13"/>
        <n v="1530.94"/>
        <n v="2780.27"/>
        <n v="3361.72"/>
        <n v="1800"/>
        <n v="4044.19"/>
        <n v="262.52"/>
        <n v="6421.61"/>
        <n v="2692.78"/>
        <n v="9095.17"/>
        <n v="813.74"/>
        <n v="3717.69"/>
        <n v="431.86"/>
        <n v="5510.61"/>
        <n v="6191.13"/>
        <n v="9843.74"/>
        <n v="2680.68"/>
        <n v="1122.92"/>
        <n v="1005.05"/>
        <n v="963.62"/>
        <n v="889.35"/>
        <n v="3901.26"/>
        <n v="2750.3"/>
        <n v="1486.35"/>
        <n v="3130.42"/>
        <n v="475.66"/>
        <n v="1898.43"/>
        <n v="677.1"/>
        <n v="2029.89"/>
        <n v="4445.06"/>
        <n v="821.2"/>
        <n v="403.4"/>
        <n v="3971.8"/>
        <n v="1507.66"/>
        <n v="3337.5"/>
        <n v="745.43"/>
        <n v="466.45"/>
        <n v="1931.98"/>
        <n v="1734.27"/>
        <n v="1899.43"/>
        <n v="754.28"/>
        <n v="5509.08"/>
        <n v="5861.49"/>
        <n v="2456.75"/>
        <n v="1135.15"/>
        <n v="4373.34"/>
        <n v="3552.97"/>
        <n v="609.55"/>
        <n v="7421.58"/>
        <n v="350.34"/>
        <n v="3387.24"/>
        <n v="3057.03"/>
        <n v="730.18"/>
        <n v="2873.54"/>
        <n v="947.77"/>
        <n v="3245.3"/>
        <n v="3063.3"/>
        <n v="9845.82"/>
        <n v="9183.93"/>
        <n v="1535"/>
        <n v="1034.95"/>
        <n v="3410.55"/>
        <n v="386.42"/>
        <n v="258.92"/>
        <n v="341.03"/>
        <n v="546.13"/>
        <n v="504.42"/>
        <n v="1275.55"/>
        <n v="653.66"/>
        <n v="2150.39"/>
        <n v="6364.96"/>
        <n v="4683.41"/>
        <n v="943.66"/>
        <n v="4083.21"/>
        <n v="1064.92"/>
        <n v="6103.13"/>
        <n v="2408.97"/>
        <n v="9168.35"/>
        <n v="3357.87"/>
        <n v="3164.49"/>
        <n v="5697.95"/>
        <n v="707.79"/>
        <n v="4498.88"/>
        <n v="2040.87"/>
        <n v="3396.84"/>
        <n v="1737.83"/>
        <n v="441.01"/>
        <n v="444"/>
        <n v="1032.43"/>
        <n v="655.43"/>
        <n v="995.44"/>
        <n v="2291.89"/>
        <n v="892.38"/>
        <n v="1101.33"/>
        <n v="3705.63"/>
        <n v="1079.47"/>
        <n v="924.21"/>
        <n v="1128.75"/>
        <n v="288.37"/>
        <n v="3519.81"/>
        <n v="2590.01"/>
        <n v="7065.64"/>
        <n v="74.88"/>
        <n v="1767.8"/>
        <n v="1612.11"/>
        <n v="746.69"/>
        <n v="4794.79"/>
        <n v="885.94"/>
        <n v="2643.72"/>
        <n v="113.2"/>
        <n v="10999.59"/>
        <n v="2010.28"/>
        <n v="2798.61"/>
        <n v="10671.19"/>
        <n v="10879.46"/>
        <n v="5586.63"/>
        <n v="1279.79"/>
        <n v="4365.67"/>
        <n v="223.36"/>
        <n v="2859.3"/>
        <n v="636.55"/>
        <n v="1632.18"/>
        <n v="1655.76"/>
        <n v="5250.7"/>
        <n v="2319.29"/>
        <n v="11989.58"/>
        <n v="1298.81"/>
        <n v="7251.97"/>
        <n v="2374.36"/>
        <n v="93.94"/>
        <n v="224.7"/>
        <n v="396.58"/>
        <n v="1049.17"/>
        <n v="267.33"/>
        <n v="9477.39"/>
        <n v="595.43"/>
        <n v="3242.11"/>
        <n v="1009.27"/>
        <n v="218.75"/>
        <n v="2013.37"/>
        <n v="4494.64"/>
        <n v="8792.7"/>
        <n v="1877.95"/>
        <n v="4666.77"/>
        <n v="2177.82"/>
        <n v="2045.78"/>
        <n v="2402.99"/>
        <n v="2326.03"/>
        <n v="5544.48"/>
        <n v="824.01"/>
        <n v="829.58"/>
        <n v="1927.51"/>
        <n v="4982.17"/>
        <n v="7217.45"/>
        <n v="3156.52"/>
        <n v="1854.05"/>
        <n v="9118.91"/>
        <n v="6901.84"/>
        <n v="6352.75"/>
        <n v="951.17"/>
        <n v="2512.44"/>
        <n v="1594.72"/>
        <n v="2537.51"/>
        <n v="7562.87"/>
        <n v="2755.27"/>
        <n v="517.26"/>
        <n v="1155.72"/>
        <n v="467.42"/>
        <n v="6023.38"/>
        <n v="6546.24"/>
        <n v="1905.54"/>
        <n v="1235.21"/>
        <n v="2319.77"/>
        <n v="4415.94"/>
        <n v="157.65"/>
        <n v="281.53"/>
        <n v="8812.37"/>
        <n v="976.12"/>
        <n v="680.32"/>
        <n v="1162.84"/>
        <n v="1070.67"/>
        <n v="1024.64"/>
        <m/>
      </sharedItems>
    </cacheField>
    <cacheField name="calculated profit" numFmtId="0">
      <sharedItems containsString="0" containsBlank="1" containsNumber="1" minValue="-23452.5635" maxValue="15225.999" count="900">
        <n v="3207.39"/>
        <n v="2407.77"/>
        <n v="-547.916"/>
        <n v="1521.165"/>
        <n v="3110.95"/>
        <n v="993.884"/>
        <n v="1120.308"/>
        <n v="623.49"/>
        <n v="7726.37"/>
        <n v="2334.498"/>
        <n v="4025.9955"/>
        <n v="1589.97"/>
        <n v="216.569"/>
        <n v="4059.14799999999"/>
        <n v="1440.445"/>
        <n v="8096.09"/>
        <n v="4302.36"/>
        <n v="2926.99"/>
        <n v="1362.78"/>
        <n v="4134.51"/>
        <n v="6842.455"/>
        <n v="753.05"/>
        <n v="1606.482"/>
        <n v="1943.772"/>
        <n v="2541.47"/>
        <n v="2367.43"/>
        <n v="1050.518"/>
        <n v="2064.0525"/>
        <n v="791"/>
        <n v="97.8385"/>
        <n v="1077.703"/>
        <n v="10063.2"/>
        <n v="4473.83"/>
        <n v="514.4225"/>
        <n v="2315.294"/>
        <n v="3740.282"/>
        <n v="2708.56"/>
        <n v="927.038"/>
        <n v="3422.414"/>
        <n v="1560.542"/>
        <n v="2061.542"/>
        <n v="2606.59"/>
        <n v="2950.792"/>
        <n v="1309.61"/>
        <n v="9594.937"/>
        <n v="12363.952"/>
        <n v="5430.8025"/>
        <n v="5167.272"/>
        <n v="7507.03"/>
        <n v="1017.0805"/>
        <n v="884.73"/>
        <n v="1728.71"/>
        <n v="1993.38"/>
        <n v="2293.0675"/>
        <n v="1422.234"/>
        <n v="608.41"/>
        <n v="2909"/>
        <n v="187.81"/>
        <n v="4676.728"/>
        <n v="3545.19"/>
        <n v="180.354"/>
        <n v="198.34"/>
        <n v="8333.938"/>
        <n v="1787.959"/>
        <n v="767.25"/>
        <n v="1437.2605"/>
        <n v="2421.769"/>
        <n v="5294.541"/>
        <n v="8937.42"/>
        <n v="3240.087"/>
        <n v="469.779"/>
        <n v="4500.168"/>
        <n v="3571.3965"/>
        <n v="2746.55"/>
        <n v="638.76"/>
        <n v="2516.388"/>
        <n v="2601.84"/>
        <n v="971.7"/>
        <n v="2271.5675"/>
        <n v="8684.05200000001"/>
        <n v="1761.022"/>
        <n v="2432.31"/>
        <n v="2247.53"/>
        <n v="273.908"/>
        <n v="651.904"/>
        <n v="264.65"/>
        <n v="894.316"/>
        <n v="7925.65"/>
        <n v="895.145"/>
        <n v="9004.974"/>
        <n v="3858.818"/>
        <n v="888.77"/>
        <n v="6917.406"/>
        <n v="7067.01"/>
        <n v="5103.11"/>
        <n v="1683.73"/>
        <n v="1324.418"/>
        <n v="5599.47"/>
        <n v="3913.556"/>
        <n v="1794.98"/>
        <n v="3979.17"/>
        <n v="4432.81"/>
        <n v="2483.06"/>
        <n v="1151.338"/>
        <n v="2302.075"/>
        <n v="226.1"/>
        <n v="2298.69"/>
        <n v="3337.6665"/>
        <n v="307.81"/>
        <n v="774.245"/>
        <n v="1893.21"/>
        <n v="545.558"/>
        <n v="4365.278"/>
        <n v="810.6975"/>
        <n v="762.83"/>
        <n v="268.038"/>
        <n v="529.5425"/>
        <n v="-11393.875"/>
        <n v="1913.86"/>
        <n v="366.61"/>
        <n v="565.736"/>
        <n v="5653.69"/>
        <n v="143.87"/>
        <n v="180.78"/>
        <n v="741.8"/>
        <n v="4967.235"/>
        <n v="1734.852"/>
        <n v="2256.31"/>
        <n v="1019.5075"/>
        <n v="3090.4285"/>
        <n v="211.96"/>
        <n v="647.662"/>
        <n v="409.86"/>
        <n v="6055.07"/>
        <n v="524.105"/>
        <n v="1473.33"/>
        <n v="9757.286"/>
        <n v="3676.284"/>
        <n v="9947.52"/>
        <n v="3736.98"/>
        <n v="2139.89"/>
        <n v="1136.517"/>
        <n v="1087.785"/>
        <n v="1152.39"/>
        <n v="4368.1875"/>
        <n v="5246.91"/>
        <n v="4004.903"/>
        <n v="1035.87"/>
        <n v="2571.95"/>
        <n v="4292.8525"/>
        <n v="341.788"/>
        <n v="2362.29"/>
        <n v="1494.866"/>
        <n v="7245.67"/>
        <n v="685.472"/>
        <n v="1839.164"/>
        <n v="5385.3225"/>
        <n v="869.242"/>
        <n v="1608.183"/>
        <n v="8142.975"/>
        <n v="751.956000000001"/>
        <n v="736.01"/>
        <n v="9358.31"/>
        <n v="3201.512"/>
        <n v="817.825"/>
        <n v="3798.05"/>
        <n v="596.74"/>
        <n v="5280.0745"/>
        <n v="531.39"/>
        <n v="2036.35"/>
        <n v="1203.96"/>
        <n v="4631.7125"/>
        <n v="7862.592"/>
        <n v="348.1175"/>
        <n v="3495.953"/>
        <n v="4892.389"/>
        <n v="10318.372"/>
        <n v="10172.88"/>
        <n v="2394.52"/>
        <n v="4042.14"/>
        <n v="2279.417"/>
        <n v="4219.49"/>
        <n v="1722.73"/>
        <n v="4579.326"/>
        <n v="756.8"/>
        <n v="267.792"/>
        <n v="3828.7795"/>
        <n v="2501.26"/>
        <n v="1484.136"/>
        <n v="12991.77"/>
        <n v="514.923"/>
        <n v="-10350.04"/>
        <n v="1544.07"/>
        <n v="3378.604"/>
        <n v="1905.1145"/>
        <n v="2037.31"/>
        <n v="755.041"/>
        <n v="3333.62"/>
        <n v="448.381"/>
        <n v="4397.47"/>
        <n v="3710.9"/>
        <n v="2052.2"/>
        <n v="1941.084"/>
        <n v="151.249"/>
        <n v="406.156"/>
        <n v="863.242"/>
        <n v="143.88"/>
        <n v="756.31"/>
        <n v="364.92"/>
        <n v="2365.458"/>
        <n v="1194.29"/>
        <n v="4135.24"/>
        <n v="83.91"/>
        <n v="2570.676"/>
        <n v="138.313"/>
        <n v="8298.39"/>
        <n v="3396.31"/>
        <n v="1198.96"/>
        <n v="534.47"/>
        <n v="-124.973"/>
        <n v="3486.108"/>
        <n v="1348.206"/>
        <n v="8119.45"/>
        <n v="522.39"/>
        <n v="5151"/>
        <n v="972.487"/>
        <n v="877.213"/>
        <n v="573.4025"/>
        <n v="1163.6645"/>
        <n v="3122.75"/>
        <n v="2249.426"/>
        <n v="4299.205"/>
        <n v="110.54"/>
        <n v="4859.02"/>
        <n v="1701.771"/>
        <n v="4081.073"/>
        <n v="5843.29"/>
        <n v="7467.82"/>
        <n v="-6222.8425"/>
        <n v="856.606"/>
        <n v="6907.71"/>
        <n v="522.38"/>
        <n v="1446.334"/>
        <n v="1540.314"/>
        <n v="2070.46"/>
        <n v="4349.51"/>
        <n v="77.3675"/>
        <n v="2459.56"/>
        <n v="1143.6915"/>
        <n v="3294.548"/>
        <n v="2441.255"/>
        <n v="1251.86"/>
        <n v="725.852"/>
        <n v="1921.523"/>
        <n v="2470.56"/>
        <n v="3475.88"/>
        <n v="7288.7155"/>
        <n v="1378.63"/>
        <n v="1273.095"/>
        <n v="7827.948"/>
        <n v="4318.73"/>
        <n v="660.266"/>
        <n v="4818.09"/>
        <n v="10291.795"/>
        <n v="2084.64"/>
        <n v="209.8845"/>
        <n v="2847.15"/>
        <n v="228.18"/>
        <n v="1194.45"/>
        <n v="603.97"/>
        <n v="962.11"/>
        <n v="2053.06"/>
        <n v="1318.923"/>
        <n v="7289.31"/>
        <n v="6167.531"/>
        <n v="319.59"/>
        <n v="11935.65"/>
        <n v="811.1005"/>
        <n v="1632.348"/>
        <n v="1386.994"/>
        <n v="3777.65"/>
        <n v="5241.514"/>
        <n v="1375.67"/>
        <n v="780.54"/>
        <n v="1591.03"/>
        <n v="5915.09"/>
        <n v="1931.36"/>
        <n v="2005.393"/>
        <n v="2507.2"/>
        <n v="1239.741"/>
        <n v="687.247"/>
        <n v="1955.94"/>
        <n v="9118.66"/>
        <n v="-3459.983"/>
        <n v="6434.555"/>
        <n v="3556.795"/>
        <n v="6971.241"/>
        <n v="1971.872"/>
        <n v="341.594"/>
        <n v="3774.705"/>
        <n v="9439.154"/>
        <n v="2580.238"/>
        <n v="1630.09"/>
        <n v="487.552"/>
        <n v="2956.49"/>
        <n v="-2371.002"/>
        <n v="4610.25"/>
        <n v="10534.378"/>
        <n v="775.534"/>
        <n v="5736.239"/>
        <n v="6849.75"/>
        <n v="729.18"/>
        <n v="10870.59"/>
        <n v="1771.18"/>
        <n v="1109.194"/>
        <n v="11511.24"/>
        <n v="1159.418"/>
        <n v="8305.2305"/>
        <n v="2750.612"/>
        <n v="113.94"/>
        <n v="-753.014"/>
        <n v="939.52"/>
        <n v="2960.718"/>
        <n v="3706.359"/>
        <n v="300.898"/>
        <n v="3694.08"/>
        <n v="3902.7675"/>
        <n v="1408.98"/>
        <n v="2769.78"/>
        <n v="6751.094"/>
        <n v="279.2"/>
        <n v="4265.27"/>
        <n v="1789.29"/>
        <n v="1013"/>
        <n v="3571.4625"/>
        <n v="4751.869"/>
        <n v="3593.41"/>
        <n v="1418.17"/>
        <n v="4591.63"/>
        <n v="8387.724"/>
        <n v="6861.42"/>
        <n v="1295.027"/>
        <n v="3464.46"/>
        <n v="13321.45"/>
        <n v="10960.76"/>
        <n v="1077.49"/>
        <n v="3457.388"/>
        <n v="1822.45"/>
        <n v="4864.37500000001"/>
        <n v="4343.5125"/>
        <n v="2143.104"/>
        <n v="1119.14"/>
        <n v="4259.02"/>
        <n v="4485.714"/>
        <n v="7171.84"/>
        <n v="6459.6"/>
        <n v="355.07"/>
        <n v="652.16"/>
        <n v="1576.94"/>
        <n v="2025.986"/>
        <n v="3950.63"/>
        <n v="15225.999"/>
        <n v="289.918"/>
        <n v="1662.2775"/>
        <n v="2228.73"/>
        <n v="3531.59"/>
        <n v="2968.81"/>
        <n v="4936.899"/>
        <n v="567.1045"/>
        <n v="2205.3305"/>
        <n v="4300.746"/>
        <n v="3174.42"/>
        <n v="2480.02"/>
        <n v="1472.75"/>
        <n v="6241.79"/>
        <n v="370.9925"/>
        <n v="1420.994"/>
        <n v="810.16"/>
        <n v="2826.76"/>
        <n v="3157.22"/>
        <n v="3618.4775"/>
        <n v="5837.98"/>
        <n v="2068.57"/>
        <n v="1353.64"/>
        <n v="1197.53"/>
        <n v="859.754"/>
        <n v="5700.572"/>
        <n v="431.81"/>
        <n v="2513.33"/>
        <n v="2315.86"/>
        <n v="2695.442"/>
        <n v="148.99"/>
        <n v="11951.61"/>
        <n v="712.669"/>
        <n v="6391.21"/>
        <n v="1616.1415"/>
        <n v="257.367"/>
        <n v="1320.02"/>
        <n v="666.62"/>
        <n v="1275.135"/>
        <n v="1269.25"/>
        <n v="2314.78"/>
        <n v="1288.01"/>
        <n v="6382.0275"/>
        <n v="152.48"/>
        <n v="6229.103"/>
        <n v="2264.54"/>
        <n v="2235.23"/>
        <n v="2506.35"/>
        <n v="675.505"/>
        <n v="2604.312"/>
        <n v="565.478000000001"/>
        <n v="569.3525"/>
        <n v="4610.51"/>
        <n v="3920.114"/>
        <n v="2370.697"/>
        <n v="947.35"/>
        <n v="7348.65"/>
        <n v="6630.41"/>
        <n v="465.777"/>
        <n v="694.925"/>
        <n v="782.360000000001"/>
        <n v="1420.5975"/>
        <n v="9270.602"/>
        <n v="2172.33"/>
        <n v="544.722"/>
        <n v="8616.622"/>
        <n v="8824.71"/>
        <n v="752.665"/>
        <n v="3816.12"/>
        <n v="958.484"/>
        <n v="1656.925"/>
        <n v="140.594"/>
        <n v="1222.18"/>
        <n v="1195.46"/>
        <n v="407.6335"/>
        <n v="2234.256"/>
        <n v="1298.402"/>
        <n v="449.536"/>
        <n v="636.89"/>
        <n v="5705.832"/>
        <n v="4532.99"/>
        <n v="823.14"/>
        <n v="967.695"/>
        <n v="7934.992"/>
        <n v="881.678"/>
        <n v="10185.89"/>
        <n v="8042.87"/>
        <n v="97.487"/>
        <n v="5350.89"/>
        <n v="5472.9775"/>
        <n v="1912.132"/>
        <n v="4035.054"/>
        <n v="2461.74"/>
        <n v="5059.27"/>
        <n v="1386.48"/>
        <n v="4447.2575"/>
        <n v="3356.97"/>
        <n v="3217.884"/>
        <n v="1374.8"/>
        <n v="4232.904"/>
        <n v="1562.2025"/>
        <n v="644.514"/>
        <n v="714.03"/>
        <n v="3199.568"/>
        <n v="1039.26"/>
        <n v="4356.632"/>
        <n v="3845.825"/>
        <n v="1157.75"/>
        <n v="530.362000000001"/>
        <n v="2613.738"/>
        <n v="1807.845"/>
        <n v="750.01"/>
        <n v="364.78"/>
        <n v="2186.81"/>
        <n v="4399.54"/>
        <n v="440.246"/>
        <n v="2486.562"/>
        <n v="11130.693"/>
        <n v="1167.98"/>
        <n v="1811.29"/>
        <n v="-4677.262"/>
        <n v="1037.965"/>
        <n v="266.891"/>
        <n v="2706.25"/>
        <n v="2069.97"/>
        <n v="1504.342"/>
        <n v="1873.41"/>
        <n v="2699.12"/>
        <n v="99.222"/>
        <n v="804.379"/>
        <n v="733.636"/>
        <n v="882.48"/>
        <n v="4184.295"/>
        <n v="445.66"/>
        <n v="1365.484"/>
        <n v="2982.646"/>
        <n v="457.074"/>
        <n v="249.365"/>
        <n v="3938.76"/>
        <n v="-23452.5635"/>
        <n v="4210.434"/>
        <n v="1088.322"/>
        <n v="3433.77"/>
        <n v="2888.26"/>
        <n v="4262.488"/>
        <n v="363.57"/>
        <n v="2156.91"/>
        <n v="3144.37"/>
        <n v="6020.316"/>
        <n v="1592.06"/>
        <n v="1585.6725"/>
        <n v="2678.385"/>
        <n v="1848.786"/>
        <n v="9229.196"/>
        <n v="2375.08"/>
        <n v="647.36"/>
        <n v="2655.838"/>
        <n v="1887.2125"/>
        <n v="5111.092"/>
        <n v="715.9645"/>
        <n v="3310.507"/>
        <n v="8495.03"/>
        <n v="1150.9"/>
        <n v="12208.226"/>
        <n v="4297.36"/>
        <n v="564.08"/>
        <n v="3726.2"/>
        <n v="8255.9895"/>
        <n v="4253.29"/>
        <n v="6310.6805"/>
        <n v="87.013"/>
        <n v="7969.937"/>
        <n v="41.3700000000003"/>
        <n v="2562.904"/>
        <n v="2214.782"/>
        <n v="7595.965"/>
        <n v="467.0545"/>
        <n v="5250.12"/>
        <n v="587.905"/>
        <n v="4453.522"/>
        <n v="2894.59"/>
        <n v="1394.048"/>
        <n v="105.0495"/>
        <n v="3397.38"/>
        <n v="3746.607"/>
        <n v="3944.8825"/>
        <n v="4993.859"/>
        <n v="219.39"/>
        <n v="1999.289"/>
        <n v="3442.382"/>
        <n v="2531.5395"/>
        <n v="-829.098"/>
        <n v="2115.1725"/>
        <n v="1239.016"/>
        <n v="2339.82"/>
        <n v="1391.46"/>
        <n v="7257.523"/>
        <n v="5249.88"/>
        <n v="5267.61"/>
        <n v="281.5"/>
        <n v="509.03"/>
        <n v="217.134"/>
        <n v="1076.654"/>
        <n v="505.684"/>
        <n v="2219.728"/>
        <n v="860.292"/>
        <n v="573.467"/>
        <n v="886.605000000001"/>
        <n v="2723.905"/>
        <n v="2534.92"/>
        <n v="8141.24"/>
        <n v="767.544"/>
        <n v="250.98"/>
        <n v="1350.76"/>
        <n v="808.514"/>
        <n v="3992.35"/>
        <n v="744.25"/>
        <n v="5351.445"/>
        <n v="593.97"/>
        <n v="155.816"/>
        <n v="6358.01"/>
        <n v="1150.48"/>
        <n v="883.642"/>
        <n v="253.4005"/>
        <n v="5602.8"/>
        <n v="1287.2"/>
        <n v="664.244"/>
        <n v="11116.912"/>
        <n v="248.13"/>
        <n v="4684.45"/>
        <n v="4603.36"/>
        <n v="7493.558"/>
        <n v="12104.6625"/>
        <n v="2244.97"/>
        <n v="3380.032"/>
        <n v="5273.805"/>
        <n v="592.7"/>
        <n v="681.3825"/>
        <n v="861.245"/>
        <n v="1985.53"/>
        <n v="2856.09"/>
        <n v="5396.673"/>
        <n v="8410.014"/>
        <n v="-5188.0425"/>
        <n v="2515.4225"/>
        <n v="1195.3175"/>
        <n v="7716.32"/>
        <n v="5296.96"/>
        <n v="1014.295"/>
        <n v="809.786"/>
        <n v="1648.22"/>
        <n v="8016.365"/>
        <n v="3728.84"/>
        <n v="1322.094"/>
        <n v="7002.06"/>
        <n v="4326.34"/>
        <n v="2082.4425"/>
        <n v="483.468"/>
        <n v="1662.28"/>
        <n v="2146.11"/>
        <n v="3804.088"/>
        <n v="2817.624"/>
        <n v="2994.107"/>
        <n v="282.488"/>
        <n v="2541.71"/>
        <n v="869.114"/>
        <n v="973.0655"/>
        <n v="4778.973"/>
        <n v="1714.92"/>
        <n v="8886.316"/>
        <n v="2694.34"/>
        <n v="572.138"/>
        <n v="4119.47"/>
        <n v="5990.7925"/>
        <n v="2789.308"/>
        <n v="1974.872"/>
        <n v="3111.518"/>
        <n v="468.795"/>
        <n v="343.766"/>
        <n v="2843.87"/>
        <n v="3270.0275"/>
        <n v="10046.064"/>
        <n v="3335.156"/>
        <n v="5478.604"/>
        <n v="503.585"/>
        <n v="3569.018"/>
        <n v="1548.618"/>
        <n v="2940.64"/>
        <n v="5828.592"/>
        <n v="798.93"/>
        <n v="7228.5375"/>
        <n v="5950.3835"/>
        <n v="393.658"/>
        <n v="3483.27"/>
        <n v="3308.12"/>
        <n v="741.59"/>
        <n v="7276.11"/>
        <n v="197.016"/>
        <n v="6770.196"/>
        <n v="687.6"/>
        <n v="2308.63"/>
        <n v="3217.04"/>
        <n v="471.174"/>
        <n v="2057.514"/>
        <n v="42.3484999999999"/>
        <n v="719.61"/>
        <n v="528.73"/>
        <n v="1875.71"/>
        <n v="2615.632"/>
        <n v="13465.1805"/>
        <n v="4145.9075"/>
        <n v="5376.08"/>
        <n v="402.89"/>
        <n v="1078.55"/>
        <n v="5375.8295"/>
        <n v="2918.55"/>
        <n v="9465.2865"/>
        <n v="-2188.826"/>
        <n v="2752.57"/>
        <n v="1818.36"/>
        <n v="3658.68"/>
        <n v="2390.93"/>
        <n v="7465.76"/>
        <n v="-2293.2825"/>
        <n v="2043.34"/>
        <n v="190.52"/>
        <n v="2910.836"/>
        <n v="1442.637"/>
        <n v="665.23"/>
        <n v="3668.97"/>
        <n v="2612.638"/>
        <n v="3790.8845"/>
        <n v="2001.81"/>
        <n v="403.23"/>
        <n v="1434.11"/>
        <n v="2120.75"/>
        <n v="4003.378"/>
        <n v="1652.1825"/>
        <n v="3100.815"/>
        <n v="1888.77"/>
        <n v="872.738"/>
        <n v="180.677"/>
        <n v="581.4455"/>
        <n v="4663.4325"/>
        <n v="547.195"/>
        <n v="-3302.335"/>
        <n v="3325.318"/>
        <n v="1692.768"/>
        <n v="1464.27"/>
        <n v="1716.2725"/>
        <n v="2803.36"/>
        <n v="85.3475"/>
        <n v="4700.48"/>
        <n v="4409.6"/>
        <n v="1054.937"/>
        <n v="6860.004"/>
        <n v="1061.128"/>
        <n v="1530.936"/>
        <n v="2780.268"/>
        <n v="3361.72"/>
        <n v="1800"/>
        <n v="4044.191"/>
        <n v="262.52"/>
        <n v="6421.61"/>
        <n v="2692.78"/>
        <n v="9095.166"/>
        <n v="813.737"/>
        <n v="3717.693"/>
        <n v="431.864"/>
        <n v="5510.608"/>
        <n v="6191.13"/>
        <n v="9843.74"/>
        <n v="2680.682"/>
        <n v="1122.922"/>
        <n v="1005.045"/>
        <n v="963.62"/>
        <n v="889.35"/>
        <n v="3901.255"/>
        <n v="2750.3"/>
        <n v="3257.02"/>
        <n v="3130.42"/>
        <n v="475.66"/>
        <n v="1898.435"/>
        <n v="677.096"/>
        <n v="2029.888"/>
        <n v="4445.064"/>
        <n v="821.2"/>
        <n v="403.405"/>
        <n v="3971.804"/>
        <n v="1507.6625"/>
        <n v="3337.505"/>
        <n v="745.431"/>
        <n v="466.45"/>
        <n v="1931.98"/>
        <n v="1734.27"/>
        <n v="1899.425"/>
        <n v="754.28"/>
        <n v="5509.0775"/>
        <n v="5861.49"/>
        <n v="2456.75"/>
        <n v="1135.152"/>
        <n v="4373.34"/>
        <n v="3552.97"/>
        <n v="609.55"/>
        <n v="7421.582"/>
        <n v="350.345"/>
        <n v="3387.24"/>
        <n v="3057.0275"/>
        <n v="1075.38"/>
        <n v="5004.95"/>
        <n v="947.769"/>
        <n v="3245.304"/>
        <n v="3063.3"/>
        <n v="9845.82"/>
        <n v="9183.93"/>
        <n v="1534.996"/>
        <n v="1034.95"/>
        <n v="3410.552"/>
        <n v="386.416"/>
        <n v="258.92"/>
        <n v="341.031"/>
        <n v="546.1335"/>
        <n v="504.424"/>
        <n v="1015.25"/>
        <n v="653.66"/>
        <n v="2150.393"/>
        <n v="6364.958"/>
        <n v="4683.41"/>
        <n v="943.656"/>
        <n v="4083.21"/>
        <n v="1064.916"/>
        <n v="6103.13"/>
        <n v="2408.9675"/>
        <n v="9168.35"/>
        <n v="3357.874"/>
        <n v="3164.49"/>
        <n v="5697.95"/>
        <n v="707.7875"/>
        <n v="4498.882"/>
        <n v="2040.874"/>
        <n v="3396.84"/>
        <n v="1737.83"/>
        <n v="441.009"/>
        <n v="444"/>
        <n v="1032.426"/>
        <n v="655.434000000001"/>
        <n v="995.438"/>
        <n v="2291.892"/>
        <n v="892.3775"/>
        <n v="1101.33"/>
        <n v="3705.63"/>
        <n v="1079.47"/>
        <n v="924.21"/>
        <n v="1128.7495"/>
        <n v="288.37"/>
        <n v="3519.815"/>
        <n v="5759.67"/>
        <n v="7065.64"/>
        <n v="74.882"/>
        <n v="1767.804"/>
        <n v="1612.108"/>
        <n v="746.6915"/>
        <n v="4794.79399999999"/>
        <n v="885.94"/>
        <n v="2643.725"/>
        <n v="113.1975"/>
        <n v="10999.594"/>
        <n v="2010.282"/>
        <n v="2798.612"/>
        <n v="10671.195"/>
        <n v="10879.461"/>
        <n v="5586.63"/>
        <n v="968.73"/>
        <n v="4365.6735"/>
        <n v="223.36"/>
        <n v="2859.2975"/>
        <n v="636.55"/>
        <n v="1632.176"/>
        <n v="1655.76"/>
        <n v="5250.7"/>
        <n v="2319.292"/>
        <n v="11989.58"/>
        <n v="1298.81"/>
        <n v="7251.9725"/>
        <n v="2374.36"/>
        <n v="93.9380000000001"/>
        <n v="224.7025"/>
        <n v="732.382"/>
        <n v="1049.17"/>
        <n v="267.33"/>
        <n v="9477.3925"/>
        <n v="595.43"/>
        <n v="3242.112"/>
        <n v="1009.265"/>
        <n v="613.85"/>
        <n v="2013.375"/>
        <n v="4435.12"/>
        <n v="8792.7"/>
        <n v="1877.954"/>
        <n v="4666.766"/>
        <n v="2177.82"/>
        <n v="2045.78"/>
        <n v="2402.99"/>
        <n v="2326.03"/>
        <n v="5544.484"/>
        <n v="824.015"/>
        <n v="829.577"/>
        <n v="1927.51"/>
        <n v="4982.168"/>
        <n v="7217.45"/>
        <n v="3156.52"/>
        <n v="1854.052"/>
        <n v="9118.908"/>
        <n v="6901.842"/>
        <n v="6352.75"/>
        <n v="951.174"/>
        <n v="2512.436"/>
        <n v="1594.723"/>
        <n v="2537.51"/>
        <n v="7562.8725"/>
        <n v="2755.27"/>
        <n v="517.26"/>
        <n v="1155.718"/>
        <n v="467.42"/>
        <n v="6023.385"/>
        <n v="6546.24"/>
        <n v="1905.544"/>
        <n v="1235.21"/>
        <n v="2319.768"/>
        <n v="4415.945"/>
        <n v="157.652"/>
        <n v="281.5265"/>
        <n v="8812.37"/>
        <n v="976.122"/>
        <n v="680.3185"/>
        <n v="1162.84"/>
        <n v="1070.67"/>
        <n v="1024.64"/>
        <m/>
      </sharedItems>
    </cacheField>
    <cacheField name="profit margin" numFmtId="0">
      <sharedItems containsString="0" containsBlank="1" containsNumber="1" minValue="-4.57647919495553" maxValue="0.587046837539469" count="901">
        <n v="0.168373292848864"/>
        <n v="0.329267692307692"/>
        <n v="-0.285704154921279"/>
        <n v="0.182877721453702"/>
        <n v="0.149447644924751"/>
        <n v="0.393233691953674"/>
        <n v="0.191585615739083"/>
        <n v="0.20917499521926"/>
        <n v="0.308147613426074"/>
        <n v="0.380540624070857"/>
        <n v="0.399631665454916"/>
        <n v="0.165130611430993"/>
        <n v="0.362872160571295"/>
        <n v="0.153957453613047"/>
        <n v="0.350751020577124"/>
        <n v="0.340249620081229"/>
        <n v="0.431507653053549"/>
        <n v="0.383420008121668"/>
        <n v="0.341037742931646"/>
        <n v="0.354473062855908"/>
        <n v="0.417248943912653"/>
        <n v="0.26983689030945"/>
        <n v="0.19375018693816"/>
        <n v="0.310227603536244"/>
        <n v="0.188552855517026"/>
        <n v="0.322721051713233"/>
        <n v="0.407482657555968"/>
        <n v="0.304683616475968"/>
        <n v="0.271510608135707"/>
        <n v="0.449607896750357"/>
        <n v="0.349949814796955"/>
        <n v="0.361557075336966"/>
        <n v="0.372702697073831"/>
        <n v="0.198991162030093"/>
        <n v="0.347876584553176"/>
        <n v="0.196297890974924"/>
        <n v="0.288777225859622"/>
        <n v="0.218222708920258"/>
        <n v="0.245734487786707"/>
        <n v="0.316199259540228"/>
        <n v="0.146709003016814"/>
        <n v="0.380719727509611"/>
        <n v="0.396238383931703"/>
        <n v="0.432116118771633"/>
        <n v="0.355748332003949"/>
        <n v="0.414182877390941"/>
        <n v="0.337090122437807"/>
        <n v="0.293491077477566"/>
        <n v="0.263908116609868"/>
        <n v="0.150177101192676"/>
        <n v="0.436821732218152"/>
        <n v="0.188549246985324"/>
        <n v="0.158246584216305"/>
        <n v="0.446839502528135"/>
        <n v="0.416410186141619"/>
        <n v="0.178338814728832"/>
        <n v="0.307283430673203"/>
        <n v="0.146801109938641"/>
        <n v="0.415532305006545"/>
        <n v="0.214400014514315"/>
        <n v="0.272510516391065"/>
        <n v="0.208869090870797"/>
        <n v="0.380467144450032"/>
        <n v="0.3712763790337"/>
        <n v="0.244746210381259"/>
        <n v="0.353466969801267"/>
        <n v="0.344387295475653"/>
        <n v="0.220586472581516"/>
        <n v="0.44911477742803"/>
        <n v="0.150508041582026"/>
        <n v="0.305055458548461"/>
        <n v="0.411067046368824"/>
        <n v="0.262401126957885"/>
        <n v="0.385280626201131"/>
        <n v="0.192988180697556"/>
        <n v="0.318225274825332"/>
        <n v="0.254612816952267"/>
        <n v="0.442714147079326"/>
        <n v="0.250990354864845"/>
        <n v="0.259494129324119"/>
        <n v="0.413739747088587"/>
        <n v="0.440178944682422"/>
        <n v="0.373941414685927"/>
        <n v="0.288771654605874"/>
        <n v="0.238152018891305"/>
        <n v="0.434821898002103"/>
        <n v="0.374150718584118"/>
        <n v="0.338463752544142"/>
        <n v="0.143429164279906"/>
        <n v="0.427543895899479"/>
        <n v="0.4085524575817"/>
        <n v="0.366182965819572"/>
        <n v="0.191554718823205"/>
        <n v="0.361987707699565"/>
        <n v="0.192783268752519"/>
        <n v="0.15997769074508"/>
        <n v="0.34483694152224"/>
        <n v="0.38859733619072"/>
        <n v="0.257737072564971"/>
        <n v="0.27632634273777"/>
        <n v="0.417074919345202"/>
        <n v="0.268867801503614"/>
        <n v="0.216618220266531"/>
        <n v="0.147435654457985"/>
        <n v="0.290591736330042"/>
        <n v="0.183373884833739"/>
        <n v="0.287046333203464"/>
        <n v="0.272168485048788"/>
        <n v="0.381751435552083"/>
        <n v="0.370192663993899"/>
        <n v="0.420625469346403"/>
        <n v="0.336137984914523"/>
        <n v="0.399969836956472"/>
        <n v="0.330817610062893"/>
        <n v="0.193143033654382"/>
        <n v="0.353249567067047"/>
        <n v="0.147466570312864"/>
        <n v="-1.26933079776322"/>
        <n v="0.302774209470534"/>
        <n v="0.194560314175025"/>
        <n v="0.387773007177834"/>
        <n v="0.32465230323981"/>
        <n v="0.281518442422464"/>
        <n v="0.28508350022866"/>
        <n v="0.177229222513702"/>
        <n v="0.341186361571059"/>
        <n v="0.403133134514812"/>
        <n v="0.390725357466314"/>
        <n v="0.232425315820821"/>
        <n v="0.169528247732113"/>
        <n v="0.242605988462595"/>
        <n v="0.240574083484142"/>
        <n v="0.384426352517446"/>
        <n v="0.264060457152925"/>
        <n v="0.364816845036109"/>
        <n v="0.430196976156133"/>
        <n v="0.312950424358216"/>
        <n v="0.191444169069428"/>
        <n v="0.414164199797654"/>
        <n v="0.362776962326134"/>
        <n v="0.244736465892391"/>
        <n v="0.284411741962704"/>
        <n v="0.282025488424428"/>
        <n v="0.375548711932346"/>
        <n v="0.387355487821505"/>
        <n v="0.348498977798501"/>
        <n v="0.156197568461726"/>
        <n v="0.372625830959164"/>
        <n v="0.252736227474888"/>
        <n v="0.323501723159898"/>
        <n v="0.244359794896433"/>
        <n v="0.306066683769056"/>
        <n v="0.254427260980329"/>
        <n v="0.315548138525235"/>
        <n v="0.310273341384324"/>
        <n v="0.238228617941277"/>
        <n v="0.44495057812226"/>
        <n v="0.372203895534454"/>
        <n v="0.403097532235987"/>
        <n v="0.240253058677483"/>
        <n v="0.156997792715711"/>
        <n v="0.447855373887222"/>
        <n v="0.261531543717191"/>
        <n v="0.204186759997173"/>
        <n v="0.345684256799454"/>
        <n v="0.369856957416372"/>
        <n v="0.291621869929824"/>
        <n v="0.22772080417346"/>
        <n v="0.207811253460979"/>
        <n v="0.365091687523756"/>
        <n v="0.234509033962088"/>
        <n v="0.290872538329719"/>
        <n v="0.327645925015821"/>
        <n v="0.200738097812376"/>
        <n v="0.422998019408562"/>
        <n v="0.307564936336543"/>
        <n v="0.425868458854203"/>
        <n v="0.327738759520097"/>
        <n v="0.182412378799052"/>
        <n v="0.422866647836048"/>
        <n v="0.42838800154184"/>
        <n v="0.413440396637206"/>
        <n v="0.317238725027116"/>
        <n v="0.354788050343312"/>
        <n v="0.425656370222052"/>
        <n v="0.166841113669667"/>
        <n v="0.159558676706898"/>
        <n v="0.286933219535586"/>
        <n v="0.231634719924036"/>
        <n v="0.435028810453735"/>
        <n v="0.353111929904687"/>
        <n v="-1.14394914032831"/>
        <n v="0.176180837323086"/>
        <n v="0.359738853709354"/>
        <n v="0.259579456140828"/>
        <n v="0.211907448916441"/>
        <n v="0.230724334228373"/>
        <n v="0.191478741656313"/>
        <n v="0.398436576676966"/>
        <n v="0.44711955433137"/>
        <n v="0.287488824742524"/>
        <n v="0.40986127587846"/>
        <n v="0.146705681685575"/>
        <n v="0.311989339692113"/>
        <n v="0.25007357712915"/>
        <n v="0.205865547148357"/>
        <n v="0.33440245432994"/>
        <n v="0.431506458533023"/>
        <n v="0.364982046947981"/>
        <n v="0.337616883456094"/>
        <n v="0.289079141009256"/>
        <n v="0.153040952640368"/>
        <n v="0.230111065405183"/>
        <n v="0.185411103392088"/>
        <n v="0.195547091598769"/>
        <n v="0.431883899575319"/>
        <n v="0.307658512105022"/>
        <n v="0.260883945201664"/>
        <n v="0.413868669660833"/>
        <n v="-3.42889675419102"/>
        <n v="0.36486258210462"/>
        <n v="0.275093778770249"/>
        <n v="0.314116387231155"/>
        <n v="0.443937385274322"/>
        <n v="0.435274194856818"/>
        <n v="0.18468694053115"/>
        <n v="0.44137768982557"/>
        <n v="0.389205929018081"/>
        <n v="0.428571849480032"/>
        <n v="0.360649243707767"/>
        <n v="0.20282684734945"/>
        <n v="0.375058940943029"/>
        <n v="0.164957991971467"/>
        <n v="0.155554744544242"/>
        <n v="0.155211017342651"/>
        <n v="0.268026953007066"/>
        <n v="0.23970819652225"/>
        <n v="0.356073371573522"/>
        <n v="-0.493253656148002"/>
        <n v="0.273144061916472"/>
        <n v="0.331529235598174"/>
        <n v="0.430686783741446"/>
        <n v="0.253839265938601"/>
        <n v="0.380370088855107"/>
        <n v="0.337684747542952"/>
        <n v="0.442572541741327"/>
        <n v="0.148245551004766"/>
        <n v="0.164404695061629"/>
        <n v="0.189745220726663"/>
        <n v="0.368974640628752"/>
        <n v="0.170253935011076"/>
        <n v="0.204120033393337"/>
        <n v="0.31159507390516"/>
        <n v="0.404795084289694"/>
        <n v="0.440928917666712"/>
        <n v="0.271341139734582"/>
        <n v="0.377102350705889"/>
        <n v="0.212930957257195"/>
        <n v="0.228148932681374"/>
        <n v="0.428574338103381"/>
        <n v="0.283942411116985"/>
        <n v="0.400604061702148"/>
        <n v="0.359573982196271"/>
        <n v="0.314312353970647"/>
        <n v="0.346730358532869"/>
        <n v="0.423996670804593"/>
        <n v="0.218713415252441"/>
        <n v="0.290527119938885"/>
        <n v="0.359877073258915"/>
        <n v="0.313610542822427"/>
        <n v="0.387585001127977"/>
        <n v="0.175862260958948"/>
        <n v="0.375716259835353"/>
        <n v="0.321190394044064"/>
        <n v="0.28476627881856"/>
        <n v="0.325942621696872"/>
        <n v="0.586542062137148"/>
        <n v="0.447214915829529"/>
        <n v="0.431762936504704"/>
        <n v="0.334928537000708"/>
        <n v="0.422412761670262"/>
        <n v="0.317586213080966"/>
        <n v="0.299318973020017"/>
        <n v="0.430284287297203"/>
        <n v="0.336315940779071"/>
        <n v="0.161016476240019"/>
        <n v="0.436826844350355"/>
        <n v="0.307720364778953"/>
        <n v="0.338270035875081"/>
        <n v="0.150113135088514"/>
        <n v="0.414411888321463"/>
        <n v="0.201935168150254"/>
        <n v="0.270258190811946"/>
        <n v="-1.12298571561643"/>
        <n v="0.343781597303198"/>
        <n v="0.378973686075138"/>
        <n v="0.391058559653946"/>
        <n v="0.330485476466298"/>
        <n v="0.175037816211164"/>
        <n v="0.348541068502675"/>
        <n v="0.299282349186383"/>
        <n v="0.410498697184589"/>
        <n v="0.402002998826117"/>
        <n v="0.206270635440412"/>
        <n v="0.227834688478454"/>
        <n v="-0.316940403491127"/>
        <n v="0.313783823517401"/>
        <n v="0.357462437590533"/>
        <n v="0.331279816012138"/>
        <n v="0.441840574448922"/>
        <n v="0.420901437876367"/>
        <n v="0.292469857772002"/>
        <n v="0.519678342779779"/>
        <n v="0.141823970379338"/>
        <n v="0.171030338466738"/>
        <n v="0.390199356494645"/>
        <n v="0.372079634203324"/>
        <n v="0.362249553966718"/>
        <n v="0.245512713747135"/>
        <n v="0.421562823738345"/>
        <n v="-0.954964072205608"/>
        <n v="0.348063187220296"/>
        <n v="0.423907571615847"/>
        <n v="0.363879780503372"/>
        <n v="0.181734833284814"/>
        <n v="0.236760539910015"/>
        <n v="0.25780432160082"/>
        <n v="0.320010356763239"/>
        <n v="0.148880245623541"/>
        <n v="0.438339633363317"/>
        <n v="0.356536285739826"/>
        <n v="0.397041137001705"/>
        <n v="0.22869482305545"/>
        <n v="0.345015496747386"/>
        <n v="0.27536498386941"/>
        <n v="0.410305355211017"/>
        <n v="0.22542558103354"/>
        <n v="0.200011564867625"/>
        <n v="0.173832141548321"/>
        <n v="0.401309917140268"/>
        <n v="0.375734337420652"/>
        <n v="0.172105142221668"/>
        <n v="0.283244054626796"/>
        <n v="0.428622219648195"/>
        <n v="0.352351946898843"/>
        <n v="0.194823346472354"/>
        <n v="0.448091502536092"/>
        <n v="0.152813693824229"/>
        <n v="0.251951972250127"/>
        <n v="0.224401783171465"/>
        <n v="0.179875954563676"/>
        <n v="0.345682444370313"/>
        <n v="0.396750739421039"/>
        <n v="0.435167205664248"/>
        <n v="0.357151251850037"/>
        <n v="0.403286426011712"/>
        <n v="0.142781888370597"/>
        <n v="0.149268489187556"/>
        <n v="0.264759608604259"/>
        <n v="0.40540995914656"/>
        <n v="0.223585973490894"/>
        <n v="0.427507957233141"/>
        <n v="0.155334739242438"/>
        <n v="0.242045026401"/>
        <n v="0.359719162329016"/>
        <n v="0.258701799109236"/>
        <n v="0.33596897435201"/>
        <n v="0.25373435797444"/>
        <n v="0.272741525950518"/>
        <n v="0.246524621575742"/>
        <n v="0.329071499883391"/>
        <n v="0.515632614077149"/>
        <n v="0.324109359889176"/>
        <n v="0.146278550513899"/>
        <n v="0.434680176886382"/>
        <n v="0.141337341147046"/>
        <n v="0.160474645576528"/>
        <n v="0.315883871269602"/>
        <n v="0.361421875359599"/>
        <n v="0.396797188805494"/>
        <n v="0.431570692726853"/>
        <n v="0.350184180234501"/>
        <n v="0.197600597605756"/>
        <n v="0.301781295284807"/>
        <n v="0.424340030473761"/>
        <n v="0.435295559119925"/>
        <n v="0.284120097575991"/>
        <n v="0.244748625517202"/>
        <n v="0.267780906627799"/>
        <n v="0.298814476088236"/>
        <n v="0.439338235294118"/>
        <n v="0.208543874137424"/>
        <n v="0.327647024474814"/>
        <n v="0.193653265958883"/>
        <n v="0.231427477878237"/>
        <n v="0.281965398930841"/>
        <n v="0.212071322451542"/>
        <n v="0.38109453310853"/>
        <n v="0.329709571479445"/>
        <n v="0.39008374440748"/>
        <n v="0.206495266511894"/>
        <n v="0.293845167596524"/>
        <n v="0.314472457016734"/>
        <n v="0.382542454791688"/>
        <n v="0.14133830167867"/>
        <n v="0.254962340978107"/>
        <n v="0.384713657136062"/>
        <n v="0.281740434730547"/>
        <n v="0.353313579105252"/>
        <n v="0.297697980913095"/>
        <n v="0.277680963603842"/>
        <n v="0.169596862620897"/>
        <n v="0.359543555035624"/>
        <n v="0.300440379933585"/>
        <n v="0.4152881337833"/>
        <n v="0.230675445843842"/>
        <n v="0.247111145890393"/>
        <n v="0.396316010872379"/>
        <n v="0.301898244272029"/>
        <n v="0.35588721378814"/>
        <n v="0.382881952192442"/>
        <n v="0.314215946150015"/>
        <n v="0.346600685712334"/>
        <n v="0.340692774901004"/>
        <n v="0.337519576890568"/>
        <n v="0.283969384467653"/>
        <n v="0.318568370721746"/>
        <n v="0.333574875940088"/>
        <n v="0.405991169942203"/>
        <n v="0.216105467024566"/>
        <n v="0.260974309461613"/>
        <n v="0.268211746328513"/>
        <n v="0.142724302945769"/>
        <n v="0.198377504512342"/>
        <n v="0.36626734887711"/>
        <n v="0.175171520551633"/>
        <n v="0.338849856361715"/>
        <n v="0.44979824238074"/>
        <n v="0.247927393700336"/>
        <n v="0.191473881999248"/>
        <n v="0.319303273844699"/>
        <n v="0.179134587950021"/>
        <n v="0.446797770190685"/>
        <n v="0.291881008935641"/>
        <n v="0.390069618771575"/>
        <n v="0.26100839321154"/>
        <n v="0.30011390662603"/>
        <n v="0.367718267384833"/>
        <n v="0.285002207234467"/>
        <n v="0.272696278085593"/>
        <n v="0.355842252588896"/>
        <n v="0.14663642933655"/>
        <n v="0.417535252541809"/>
        <n v="0.331878235547886"/>
        <n v="0.200528345560986"/>
        <n v="0.428576727623428"/>
        <n v="0.401708131724998"/>
        <n v="0.168180067002095"/>
        <n v="0.37434475672763"/>
        <n v="0.398174214251787"/>
        <n v="0.364058954634284"/>
        <n v="0.181350274964862"/>
        <n v="0.315903547845727"/>
        <n v="0.25085370994941"/>
        <n v="0.309691217461819"/>
        <n v="0.412765112399714"/>
        <n v="0.380089812418514"/>
        <n v="0.199291513894168"/>
        <n v="0.176352134580555"/>
        <n v="0.188574362431475"/>
        <n v="0.369190389126691"/>
        <n v="0.266130973279367"/>
        <n v="0.40668141544935"/>
        <n v="0.396948724645251"/>
        <n v="0.446223098285759"/>
        <n v="0.217015605053441"/>
        <n v="0.425084921200464"/>
        <n v="0.20995264721185"/>
        <n v="0.433064278261609"/>
        <n v="0.53028535107035"/>
        <n v="0.400214326748862"/>
        <n v="-2.79018306679838"/>
        <n v="0.358661642470011"/>
        <n v="0.378455526076593"/>
        <n v="0.165161371432896"/>
        <n v="0.270034713661215"/>
        <n v="0.322071528156012"/>
        <n v="0.304347331654618"/>
        <n v="0.311440756193922"/>
        <n v="0.27428182843495"/>
        <n v="0.332635568867575"/>
        <n v="0.377957153219691"/>
        <n v="0.215862392861336"/>
        <n v="0.273965817578736"/>
        <n v="0.221166825472447"/>
        <n v="0.360788263556339"/>
        <n v="0.449494511085431"/>
        <n v="0.183895901998146"/>
        <n v="0.293251562601062"/>
        <n v="0.393961489643253"/>
        <n v="-4.57647919495553"/>
        <n v="0.236044561067964"/>
        <n v="0.243722093902883"/>
        <n v="0.324121584885143"/>
        <n v="0.166831095256139"/>
        <n v="0.242798117624328"/>
        <n v="0.301557678909127"/>
        <n v="0.240424421987547"/>
        <n v="0.429324139814309"/>
        <n v="0.259036188123719"/>
        <n v="0.187808923418843"/>
        <n v="0.431613802789874"/>
        <n v="0.442915080182068"/>
        <n v="0.31138780505305"/>
        <n v="0.441295339037106"/>
        <n v="0.532709504787495"/>
        <n v="0.289882588953868"/>
        <n v="0.223360454445144"/>
        <n v="0.224089723163988"/>
        <n v="0.365896772434774"/>
        <n v="0.444390823867577"/>
        <n v="0.264945966103154"/>
        <n v="0.257153503904663"/>
        <n v="0.198251241115816"/>
        <n v="0.358226630253111"/>
        <n v="0.378295392524516"/>
        <n v="0.496479369102943"/>
        <n v="0.269972823035285"/>
        <n v="0.279313760132812"/>
        <n v="0.259342997820155"/>
        <n v="0.370061461988011"/>
        <n v="0.21825656615823"/>
        <n v="0.44619143488182"/>
        <n v="0.0191010457787937"/>
        <n v="0.179623448052747"/>
        <n v="0.230649949095805"/>
        <n v="0.381865574755332"/>
        <n v="0.242291603604277"/>
        <n v="0.175584658465546"/>
        <n v="0.308701485209602"/>
        <n v="0.206453098130171"/>
        <n v="0.334956860240139"/>
        <n v="0.142799310981196"/>
        <n v="0.250852796108599"/>
        <n v="0.155403143028088"/>
        <n v="0.217067300296979"/>
        <n v="0.361540271584861"/>
        <n v="0.165639681595323"/>
        <n v="0.20465294167032"/>
        <n v="0.19464375751653"/>
        <n v="0.33725988820125"/>
        <n v="0.315353305729917"/>
        <n v="-1.10535788564298"/>
        <n v="0.242142390437358"/>
        <n v="0.304378971738077"/>
        <n v="0.393646659802556"/>
        <n v="0.314336316771561"/>
        <n v="0.225186923170747"/>
        <n v="0.266333463205572"/>
        <n v="0.357121501485744"/>
        <n v="0.249088592361873"/>
        <n v="0.175474338821323"/>
        <n v="0.319021956322434"/>
        <n v="0.189053033336002"/>
        <n v="0.343035687151323"/>
        <n v="0.24062279944082"/>
        <n v="0.182566876377541"/>
        <n v="0.439318132893913"/>
        <n v="0.310574573733022"/>
        <n v="0.186182888689986"/>
        <n v="0.285480359795439"/>
        <n v="0.380761828594413"/>
        <n v="0.43243279787982"/>
        <n v="0.43751416368866"/>
        <n v="0.24907065938929"/>
        <n v="0.202969606047461"/>
        <n v="0.169669623725146"/>
        <n v="0.396056727775856"/>
        <n v="0.356482448313178"/>
        <n v="0.185475938433867"/>
        <n v="0.373224491360189"/>
        <n v="0.38949325524694"/>
        <n v="0.34279244383529"/>
        <n v="0.420487163283641"/>
        <n v="0.302679617124179"/>
        <n v="0.202784871701326"/>
        <n v="0.172280874574384"/>
        <n v="0.183707786238261"/>
        <n v="0.347253833597719"/>
        <n v="0.157617913292044"/>
        <n v="0.227598252850778"/>
        <n v="0.432840255603071"/>
        <n v="0.250372908574619"/>
        <n v="0.437374444425475"/>
        <n v="0.187937829837392"/>
        <n v="0.25715336055177"/>
        <n v="0.286900422451196"/>
        <n v="0.319439054887251"/>
        <n v="0.203152007906853"/>
        <n v="0.346861514358841"/>
        <n v="0.17971443441269"/>
        <n v="0.44211098245853"/>
        <n v="0.20604104508426"/>
        <n v="0.429858636545876"/>
        <n v="0.42604911889498"/>
        <n v="-4.11746953887179"/>
        <n v="0.287334913695492"/>
        <n v="0.29460565061287"/>
        <n v="0.398081898497453"/>
        <n v="0.174458111951772"/>
        <n v="0.371583588402197"/>
        <n v="0.171636976220513"/>
        <n v="0.428776199853799"/>
        <n v="0.353318546285553"/>
        <n v="0.182876637083422"/>
        <n v="0.233590299730525"/>
        <n v="0.371607163327432"/>
        <n v="0.175317367982335"/>
        <n v="0.164968905572399"/>
        <n v="0.142154326011583"/>
        <n v="0.251515344088267"/>
        <n v="0.392758317777534"/>
        <n v="0.362838768063068"/>
        <n v="0.272765397037942"/>
        <n v="0.354040702820175"/>
        <n v="0.223062393794101"/>
        <n v="0.221537622112361"/>
        <n v="0.216626778337372"/>
        <n v="0.181394670804349"/>
        <n v="0.446379638920826"/>
        <n v="0.156337003549882"/>
        <n v="0.28291489142771"/>
        <n v="0.189041336172572"/>
        <n v="0.413942444044429"/>
        <n v="0.446643616023558"/>
        <n v="0.365404464938544"/>
        <n v="0.214725543467383"/>
        <n v="0.386626969086632"/>
        <n v="0.402089691263067"/>
        <n v="0.309442792407745"/>
        <n v="0.271259437416357"/>
        <n v="0.443956514001505"/>
        <n v="0.379897051088463"/>
        <n v="0.381631015075811"/>
        <n v="0.234044786848856"/>
        <n v="0.418613678065488"/>
        <n v="0.306958273521622"/>
        <n v="0.247129257436067"/>
        <n v="0.305697683783643"/>
        <n v="0.433922394966415"/>
        <n v="0.369831654856479"/>
        <n v="0.444925235986968"/>
        <n v="0.393657429411533"/>
        <n v="0.224333817215953"/>
        <n v="0.191463428869365"/>
        <n v="0.404688821555706"/>
        <n v="0.300617934644324"/>
        <n v="0.364776192818495"/>
        <n v="0.364407866202833"/>
        <n v="0.277137584119196"/>
        <n v="0.423283388589911"/>
        <n v="0.422488479262673"/>
        <n v="0.239536123976958"/>
        <n v="0.505028241669571"/>
        <n v="0.308548954071342"/>
        <n v="0.361068467591978"/>
        <n v="0.15930160605029"/>
        <n v="0.18175916992074"/>
        <n v="0.22013539619625"/>
        <n v="0.367630572149835"/>
        <n v="0.423474951882851"/>
        <n v="0.431530510200192"/>
        <n v="0.34518974723612"/>
        <n v="0.388224606545705"/>
        <n v="0.389751477687166"/>
        <n v="0.373229103945629"/>
        <n v="0.264862250140719"/>
        <n v="0.158924678017639"/>
        <n v="0.447708740719992"/>
        <n v="-1.29310964125614"/>
        <n v="0.185972396385099"/>
        <n v="0.302991826838961"/>
        <n v="0.470730822377817"/>
        <n v="0.302536011823418"/>
        <n v="0.303224370502867"/>
        <n v="-0.692101194881859"/>
        <n v="0.434914202279142"/>
        <n v="0.276838128451032"/>
        <n v="0.187892047451902"/>
        <n v="0.385187303402917"/>
        <n v="0.192123077989441"/>
        <n v="0.418489660859776"/>
        <n v="0.306775547740091"/>
        <n v="0.320532201129388"/>
        <n v="0.172139182837419"/>
        <n v="0.391652744861883"/>
        <n v="0.405514460543133"/>
        <n v="0.534187226861123"/>
        <n v="0.144238388014565"/>
        <n v="0.174820391096255"/>
        <n v="0.397920704981492"/>
        <n v="0.220275512036741"/>
        <n v="0.32409839803507"/>
        <n v="0.174562595951603"/>
        <n v="0.24208885431276"/>
        <n v="0.291176766711024"/>
        <n v="0.287773964948264"/>
        <n v="-0.394262286763885"/>
        <n v="0.200815043902123"/>
        <n v="0.208723752442637"/>
        <n v="0.197713748698692"/>
        <n v="0.417542643226197"/>
        <n v="0.289602707432423"/>
        <n v="0.392442896391581"/>
        <n v="0.251696636926659"/>
        <n v="0.221569791017118"/>
        <n v="0.366320846081539"/>
        <n v="0.36660548740759"/>
        <n v="0.224176541075343"/>
        <n v="0.403317723327755"/>
        <n v="0.182531358228036"/>
        <n v="0.246284364182494"/>
        <n v="0.41536001329152"/>
        <n v="0.296625399983468"/>
        <n v="0.345289297504899"/>
        <n v="0.429737183223573"/>
        <n v="0.33359514370664"/>
        <n v="0.320783016522828"/>
        <n v="0.405133112313406"/>
        <n v="0.402599875051615"/>
        <n v="0.162426086021166"/>
        <n v="0.349745570716718"/>
        <n v="0.41866527632951"/>
        <n v="0.39090940860087"/>
        <n v="0.303314840361206"/>
        <n v="0.154336737498818"/>
        <n v="0.42675710964619"/>
        <n v="0.266995832779182"/>
        <n v="0.406431799798007"/>
        <n v="0.343093097384669"/>
        <n v="0.295769346582355"/>
        <n v="0.36788518709281"/>
        <n v="0.346139896945974"/>
        <n v="0.215104237326459"/>
        <n v="0.156140495891559"/>
        <n v="0.389893908613073"/>
        <n v="0.245564592616107"/>
        <n v="0.443528685365979"/>
        <n v="0.284543126717324"/>
        <n v="0.276457224702661"/>
        <n v="0.148777187450976"/>
        <n v="0.178521685974829"/>
        <n v="0.285018226194395"/>
        <n v="0.287377246173828"/>
        <n v="0.174437737937637"/>
        <n v="0.194619500834092"/>
        <n v="0.14224935530227"/>
        <n v="0.443194956314582"/>
        <n v="0.181016628628888"/>
        <n v="0.368560874993624"/>
        <n v="0.435406161882378"/>
        <n v="0.3289984679994"/>
        <n v="0.192053858564421"/>
        <n v="0.265777690265745"/>
        <n v="0.141216146392261"/>
        <n v="0.33410618169062"/>
        <n v="0.446617479409426"/>
        <n v="0.375328758831627"/>
        <n v="0.232734738300188"/>
        <n v="0.376078856518965"/>
        <n v="0.311523754345307"/>
        <n v="0.587046837539469"/>
        <n v="0.255597065742481"/>
        <n v="0.344357689290917"/>
        <n v="0.395131955730981"/>
        <n v="0.414792776761069"/>
        <n v="0.340146689377854"/>
        <n v="0.303052486853213"/>
        <n v="0.154296968178999"/>
        <n v="0.284605137150798"/>
        <n v="0.283176605773515"/>
        <n v="0.300144902335826"/>
        <n v="0.299578081310926"/>
        <n v="0.222654126340006"/>
        <n v="0.3174306707512"/>
        <n v="0.224642154617528"/>
        <n v="0.240430204030588"/>
        <n v="0.30434412170521"/>
        <n v="0.355365705827388"/>
        <n v="0.330984910162036"/>
        <n v="0.220863479081472"/>
        <n v="0.436584614792432"/>
        <n v="0.380205477104469"/>
        <n v="0.283713438330947"/>
        <n v="0.330931335629552"/>
        <n v="0.351925806676969"/>
        <n v="0.347546856414912"/>
        <n v="0.230732718141358"/>
        <n v="0.371094373292433"/>
        <n v="0.154027656047428"/>
        <n v="0.2118619228695"/>
        <n v="0.25216821214179"/>
        <n v="0.392631995062105"/>
        <n v="0.403522459452242"/>
        <n v="0.226380314246423"/>
        <n v="0.145808498270987"/>
        <n v="0.35203029484693"/>
        <n v="0.149664197815025"/>
        <n v="0.181889310856956"/>
        <n v="0.310676468889816"/>
        <n v="0.37750421710001"/>
        <n v="0.427335868384293"/>
        <n v="0.207857296710299"/>
        <n v="0.403488902345123"/>
        <n v="0.259324730422485"/>
        <n v="0.265022559505075"/>
        <n v="0.366477308831192"/>
        <n v="0.427493789172544"/>
        <n v="0.36342464059282"/>
        <n v="0.208008224191653"/>
        <n v="0.146450699377288"/>
        <n v="0.162512695413766"/>
        <n v="0.157332122646813"/>
        <n v="0.438137141948486"/>
        <n v="0.142197637762957"/>
        <n v="0.32569287948915"/>
        <n v="0.321894186368603"/>
        <n v="0.178638639349501"/>
        <n v="0.436205626038852"/>
        <n v="0.308260120324189"/>
        <n v="0.217493739290892"/>
        <n v="0.402843864897448"/>
        <n v="0.295780024022987"/>
        <n v="0.235758596242467"/>
        <n v="0.239330872652347"/>
        <n v="0.434881163520623"/>
        <n v="0.207927612593324"/>
        <n v="0.304191345066195"/>
        <n v="0.432859367456156"/>
        <n v="0.426568148412982"/>
        <n v="0.261307611213868"/>
        <n v="0.240297508149576"/>
        <n v="0.311186045163659"/>
        <n v="0.333918756029687"/>
        <n v="0.369489210986729"/>
        <n v="0.297095675965383"/>
        <n v="0.298472414972143"/>
        <n v="0.279470915841584"/>
        <n v="0.171756432673106"/>
        <n v="0.449007793456243"/>
        <n v="0.144393247509654"/>
        <n v="0.143874321880651"/>
        <n v="0.378764924591354"/>
        <n v="0.160462120558813"/>
        <n v="0.381971744963849"/>
        <n v="0.324491728276578"/>
        <n v="0.388414325487219"/>
        <n v="0.165161174419306"/>
        <n v="0.381698257403111"/>
        <n v="0.350649878925355"/>
        <n v="0.449545105703139"/>
        <n v="0.428215327041883"/>
        <n v="0.312200926071936"/>
        <n v="0.232166587794169"/>
        <n v="0.141067313986151"/>
        <n v="0.291333503672308"/>
        <n v="0.25303108797886"/>
        <n v="0.175482701745531"/>
        <n v="0.43134413491421"/>
        <n v="0.448059117926688"/>
        <n v="0.222053036172031"/>
        <n v="0.366813596414325"/>
        <n v="0.356746322365982"/>
        <n v="0.413128655439865"/>
        <n v="0.305705223035984"/>
        <n v="0.319904840268255"/>
        <n v="0.279348340377779"/>
        <n v="0.261200743420923"/>
        <n v="0.212292294687631"/>
        <n v="0.264537096616605"/>
        <n v="0.156889670672103"/>
        <n v="0.300644141827479"/>
        <n v="0.360175429422992"/>
        <n v="0.319124914397823"/>
        <n v="0.323955758597434"/>
        <n v="0.287588213940725"/>
        <n v="0.25372405660427"/>
        <n v="0.391884352259149"/>
        <n v="0.150219028555067"/>
        <n v="0.209958321434885"/>
        <n v="0.166102434732399"/>
        <n v="0.407530455575074"/>
        <n v="0.271107045082475"/>
        <n v="0.249769218109625"/>
        <n v="0.345254130377719"/>
        <n v="0.403687822889216"/>
        <n v="0.193912515425573"/>
        <n v="0.171276146036319"/>
        <n v="0.217729143619444"/>
        <n v="0.310116372330927"/>
        <m/>
      </sharedItems>
    </cacheField>
    <cacheField name="payment_status" numFmtId="0">
      <sharedItems containsBlank="1" count="7">
        <s v="Paid"/>
        <s v="Refunded"/>
        <s v="Pending"/>
        <s v="Failed"/>
        <s v="Paid "/>
        <s v="  Pending "/>
        <m/>
      </sharedItems>
    </cacheField>
    <cacheField name="payment status clean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7">
        <s v="Completed"/>
        <s v="Cancelled"/>
        <s v="Returned"/>
        <s v="Completed "/>
        <s v="  Completed "/>
        <s v="  Cancelled "/>
        <m/>
      </sharedItems>
    </cacheField>
    <cacheField name="order status clean" numFmtId="0">
      <sharedItems containsBlank="1" count="4">
        <s v="Completed"/>
        <s v="Cancelled"/>
        <s v="Returned"/>
        <m/>
      </sharedItems>
    </cacheField>
    <cacheField name="order_month" numFmtId="0">
      <sharedItems containsString="0" containsBlank="1" containsNumber="1" containsInteger="1" minValue="1" maxValue="12" count="13">
        <n v="7"/>
        <n v="8"/>
        <n v="6"/>
        <n v="11"/>
        <n v="5"/>
        <n v="4"/>
        <n v="2"/>
        <n v="9"/>
        <n v="12"/>
        <n v="10"/>
        <n v="1"/>
        <n v="3"/>
        <m/>
      </sharedItems>
    </cacheField>
    <cacheField name="order_year" numFmtId="0">
      <sharedItems containsString="0" containsBlank="1" containsNumber="1" containsInteger="1" minValue="2024" maxValue="2025" count="3">
        <n v="2024"/>
        <n v="2025"/>
        <m/>
      </sharedItems>
    </cacheField>
    <cacheField name="data_quality_flag" numFmtId="0">
      <sharedItems containsBlank="1" count="4">
        <s v="Clean"/>
        <s v="Discount Issue"/>
        <s v="Invalid Shipping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1"/>
    <x v="0"/>
    <x v="0"/>
  </r>
  <r>
    <x v="2"/>
    <x v="2"/>
    <x v="2"/>
    <x v="2"/>
    <x v="2"/>
    <x v="2"/>
    <x v="2"/>
    <x v="2"/>
    <x v="0"/>
    <x v="0"/>
    <x v="1"/>
    <x v="1"/>
    <x v="1"/>
    <x v="1"/>
    <x v="1"/>
    <x v="1"/>
    <x v="0"/>
    <x v="0"/>
    <x v="2"/>
    <x v="2"/>
    <x v="2"/>
    <x v="2"/>
    <x v="2"/>
    <x v="2"/>
    <x v="2"/>
    <x v="2"/>
    <x v="2"/>
    <x v="2"/>
    <x v="2"/>
    <x v="2"/>
    <x v="2"/>
    <x v="2"/>
    <x v="2"/>
    <x v="2"/>
    <x v="2"/>
    <x v="0"/>
    <x v="0"/>
    <x v="0"/>
    <x v="0"/>
    <x v="2"/>
    <x v="0"/>
    <x v="0"/>
  </r>
  <r>
    <x v="3"/>
    <x v="3"/>
    <x v="3"/>
    <x v="3"/>
    <x v="3"/>
    <x v="3"/>
    <x v="3"/>
    <x v="3"/>
    <x v="1"/>
    <x v="1"/>
    <x v="2"/>
    <x v="2"/>
    <x v="2"/>
    <x v="2"/>
    <x v="2"/>
    <x v="2"/>
    <x v="1"/>
    <x v="1"/>
    <x v="3"/>
    <x v="3"/>
    <x v="3"/>
    <x v="3"/>
    <x v="3"/>
    <x v="3"/>
    <x v="3"/>
    <x v="3"/>
    <x v="3"/>
    <x v="3"/>
    <x v="3"/>
    <x v="3"/>
    <x v="3"/>
    <x v="3"/>
    <x v="3"/>
    <x v="3"/>
    <x v="3"/>
    <x v="0"/>
    <x v="0"/>
    <x v="0"/>
    <x v="0"/>
    <x v="3"/>
    <x v="0"/>
    <x v="0"/>
  </r>
  <r>
    <x v="4"/>
    <x v="4"/>
    <x v="4"/>
    <x v="4"/>
    <x v="4"/>
    <x v="4"/>
    <x v="4"/>
    <x v="4"/>
    <x v="1"/>
    <x v="1"/>
    <x v="3"/>
    <x v="3"/>
    <x v="3"/>
    <x v="3"/>
    <x v="3"/>
    <x v="3"/>
    <x v="1"/>
    <x v="1"/>
    <x v="4"/>
    <x v="4"/>
    <x v="4"/>
    <x v="4"/>
    <x v="2"/>
    <x v="2"/>
    <x v="4"/>
    <x v="4"/>
    <x v="4"/>
    <x v="1"/>
    <x v="1"/>
    <x v="4"/>
    <x v="4"/>
    <x v="4"/>
    <x v="4"/>
    <x v="4"/>
    <x v="4"/>
    <x v="0"/>
    <x v="0"/>
    <x v="1"/>
    <x v="1"/>
    <x v="1"/>
    <x v="1"/>
    <x v="0"/>
  </r>
  <r>
    <x v="5"/>
    <x v="5"/>
    <x v="5"/>
    <x v="5"/>
    <x v="5"/>
    <x v="5"/>
    <x v="5"/>
    <x v="5"/>
    <x v="1"/>
    <x v="1"/>
    <x v="3"/>
    <x v="3"/>
    <x v="4"/>
    <x v="4"/>
    <x v="4"/>
    <x v="4"/>
    <x v="2"/>
    <x v="2"/>
    <x v="5"/>
    <x v="5"/>
    <x v="5"/>
    <x v="5"/>
    <x v="1"/>
    <x v="1"/>
    <x v="5"/>
    <x v="1"/>
    <x v="5"/>
    <x v="0"/>
    <x v="0"/>
    <x v="5"/>
    <x v="5"/>
    <x v="5"/>
    <x v="5"/>
    <x v="5"/>
    <x v="5"/>
    <x v="0"/>
    <x v="0"/>
    <x v="0"/>
    <x v="0"/>
    <x v="4"/>
    <x v="0"/>
    <x v="0"/>
  </r>
  <r>
    <x v="6"/>
    <x v="6"/>
    <x v="6"/>
    <x v="6"/>
    <x v="6"/>
    <x v="6"/>
    <x v="6"/>
    <x v="6"/>
    <x v="0"/>
    <x v="0"/>
    <x v="1"/>
    <x v="1"/>
    <x v="1"/>
    <x v="1"/>
    <x v="1"/>
    <x v="1"/>
    <x v="2"/>
    <x v="2"/>
    <x v="6"/>
    <x v="6"/>
    <x v="6"/>
    <x v="6"/>
    <x v="3"/>
    <x v="3"/>
    <x v="0"/>
    <x v="2"/>
    <x v="6"/>
    <x v="4"/>
    <x v="4"/>
    <x v="6"/>
    <x v="6"/>
    <x v="6"/>
    <x v="6"/>
    <x v="6"/>
    <x v="6"/>
    <x v="0"/>
    <x v="0"/>
    <x v="0"/>
    <x v="0"/>
    <x v="5"/>
    <x v="1"/>
    <x v="0"/>
  </r>
  <r>
    <x v="7"/>
    <x v="7"/>
    <x v="7"/>
    <x v="7"/>
    <x v="7"/>
    <x v="7"/>
    <x v="2"/>
    <x v="2"/>
    <x v="1"/>
    <x v="1"/>
    <x v="2"/>
    <x v="2"/>
    <x v="5"/>
    <x v="5"/>
    <x v="5"/>
    <x v="5"/>
    <x v="0"/>
    <x v="0"/>
    <x v="2"/>
    <x v="2"/>
    <x v="7"/>
    <x v="7"/>
    <x v="2"/>
    <x v="2"/>
    <x v="4"/>
    <x v="5"/>
    <x v="7"/>
    <x v="1"/>
    <x v="1"/>
    <x v="7"/>
    <x v="7"/>
    <x v="7"/>
    <x v="7"/>
    <x v="7"/>
    <x v="7"/>
    <x v="0"/>
    <x v="0"/>
    <x v="0"/>
    <x v="0"/>
    <x v="6"/>
    <x v="1"/>
    <x v="0"/>
  </r>
  <r>
    <x v="8"/>
    <x v="8"/>
    <x v="8"/>
    <x v="8"/>
    <x v="8"/>
    <x v="8"/>
    <x v="7"/>
    <x v="7"/>
    <x v="2"/>
    <x v="2"/>
    <x v="2"/>
    <x v="2"/>
    <x v="2"/>
    <x v="2"/>
    <x v="2"/>
    <x v="2"/>
    <x v="0"/>
    <x v="0"/>
    <x v="7"/>
    <x v="7"/>
    <x v="8"/>
    <x v="8"/>
    <x v="2"/>
    <x v="2"/>
    <x v="1"/>
    <x v="0"/>
    <x v="8"/>
    <x v="1"/>
    <x v="1"/>
    <x v="8"/>
    <x v="8"/>
    <x v="8"/>
    <x v="8"/>
    <x v="8"/>
    <x v="8"/>
    <x v="0"/>
    <x v="0"/>
    <x v="0"/>
    <x v="0"/>
    <x v="3"/>
    <x v="0"/>
    <x v="0"/>
  </r>
  <r>
    <x v="9"/>
    <x v="9"/>
    <x v="9"/>
    <x v="9"/>
    <x v="9"/>
    <x v="9"/>
    <x v="1"/>
    <x v="1"/>
    <x v="3"/>
    <x v="3"/>
    <x v="2"/>
    <x v="2"/>
    <x v="2"/>
    <x v="2"/>
    <x v="2"/>
    <x v="2"/>
    <x v="0"/>
    <x v="0"/>
    <x v="0"/>
    <x v="0"/>
    <x v="9"/>
    <x v="9"/>
    <x v="0"/>
    <x v="0"/>
    <x v="1"/>
    <x v="6"/>
    <x v="9"/>
    <x v="0"/>
    <x v="0"/>
    <x v="9"/>
    <x v="9"/>
    <x v="9"/>
    <x v="9"/>
    <x v="9"/>
    <x v="9"/>
    <x v="0"/>
    <x v="0"/>
    <x v="0"/>
    <x v="0"/>
    <x v="7"/>
    <x v="1"/>
    <x v="0"/>
  </r>
  <r>
    <x v="10"/>
    <x v="10"/>
    <x v="10"/>
    <x v="10"/>
    <x v="10"/>
    <x v="10"/>
    <x v="4"/>
    <x v="4"/>
    <x v="2"/>
    <x v="2"/>
    <x v="1"/>
    <x v="1"/>
    <x v="6"/>
    <x v="6"/>
    <x v="6"/>
    <x v="6"/>
    <x v="0"/>
    <x v="0"/>
    <x v="7"/>
    <x v="7"/>
    <x v="10"/>
    <x v="10"/>
    <x v="0"/>
    <x v="0"/>
    <x v="6"/>
    <x v="1"/>
    <x v="10"/>
    <x v="5"/>
    <x v="5"/>
    <x v="10"/>
    <x v="10"/>
    <x v="10"/>
    <x v="10"/>
    <x v="10"/>
    <x v="10"/>
    <x v="1"/>
    <x v="1"/>
    <x v="2"/>
    <x v="2"/>
    <x v="4"/>
    <x v="1"/>
    <x v="0"/>
  </r>
  <r>
    <x v="11"/>
    <x v="11"/>
    <x v="11"/>
    <x v="11"/>
    <x v="11"/>
    <x v="11"/>
    <x v="5"/>
    <x v="5"/>
    <x v="1"/>
    <x v="1"/>
    <x v="1"/>
    <x v="1"/>
    <x v="1"/>
    <x v="1"/>
    <x v="1"/>
    <x v="1"/>
    <x v="2"/>
    <x v="2"/>
    <x v="5"/>
    <x v="5"/>
    <x v="11"/>
    <x v="11"/>
    <x v="1"/>
    <x v="1"/>
    <x v="3"/>
    <x v="3"/>
    <x v="11"/>
    <x v="0"/>
    <x v="0"/>
    <x v="11"/>
    <x v="11"/>
    <x v="11"/>
    <x v="11"/>
    <x v="11"/>
    <x v="11"/>
    <x v="0"/>
    <x v="0"/>
    <x v="0"/>
    <x v="0"/>
    <x v="0"/>
    <x v="0"/>
    <x v="0"/>
  </r>
  <r>
    <x v="12"/>
    <x v="12"/>
    <x v="12"/>
    <x v="12"/>
    <x v="12"/>
    <x v="12"/>
    <x v="4"/>
    <x v="4"/>
    <x v="4"/>
    <x v="2"/>
    <x v="3"/>
    <x v="3"/>
    <x v="0"/>
    <x v="0"/>
    <x v="7"/>
    <x v="7"/>
    <x v="0"/>
    <x v="0"/>
    <x v="0"/>
    <x v="0"/>
    <x v="12"/>
    <x v="12"/>
    <x v="2"/>
    <x v="2"/>
    <x v="3"/>
    <x v="5"/>
    <x v="12"/>
    <x v="4"/>
    <x v="4"/>
    <x v="12"/>
    <x v="12"/>
    <x v="12"/>
    <x v="12"/>
    <x v="12"/>
    <x v="12"/>
    <x v="2"/>
    <x v="2"/>
    <x v="2"/>
    <x v="2"/>
    <x v="8"/>
    <x v="0"/>
    <x v="0"/>
  </r>
  <r>
    <x v="13"/>
    <x v="13"/>
    <x v="13"/>
    <x v="13"/>
    <x v="13"/>
    <x v="13"/>
    <x v="8"/>
    <x v="8"/>
    <x v="1"/>
    <x v="1"/>
    <x v="3"/>
    <x v="3"/>
    <x v="3"/>
    <x v="3"/>
    <x v="3"/>
    <x v="3"/>
    <x v="0"/>
    <x v="0"/>
    <x v="2"/>
    <x v="2"/>
    <x v="13"/>
    <x v="13"/>
    <x v="0"/>
    <x v="0"/>
    <x v="5"/>
    <x v="4"/>
    <x v="13"/>
    <x v="5"/>
    <x v="5"/>
    <x v="13"/>
    <x v="13"/>
    <x v="13"/>
    <x v="13"/>
    <x v="13"/>
    <x v="13"/>
    <x v="0"/>
    <x v="0"/>
    <x v="0"/>
    <x v="0"/>
    <x v="9"/>
    <x v="1"/>
    <x v="0"/>
  </r>
  <r>
    <x v="14"/>
    <x v="14"/>
    <x v="14"/>
    <x v="14"/>
    <x v="14"/>
    <x v="14"/>
    <x v="9"/>
    <x v="9"/>
    <x v="0"/>
    <x v="0"/>
    <x v="3"/>
    <x v="3"/>
    <x v="0"/>
    <x v="0"/>
    <x v="7"/>
    <x v="7"/>
    <x v="2"/>
    <x v="2"/>
    <x v="6"/>
    <x v="6"/>
    <x v="14"/>
    <x v="14"/>
    <x v="3"/>
    <x v="3"/>
    <x v="3"/>
    <x v="7"/>
    <x v="14"/>
    <x v="3"/>
    <x v="3"/>
    <x v="14"/>
    <x v="14"/>
    <x v="14"/>
    <x v="14"/>
    <x v="14"/>
    <x v="14"/>
    <x v="0"/>
    <x v="0"/>
    <x v="0"/>
    <x v="0"/>
    <x v="8"/>
    <x v="0"/>
    <x v="0"/>
  </r>
  <r>
    <x v="15"/>
    <x v="15"/>
    <x v="15"/>
    <x v="15"/>
    <x v="15"/>
    <x v="15"/>
    <x v="0"/>
    <x v="0"/>
    <x v="1"/>
    <x v="1"/>
    <x v="4"/>
    <x v="0"/>
    <x v="7"/>
    <x v="7"/>
    <x v="8"/>
    <x v="8"/>
    <x v="0"/>
    <x v="0"/>
    <x v="8"/>
    <x v="8"/>
    <x v="15"/>
    <x v="15"/>
    <x v="0"/>
    <x v="0"/>
    <x v="6"/>
    <x v="3"/>
    <x v="15"/>
    <x v="1"/>
    <x v="1"/>
    <x v="15"/>
    <x v="15"/>
    <x v="15"/>
    <x v="15"/>
    <x v="15"/>
    <x v="15"/>
    <x v="0"/>
    <x v="0"/>
    <x v="0"/>
    <x v="0"/>
    <x v="0"/>
    <x v="0"/>
    <x v="0"/>
  </r>
  <r>
    <x v="16"/>
    <x v="16"/>
    <x v="16"/>
    <x v="16"/>
    <x v="16"/>
    <x v="16"/>
    <x v="10"/>
    <x v="10"/>
    <x v="0"/>
    <x v="0"/>
    <x v="2"/>
    <x v="2"/>
    <x v="2"/>
    <x v="2"/>
    <x v="2"/>
    <x v="2"/>
    <x v="0"/>
    <x v="0"/>
    <x v="2"/>
    <x v="2"/>
    <x v="16"/>
    <x v="16"/>
    <x v="2"/>
    <x v="2"/>
    <x v="2"/>
    <x v="2"/>
    <x v="16"/>
    <x v="3"/>
    <x v="3"/>
    <x v="16"/>
    <x v="16"/>
    <x v="16"/>
    <x v="16"/>
    <x v="16"/>
    <x v="16"/>
    <x v="0"/>
    <x v="0"/>
    <x v="0"/>
    <x v="0"/>
    <x v="4"/>
    <x v="0"/>
    <x v="0"/>
  </r>
  <r>
    <x v="17"/>
    <x v="17"/>
    <x v="17"/>
    <x v="17"/>
    <x v="17"/>
    <x v="17"/>
    <x v="11"/>
    <x v="11"/>
    <x v="1"/>
    <x v="1"/>
    <x v="4"/>
    <x v="0"/>
    <x v="0"/>
    <x v="0"/>
    <x v="0"/>
    <x v="0"/>
    <x v="1"/>
    <x v="1"/>
    <x v="3"/>
    <x v="3"/>
    <x v="17"/>
    <x v="17"/>
    <x v="1"/>
    <x v="1"/>
    <x v="3"/>
    <x v="8"/>
    <x v="17"/>
    <x v="1"/>
    <x v="1"/>
    <x v="17"/>
    <x v="17"/>
    <x v="17"/>
    <x v="17"/>
    <x v="17"/>
    <x v="17"/>
    <x v="0"/>
    <x v="0"/>
    <x v="0"/>
    <x v="0"/>
    <x v="10"/>
    <x v="0"/>
    <x v="0"/>
  </r>
  <r>
    <x v="18"/>
    <x v="18"/>
    <x v="18"/>
    <x v="18"/>
    <x v="18"/>
    <x v="18"/>
    <x v="10"/>
    <x v="10"/>
    <x v="3"/>
    <x v="3"/>
    <x v="4"/>
    <x v="0"/>
    <x v="8"/>
    <x v="8"/>
    <x v="9"/>
    <x v="9"/>
    <x v="2"/>
    <x v="2"/>
    <x v="6"/>
    <x v="6"/>
    <x v="18"/>
    <x v="18"/>
    <x v="2"/>
    <x v="2"/>
    <x v="7"/>
    <x v="7"/>
    <x v="18"/>
    <x v="1"/>
    <x v="1"/>
    <x v="18"/>
    <x v="18"/>
    <x v="18"/>
    <x v="18"/>
    <x v="18"/>
    <x v="18"/>
    <x v="1"/>
    <x v="1"/>
    <x v="1"/>
    <x v="1"/>
    <x v="0"/>
    <x v="1"/>
    <x v="0"/>
  </r>
  <r>
    <x v="19"/>
    <x v="19"/>
    <x v="19"/>
    <x v="19"/>
    <x v="19"/>
    <x v="19"/>
    <x v="12"/>
    <x v="12"/>
    <x v="3"/>
    <x v="3"/>
    <x v="3"/>
    <x v="3"/>
    <x v="4"/>
    <x v="4"/>
    <x v="4"/>
    <x v="4"/>
    <x v="0"/>
    <x v="0"/>
    <x v="8"/>
    <x v="8"/>
    <x v="19"/>
    <x v="19"/>
    <x v="0"/>
    <x v="0"/>
    <x v="5"/>
    <x v="1"/>
    <x v="19"/>
    <x v="6"/>
    <x v="1"/>
    <x v="19"/>
    <x v="19"/>
    <x v="19"/>
    <x v="19"/>
    <x v="19"/>
    <x v="19"/>
    <x v="0"/>
    <x v="0"/>
    <x v="0"/>
    <x v="0"/>
    <x v="0"/>
    <x v="0"/>
    <x v="1"/>
  </r>
  <r>
    <x v="20"/>
    <x v="20"/>
    <x v="20"/>
    <x v="20"/>
    <x v="20"/>
    <x v="20"/>
    <x v="7"/>
    <x v="7"/>
    <x v="3"/>
    <x v="3"/>
    <x v="1"/>
    <x v="1"/>
    <x v="9"/>
    <x v="9"/>
    <x v="10"/>
    <x v="10"/>
    <x v="2"/>
    <x v="2"/>
    <x v="6"/>
    <x v="6"/>
    <x v="20"/>
    <x v="20"/>
    <x v="2"/>
    <x v="2"/>
    <x v="7"/>
    <x v="8"/>
    <x v="20"/>
    <x v="3"/>
    <x v="3"/>
    <x v="20"/>
    <x v="20"/>
    <x v="20"/>
    <x v="20"/>
    <x v="20"/>
    <x v="20"/>
    <x v="0"/>
    <x v="0"/>
    <x v="0"/>
    <x v="0"/>
    <x v="10"/>
    <x v="1"/>
    <x v="0"/>
  </r>
  <r>
    <x v="21"/>
    <x v="21"/>
    <x v="21"/>
    <x v="21"/>
    <x v="21"/>
    <x v="21"/>
    <x v="11"/>
    <x v="11"/>
    <x v="0"/>
    <x v="0"/>
    <x v="3"/>
    <x v="3"/>
    <x v="4"/>
    <x v="4"/>
    <x v="4"/>
    <x v="4"/>
    <x v="1"/>
    <x v="1"/>
    <x v="3"/>
    <x v="3"/>
    <x v="21"/>
    <x v="21"/>
    <x v="0"/>
    <x v="0"/>
    <x v="0"/>
    <x v="2"/>
    <x v="21"/>
    <x v="7"/>
    <x v="1"/>
    <x v="21"/>
    <x v="21"/>
    <x v="21"/>
    <x v="21"/>
    <x v="21"/>
    <x v="21"/>
    <x v="0"/>
    <x v="0"/>
    <x v="0"/>
    <x v="0"/>
    <x v="10"/>
    <x v="1"/>
    <x v="1"/>
  </r>
  <r>
    <x v="22"/>
    <x v="22"/>
    <x v="22"/>
    <x v="22"/>
    <x v="22"/>
    <x v="22"/>
    <x v="1"/>
    <x v="1"/>
    <x v="0"/>
    <x v="0"/>
    <x v="2"/>
    <x v="2"/>
    <x v="2"/>
    <x v="2"/>
    <x v="2"/>
    <x v="2"/>
    <x v="0"/>
    <x v="0"/>
    <x v="9"/>
    <x v="9"/>
    <x v="22"/>
    <x v="22"/>
    <x v="3"/>
    <x v="3"/>
    <x v="7"/>
    <x v="0"/>
    <x v="22"/>
    <x v="4"/>
    <x v="4"/>
    <x v="22"/>
    <x v="22"/>
    <x v="22"/>
    <x v="22"/>
    <x v="22"/>
    <x v="22"/>
    <x v="3"/>
    <x v="3"/>
    <x v="2"/>
    <x v="2"/>
    <x v="10"/>
    <x v="1"/>
    <x v="0"/>
  </r>
  <r>
    <x v="23"/>
    <x v="4"/>
    <x v="4"/>
    <x v="23"/>
    <x v="23"/>
    <x v="23"/>
    <x v="9"/>
    <x v="9"/>
    <x v="3"/>
    <x v="3"/>
    <x v="1"/>
    <x v="1"/>
    <x v="9"/>
    <x v="9"/>
    <x v="10"/>
    <x v="10"/>
    <x v="1"/>
    <x v="1"/>
    <x v="10"/>
    <x v="10"/>
    <x v="23"/>
    <x v="23"/>
    <x v="2"/>
    <x v="2"/>
    <x v="7"/>
    <x v="2"/>
    <x v="23"/>
    <x v="0"/>
    <x v="0"/>
    <x v="23"/>
    <x v="23"/>
    <x v="23"/>
    <x v="23"/>
    <x v="23"/>
    <x v="23"/>
    <x v="0"/>
    <x v="0"/>
    <x v="0"/>
    <x v="0"/>
    <x v="1"/>
    <x v="1"/>
    <x v="0"/>
  </r>
  <r>
    <x v="24"/>
    <x v="23"/>
    <x v="23"/>
    <x v="24"/>
    <x v="24"/>
    <x v="24"/>
    <x v="13"/>
    <x v="13"/>
    <x v="0"/>
    <x v="0"/>
    <x v="4"/>
    <x v="0"/>
    <x v="7"/>
    <x v="7"/>
    <x v="8"/>
    <x v="8"/>
    <x v="0"/>
    <x v="0"/>
    <x v="2"/>
    <x v="2"/>
    <x v="24"/>
    <x v="24"/>
    <x v="3"/>
    <x v="3"/>
    <x v="8"/>
    <x v="2"/>
    <x v="24"/>
    <x v="3"/>
    <x v="3"/>
    <x v="24"/>
    <x v="24"/>
    <x v="24"/>
    <x v="24"/>
    <x v="24"/>
    <x v="24"/>
    <x v="2"/>
    <x v="2"/>
    <x v="1"/>
    <x v="1"/>
    <x v="11"/>
    <x v="0"/>
    <x v="2"/>
  </r>
  <r>
    <x v="25"/>
    <x v="24"/>
    <x v="24"/>
    <x v="25"/>
    <x v="25"/>
    <x v="25"/>
    <x v="3"/>
    <x v="3"/>
    <x v="2"/>
    <x v="2"/>
    <x v="1"/>
    <x v="1"/>
    <x v="10"/>
    <x v="10"/>
    <x v="11"/>
    <x v="11"/>
    <x v="2"/>
    <x v="2"/>
    <x v="5"/>
    <x v="5"/>
    <x v="25"/>
    <x v="25"/>
    <x v="2"/>
    <x v="2"/>
    <x v="9"/>
    <x v="7"/>
    <x v="25"/>
    <x v="4"/>
    <x v="4"/>
    <x v="25"/>
    <x v="25"/>
    <x v="25"/>
    <x v="25"/>
    <x v="25"/>
    <x v="25"/>
    <x v="0"/>
    <x v="0"/>
    <x v="0"/>
    <x v="0"/>
    <x v="9"/>
    <x v="0"/>
    <x v="0"/>
  </r>
  <r>
    <x v="26"/>
    <x v="25"/>
    <x v="25"/>
    <x v="26"/>
    <x v="26"/>
    <x v="26"/>
    <x v="13"/>
    <x v="13"/>
    <x v="2"/>
    <x v="2"/>
    <x v="4"/>
    <x v="0"/>
    <x v="8"/>
    <x v="8"/>
    <x v="9"/>
    <x v="9"/>
    <x v="2"/>
    <x v="2"/>
    <x v="11"/>
    <x v="11"/>
    <x v="26"/>
    <x v="26"/>
    <x v="3"/>
    <x v="3"/>
    <x v="6"/>
    <x v="2"/>
    <x v="26"/>
    <x v="8"/>
    <x v="6"/>
    <x v="26"/>
    <x v="26"/>
    <x v="26"/>
    <x v="26"/>
    <x v="26"/>
    <x v="26"/>
    <x v="4"/>
    <x v="0"/>
    <x v="2"/>
    <x v="2"/>
    <x v="3"/>
    <x v="0"/>
    <x v="0"/>
  </r>
  <r>
    <x v="27"/>
    <x v="26"/>
    <x v="26"/>
    <x v="27"/>
    <x v="27"/>
    <x v="27"/>
    <x v="3"/>
    <x v="3"/>
    <x v="1"/>
    <x v="1"/>
    <x v="2"/>
    <x v="2"/>
    <x v="11"/>
    <x v="11"/>
    <x v="12"/>
    <x v="12"/>
    <x v="0"/>
    <x v="0"/>
    <x v="0"/>
    <x v="0"/>
    <x v="27"/>
    <x v="27"/>
    <x v="0"/>
    <x v="0"/>
    <x v="0"/>
    <x v="8"/>
    <x v="27"/>
    <x v="3"/>
    <x v="3"/>
    <x v="27"/>
    <x v="27"/>
    <x v="27"/>
    <x v="27"/>
    <x v="27"/>
    <x v="27"/>
    <x v="3"/>
    <x v="3"/>
    <x v="2"/>
    <x v="2"/>
    <x v="7"/>
    <x v="1"/>
    <x v="0"/>
  </r>
  <r>
    <x v="28"/>
    <x v="24"/>
    <x v="24"/>
    <x v="28"/>
    <x v="28"/>
    <x v="28"/>
    <x v="4"/>
    <x v="4"/>
    <x v="3"/>
    <x v="3"/>
    <x v="3"/>
    <x v="3"/>
    <x v="12"/>
    <x v="12"/>
    <x v="13"/>
    <x v="13"/>
    <x v="2"/>
    <x v="2"/>
    <x v="11"/>
    <x v="11"/>
    <x v="28"/>
    <x v="28"/>
    <x v="0"/>
    <x v="0"/>
    <x v="2"/>
    <x v="7"/>
    <x v="28"/>
    <x v="3"/>
    <x v="3"/>
    <x v="28"/>
    <x v="28"/>
    <x v="28"/>
    <x v="28"/>
    <x v="28"/>
    <x v="28"/>
    <x v="1"/>
    <x v="1"/>
    <x v="1"/>
    <x v="1"/>
    <x v="9"/>
    <x v="0"/>
    <x v="0"/>
  </r>
  <r>
    <x v="29"/>
    <x v="27"/>
    <x v="27"/>
    <x v="29"/>
    <x v="29"/>
    <x v="29"/>
    <x v="12"/>
    <x v="12"/>
    <x v="3"/>
    <x v="3"/>
    <x v="2"/>
    <x v="2"/>
    <x v="13"/>
    <x v="13"/>
    <x v="14"/>
    <x v="14"/>
    <x v="2"/>
    <x v="2"/>
    <x v="11"/>
    <x v="11"/>
    <x v="29"/>
    <x v="29"/>
    <x v="3"/>
    <x v="3"/>
    <x v="6"/>
    <x v="5"/>
    <x v="29"/>
    <x v="4"/>
    <x v="4"/>
    <x v="29"/>
    <x v="29"/>
    <x v="29"/>
    <x v="29"/>
    <x v="29"/>
    <x v="29"/>
    <x v="0"/>
    <x v="0"/>
    <x v="0"/>
    <x v="0"/>
    <x v="1"/>
    <x v="1"/>
    <x v="0"/>
  </r>
  <r>
    <x v="30"/>
    <x v="28"/>
    <x v="28"/>
    <x v="30"/>
    <x v="30"/>
    <x v="30"/>
    <x v="4"/>
    <x v="4"/>
    <x v="2"/>
    <x v="2"/>
    <x v="3"/>
    <x v="3"/>
    <x v="14"/>
    <x v="14"/>
    <x v="15"/>
    <x v="15"/>
    <x v="0"/>
    <x v="0"/>
    <x v="7"/>
    <x v="7"/>
    <x v="30"/>
    <x v="30"/>
    <x v="2"/>
    <x v="2"/>
    <x v="4"/>
    <x v="5"/>
    <x v="30"/>
    <x v="8"/>
    <x v="6"/>
    <x v="30"/>
    <x v="30"/>
    <x v="30"/>
    <x v="30"/>
    <x v="30"/>
    <x v="30"/>
    <x v="0"/>
    <x v="0"/>
    <x v="0"/>
    <x v="0"/>
    <x v="6"/>
    <x v="0"/>
    <x v="0"/>
  </r>
  <r>
    <x v="31"/>
    <x v="29"/>
    <x v="29"/>
    <x v="31"/>
    <x v="31"/>
    <x v="31"/>
    <x v="0"/>
    <x v="0"/>
    <x v="1"/>
    <x v="1"/>
    <x v="3"/>
    <x v="3"/>
    <x v="4"/>
    <x v="4"/>
    <x v="4"/>
    <x v="4"/>
    <x v="0"/>
    <x v="0"/>
    <x v="0"/>
    <x v="0"/>
    <x v="31"/>
    <x v="31"/>
    <x v="0"/>
    <x v="0"/>
    <x v="5"/>
    <x v="6"/>
    <x v="31"/>
    <x v="1"/>
    <x v="1"/>
    <x v="31"/>
    <x v="31"/>
    <x v="31"/>
    <x v="31"/>
    <x v="31"/>
    <x v="31"/>
    <x v="3"/>
    <x v="3"/>
    <x v="2"/>
    <x v="2"/>
    <x v="2"/>
    <x v="1"/>
    <x v="0"/>
  </r>
  <r>
    <x v="32"/>
    <x v="30"/>
    <x v="30"/>
    <x v="32"/>
    <x v="32"/>
    <x v="32"/>
    <x v="10"/>
    <x v="10"/>
    <x v="2"/>
    <x v="2"/>
    <x v="2"/>
    <x v="2"/>
    <x v="5"/>
    <x v="5"/>
    <x v="5"/>
    <x v="5"/>
    <x v="2"/>
    <x v="2"/>
    <x v="11"/>
    <x v="11"/>
    <x v="32"/>
    <x v="32"/>
    <x v="0"/>
    <x v="0"/>
    <x v="5"/>
    <x v="1"/>
    <x v="32"/>
    <x v="9"/>
    <x v="1"/>
    <x v="32"/>
    <x v="32"/>
    <x v="32"/>
    <x v="32"/>
    <x v="32"/>
    <x v="32"/>
    <x v="0"/>
    <x v="0"/>
    <x v="0"/>
    <x v="0"/>
    <x v="3"/>
    <x v="0"/>
    <x v="1"/>
  </r>
  <r>
    <x v="33"/>
    <x v="31"/>
    <x v="11"/>
    <x v="33"/>
    <x v="0"/>
    <x v="33"/>
    <x v="8"/>
    <x v="8"/>
    <x v="3"/>
    <x v="3"/>
    <x v="3"/>
    <x v="3"/>
    <x v="14"/>
    <x v="14"/>
    <x v="15"/>
    <x v="15"/>
    <x v="1"/>
    <x v="1"/>
    <x v="1"/>
    <x v="1"/>
    <x v="33"/>
    <x v="33"/>
    <x v="1"/>
    <x v="1"/>
    <x v="1"/>
    <x v="4"/>
    <x v="33"/>
    <x v="3"/>
    <x v="3"/>
    <x v="33"/>
    <x v="33"/>
    <x v="33"/>
    <x v="33"/>
    <x v="33"/>
    <x v="33"/>
    <x v="0"/>
    <x v="0"/>
    <x v="0"/>
    <x v="0"/>
    <x v="0"/>
    <x v="0"/>
    <x v="0"/>
  </r>
  <r>
    <x v="34"/>
    <x v="32"/>
    <x v="31"/>
    <x v="34"/>
    <x v="33"/>
    <x v="34"/>
    <x v="8"/>
    <x v="8"/>
    <x v="3"/>
    <x v="3"/>
    <x v="1"/>
    <x v="1"/>
    <x v="6"/>
    <x v="6"/>
    <x v="6"/>
    <x v="6"/>
    <x v="1"/>
    <x v="1"/>
    <x v="4"/>
    <x v="4"/>
    <x v="34"/>
    <x v="34"/>
    <x v="4"/>
    <x v="4"/>
    <x v="1"/>
    <x v="7"/>
    <x v="34"/>
    <x v="0"/>
    <x v="0"/>
    <x v="34"/>
    <x v="34"/>
    <x v="34"/>
    <x v="34"/>
    <x v="34"/>
    <x v="34"/>
    <x v="0"/>
    <x v="0"/>
    <x v="0"/>
    <x v="0"/>
    <x v="10"/>
    <x v="1"/>
    <x v="0"/>
  </r>
  <r>
    <x v="35"/>
    <x v="33"/>
    <x v="32"/>
    <x v="35"/>
    <x v="34"/>
    <x v="35"/>
    <x v="11"/>
    <x v="11"/>
    <x v="1"/>
    <x v="1"/>
    <x v="3"/>
    <x v="3"/>
    <x v="12"/>
    <x v="12"/>
    <x v="13"/>
    <x v="13"/>
    <x v="1"/>
    <x v="1"/>
    <x v="10"/>
    <x v="10"/>
    <x v="35"/>
    <x v="35"/>
    <x v="0"/>
    <x v="0"/>
    <x v="6"/>
    <x v="0"/>
    <x v="35"/>
    <x v="5"/>
    <x v="5"/>
    <x v="35"/>
    <x v="35"/>
    <x v="35"/>
    <x v="35"/>
    <x v="35"/>
    <x v="35"/>
    <x v="2"/>
    <x v="2"/>
    <x v="2"/>
    <x v="2"/>
    <x v="4"/>
    <x v="0"/>
    <x v="0"/>
  </r>
  <r>
    <x v="36"/>
    <x v="34"/>
    <x v="33"/>
    <x v="36"/>
    <x v="35"/>
    <x v="36"/>
    <x v="12"/>
    <x v="12"/>
    <x v="2"/>
    <x v="2"/>
    <x v="3"/>
    <x v="3"/>
    <x v="3"/>
    <x v="3"/>
    <x v="3"/>
    <x v="3"/>
    <x v="1"/>
    <x v="1"/>
    <x v="10"/>
    <x v="10"/>
    <x v="36"/>
    <x v="36"/>
    <x v="0"/>
    <x v="0"/>
    <x v="4"/>
    <x v="1"/>
    <x v="36"/>
    <x v="1"/>
    <x v="1"/>
    <x v="36"/>
    <x v="36"/>
    <x v="36"/>
    <x v="36"/>
    <x v="36"/>
    <x v="36"/>
    <x v="0"/>
    <x v="0"/>
    <x v="2"/>
    <x v="2"/>
    <x v="9"/>
    <x v="0"/>
    <x v="0"/>
  </r>
  <r>
    <x v="37"/>
    <x v="35"/>
    <x v="34"/>
    <x v="37"/>
    <x v="36"/>
    <x v="37"/>
    <x v="13"/>
    <x v="13"/>
    <x v="0"/>
    <x v="0"/>
    <x v="3"/>
    <x v="3"/>
    <x v="3"/>
    <x v="3"/>
    <x v="3"/>
    <x v="3"/>
    <x v="2"/>
    <x v="2"/>
    <x v="6"/>
    <x v="6"/>
    <x v="37"/>
    <x v="37"/>
    <x v="3"/>
    <x v="3"/>
    <x v="6"/>
    <x v="2"/>
    <x v="37"/>
    <x v="0"/>
    <x v="0"/>
    <x v="37"/>
    <x v="37"/>
    <x v="37"/>
    <x v="37"/>
    <x v="37"/>
    <x v="37"/>
    <x v="0"/>
    <x v="0"/>
    <x v="0"/>
    <x v="0"/>
    <x v="0"/>
    <x v="1"/>
    <x v="0"/>
  </r>
  <r>
    <x v="38"/>
    <x v="36"/>
    <x v="35"/>
    <x v="38"/>
    <x v="37"/>
    <x v="38"/>
    <x v="10"/>
    <x v="10"/>
    <x v="2"/>
    <x v="2"/>
    <x v="3"/>
    <x v="3"/>
    <x v="12"/>
    <x v="12"/>
    <x v="13"/>
    <x v="13"/>
    <x v="2"/>
    <x v="2"/>
    <x v="11"/>
    <x v="11"/>
    <x v="38"/>
    <x v="38"/>
    <x v="2"/>
    <x v="2"/>
    <x v="1"/>
    <x v="4"/>
    <x v="38"/>
    <x v="8"/>
    <x v="6"/>
    <x v="38"/>
    <x v="38"/>
    <x v="38"/>
    <x v="38"/>
    <x v="38"/>
    <x v="38"/>
    <x v="0"/>
    <x v="0"/>
    <x v="0"/>
    <x v="0"/>
    <x v="2"/>
    <x v="0"/>
    <x v="0"/>
  </r>
  <r>
    <x v="39"/>
    <x v="37"/>
    <x v="36"/>
    <x v="39"/>
    <x v="38"/>
    <x v="39"/>
    <x v="1"/>
    <x v="1"/>
    <x v="1"/>
    <x v="1"/>
    <x v="3"/>
    <x v="3"/>
    <x v="4"/>
    <x v="4"/>
    <x v="4"/>
    <x v="4"/>
    <x v="2"/>
    <x v="2"/>
    <x v="6"/>
    <x v="6"/>
    <x v="39"/>
    <x v="39"/>
    <x v="2"/>
    <x v="2"/>
    <x v="6"/>
    <x v="2"/>
    <x v="39"/>
    <x v="8"/>
    <x v="6"/>
    <x v="39"/>
    <x v="39"/>
    <x v="39"/>
    <x v="39"/>
    <x v="39"/>
    <x v="39"/>
    <x v="2"/>
    <x v="2"/>
    <x v="2"/>
    <x v="2"/>
    <x v="8"/>
    <x v="0"/>
    <x v="0"/>
  </r>
  <r>
    <x v="40"/>
    <x v="38"/>
    <x v="37"/>
    <x v="40"/>
    <x v="39"/>
    <x v="40"/>
    <x v="2"/>
    <x v="2"/>
    <x v="3"/>
    <x v="3"/>
    <x v="3"/>
    <x v="3"/>
    <x v="0"/>
    <x v="0"/>
    <x v="7"/>
    <x v="7"/>
    <x v="2"/>
    <x v="2"/>
    <x v="6"/>
    <x v="6"/>
    <x v="40"/>
    <x v="40"/>
    <x v="3"/>
    <x v="3"/>
    <x v="0"/>
    <x v="4"/>
    <x v="40"/>
    <x v="0"/>
    <x v="0"/>
    <x v="40"/>
    <x v="40"/>
    <x v="40"/>
    <x v="40"/>
    <x v="40"/>
    <x v="40"/>
    <x v="0"/>
    <x v="0"/>
    <x v="0"/>
    <x v="0"/>
    <x v="9"/>
    <x v="0"/>
    <x v="0"/>
  </r>
  <r>
    <x v="41"/>
    <x v="39"/>
    <x v="38"/>
    <x v="41"/>
    <x v="40"/>
    <x v="41"/>
    <x v="10"/>
    <x v="10"/>
    <x v="1"/>
    <x v="1"/>
    <x v="1"/>
    <x v="1"/>
    <x v="1"/>
    <x v="1"/>
    <x v="1"/>
    <x v="1"/>
    <x v="1"/>
    <x v="1"/>
    <x v="10"/>
    <x v="10"/>
    <x v="41"/>
    <x v="41"/>
    <x v="1"/>
    <x v="1"/>
    <x v="1"/>
    <x v="0"/>
    <x v="41"/>
    <x v="1"/>
    <x v="1"/>
    <x v="41"/>
    <x v="41"/>
    <x v="41"/>
    <x v="41"/>
    <x v="41"/>
    <x v="41"/>
    <x v="2"/>
    <x v="2"/>
    <x v="1"/>
    <x v="1"/>
    <x v="11"/>
    <x v="0"/>
    <x v="0"/>
  </r>
  <r>
    <x v="42"/>
    <x v="40"/>
    <x v="39"/>
    <x v="42"/>
    <x v="41"/>
    <x v="42"/>
    <x v="3"/>
    <x v="3"/>
    <x v="2"/>
    <x v="2"/>
    <x v="1"/>
    <x v="1"/>
    <x v="15"/>
    <x v="15"/>
    <x v="16"/>
    <x v="16"/>
    <x v="2"/>
    <x v="2"/>
    <x v="11"/>
    <x v="11"/>
    <x v="42"/>
    <x v="42"/>
    <x v="3"/>
    <x v="3"/>
    <x v="1"/>
    <x v="0"/>
    <x v="42"/>
    <x v="5"/>
    <x v="5"/>
    <x v="42"/>
    <x v="42"/>
    <x v="42"/>
    <x v="42"/>
    <x v="42"/>
    <x v="42"/>
    <x v="0"/>
    <x v="0"/>
    <x v="0"/>
    <x v="0"/>
    <x v="9"/>
    <x v="1"/>
    <x v="0"/>
  </r>
  <r>
    <x v="43"/>
    <x v="41"/>
    <x v="40"/>
    <x v="43"/>
    <x v="42"/>
    <x v="43"/>
    <x v="8"/>
    <x v="8"/>
    <x v="1"/>
    <x v="1"/>
    <x v="1"/>
    <x v="1"/>
    <x v="1"/>
    <x v="1"/>
    <x v="1"/>
    <x v="1"/>
    <x v="1"/>
    <x v="1"/>
    <x v="3"/>
    <x v="3"/>
    <x v="43"/>
    <x v="43"/>
    <x v="1"/>
    <x v="1"/>
    <x v="0"/>
    <x v="1"/>
    <x v="43"/>
    <x v="1"/>
    <x v="1"/>
    <x v="43"/>
    <x v="43"/>
    <x v="43"/>
    <x v="43"/>
    <x v="43"/>
    <x v="43"/>
    <x v="0"/>
    <x v="0"/>
    <x v="0"/>
    <x v="0"/>
    <x v="0"/>
    <x v="0"/>
    <x v="0"/>
  </r>
  <r>
    <x v="44"/>
    <x v="42"/>
    <x v="41"/>
    <x v="44"/>
    <x v="43"/>
    <x v="44"/>
    <x v="12"/>
    <x v="12"/>
    <x v="1"/>
    <x v="1"/>
    <x v="4"/>
    <x v="0"/>
    <x v="16"/>
    <x v="16"/>
    <x v="17"/>
    <x v="17"/>
    <x v="1"/>
    <x v="1"/>
    <x v="4"/>
    <x v="4"/>
    <x v="44"/>
    <x v="44"/>
    <x v="3"/>
    <x v="3"/>
    <x v="4"/>
    <x v="6"/>
    <x v="44"/>
    <x v="8"/>
    <x v="6"/>
    <x v="44"/>
    <x v="44"/>
    <x v="44"/>
    <x v="44"/>
    <x v="44"/>
    <x v="44"/>
    <x v="0"/>
    <x v="0"/>
    <x v="0"/>
    <x v="0"/>
    <x v="2"/>
    <x v="0"/>
    <x v="0"/>
  </r>
  <r>
    <x v="45"/>
    <x v="43"/>
    <x v="42"/>
    <x v="45"/>
    <x v="44"/>
    <x v="45"/>
    <x v="2"/>
    <x v="2"/>
    <x v="3"/>
    <x v="3"/>
    <x v="1"/>
    <x v="1"/>
    <x v="9"/>
    <x v="9"/>
    <x v="10"/>
    <x v="10"/>
    <x v="0"/>
    <x v="0"/>
    <x v="2"/>
    <x v="2"/>
    <x v="45"/>
    <x v="45"/>
    <x v="0"/>
    <x v="0"/>
    <x v="0"/>
    <x v="0"/>
    <x v="45"/>
    <x v="5"/>
    <x v="5"/>
    <x v="45"/>
    <x v="45"/>
    <x v="45"/>
    <x v="45"/>
    <x v="45"/>
    <x v="45"/>
    <x v="2"/>
    <x v="2"/>
    <x v="2"/>
    <x v="2"/>
    <x v="10"/>
    <x v="0"/>
    <x v="0"/>
  </r>
  <r>
    <x v="46"/>
    <x v="44"/>
    <x v="43"/>
    <x v="46"/>
    <x v="45"/>
    <x v="46"/>
    <x v="4"/>
    <x v="4"/>
    <x v="1"/>
    <x v="1"/>
    <x v="2"/>
    <x v="2"/>
    <x v="13"/>
    <x v="13"/>
    <x v="14"/>
    <x v="14"/>
    <x v="1"/>
    <x v="1"/>
    <x v="10"/>
    <x v="10"/>
    <x v="46"/>
    <x v="46"/>
    <x v="3"/>
    <x v="3"/>
    <x v="6"/>
    <x v="6"/>
    <x v="46"/>
    <x v="3"/>
    <x v="3"/>
    <x v="46"/>
    <x v="46"/>
    <x v="46"/>
    <x v="46"/>
    <x v="46"/>
    <x v="46"/>
    <x v="1"/>
    <x v="1"/>
    <x v="2"/>
    <x v="2"/>
    <x v="0"/>
    <x v="0"/>
    <x v="0"/>
  </r>
  <r>
    <x v="47"/>
    <x v="45"/>
    <x v="44"/>
    <x v="47"/>
    <x v="46"/>
    <x v="47"/>
    <x v="9"/>
    <x v="9"/>
    <x v="2"/>
    <x v="2"/>
    <x v="2"/>
    <x v="2"/>
    <x v="17"/>
    <x v="17"/>
    <x v="18"/>
    <x v="18"/>
    <x v="0"/>
    <x v="0"/>
    <x v="8"/>
    <x v="8"/>
    <x v="47"/>
    <x v="47"/>
    <x v="3"/>
    <x v="3"/>
    <x v="6"/>
    <x v="0"/>
    <x v="47"/>
    <x v="8"/>
    <x v="6"/>
    <x v="47"/>
    <x v="47"/>
    <x v="47"/>
    <x v="47"/>
    <x v="47"/>
    <x v="47"/>
    <x v="0"/>
    <x v="0"/>
    <x v="0"/>
    <x v="0"/>
    <x v="1"/>
    <x v="0"/>
    <x v="0"/>
  </r>
  <r>
    <x v="48"/>
    <x v="46"/>
    <x v="45"/>
    <x v="48"/>
    <x v="33"/>
    <x v="48"/>
    <x v="6"/>
    <x v="6"/>
    <x v="2"/>
    <x v="2"/>
    <x v="3"/>
    <x v="3"/>
    <x v="3"/>
    <x v="3"/>
    <x v="3"/>
    <x v="3"/>
    <x v="1"/>
    <x v="1"/>
    <x v="4"/>
    <x v="4"/>
    <x v="48"/>
    <x v="48"/>
    <x v="5"/>
    <x v="0"/>
    <x v="0"/>
    <x v="4"/>
    <x v="48"/>
    <x v="1"/>
    <x v="1"/>
    <x v="48"/>
    <x v="48"/>
    <x v="48"/>
    <x v="48"/>
    <x v="48"/>
    <x v="48"/>
    <x v="0"/>
    <x v="0"/>
    <x v="0"/>
    <x v="0"/>
    <x v="10"/>
    <x v="1"/>
    <x v="0"/>
  </r>
  <r>
    <x v="49"/>
    <x v="47"/>
    <x v="46"/>
    <x v="49"/>
    <x v="47"/>
    <x v="49"/>
    <x v="10"/>
    <x v="10"/>
    <x v="3"/>
    <x v="3"/>
    <x v="4"/>
    <x v="0"/>
    <x v="8"/>
    <x v="8"/>
    <x v="9"/>
    <x v="9"/>
    <x v="2"/>
    <x v="2"/>
    <x v="6"/>
    <x v="6"/>
    <x v="49"/>
    <x v="49"/>
    <x v="0"/>
    <x v="0"/>
    <x v="2"/>
    <x v="6"/>
    <x v="49"/>
    <x v="5"/>
    <x v="5"/>
    <x v="49"/>
    <x v="49"/>
    <x v="49"/>
    <x v="49"/>
    <x v="49"/>
    <x v="49"/>
    <x v="0"/>
    <x v="0"/>
    <x v="0"/>
    <x v="0"/>
    <x v="5"/>
    <x v="0"/>
    <x v="0"/>
  </r>
  <r>
    <x v="50"/>
    <x v="48"/>
    <x v="47"/>
    <x v="50"/>
    <x v="48"/>
    <x v="50"/>
    <x v="11"/>
    <x v="11"/>
    <x v="0"/>
    <x v="0"/>
    <x v="1"/>
    <x v="1"/>
    <x v="6"/>
    <x v="6"/>
    <x v="6"/>
    <x v="6"/>
    <x v="2"/>
    <x v="2"/>
    <x v="6"/>
    <x v="6"/>
    <x v="50"/>
    <x v="50"/>
    <x v="3"/>
    <x v="3"/>
    <x v="9"/>
    <x v="5"/>
    <x v="50"/>
    <x v="4"/>
    <x v="4"/>
    <x v="50"/>
    <x v="50"/>
    <x v="50"/>
    <x v="50"/>
    <x v="50"/>
    <x v="50"/>
    <x v="0"/>
    <x v="0"/>
    <x v="0"/>
    <x v="0"/>
    <x v="4"/>
    <x v="1"/>
    <x v="0"/>
  </r>
  <r>
    <x v="51"/>
    <x v="49"/>
    <x v="48"/>
    <x v="51"/>
    <x v="49"/>
    <x v="51"/>
    <x v="14"/>
    <x v="4"/>
    <x v="2"/>
    <x v="2"/>
    <x v="2"/>
    <x v="2"/>
    <x v="2"/>
    <x v="2"/>
    <x v="2"/>
    <x v="2"/>
    <x v="0"/>
    <x v="0"/>
    <x v="2"/>
    <x v="2"/>
    <x v="51"/>
    <x v="51"/>
    <x v="3"/>
    <x v="3"/>
    <x v="1"/>
    <x v="3"/>
    <x v="51"/>
    <x v="1"/>
    <x v="1"/>
    <x v="51"/>
    <x v="51"/>
    <x v="51"/>
    <x v="51"/>
    <x v="51"/>
    <x v="51"/>
    <x v="0"/>
    <x v="0"/>
    <x v="0"/>
    <x v="0"/>
    <x v="5"/>
    <x v="0"/>
    <x v="0"/>
  </r>
  <r>
    <x v="52"/>
    <x v="50"/>
    <x v="49"/>
    <x v="52"/>
    <x v="35"/>
    <x v="52"/>
    <x v="15"/>
    <x v="14"/>
    <x v="1"/>
    <x v="1"/>
    <x v="4"/>
    <x v="0"/>
    <x v="0"/>
    <x v="0"/>
    <x v="0"/>
    <x v="0"/>
    <x v="1"/>
    <x v="1"/>
    <x v="4"/>
    <x v="4"/>
    <x v="52"/>
    <x v="52"/>
    <x v="2"/>
    <x v="2"/>
    <x v="7"/>
    <x v="6"/>
    <x v="52"/>
    <x v="1"/>
    <x v="1"/>
    <x v="52"/>
    <x v="52"/>
    <x v="52"/>
    <x v="52"/>
    <x v="52"/>
    <x v="52"/>
    <x v="3"/>
    <x v="3"/>
    <x v="1"/>
    <x v="1"/>
    <x v="9"/>
    <x v="0"/>
    <x v="0"/>
  </r>
  <r>
    <x v="53"/>
    <x v="51"/>
    <x v="50"/>
    <x v="53"/>
    <x v="50"/>
    <x v="53"/>
    <x v="15"/>
    <x v="14"/>
    <x v="3"/>
    <x v="3"/>
    <x v="3"/>
    <x v="3"/>
    <x v="12"/>
    <x v="12"/>
    <x v="13"/>
    <x v="13"/>
    <x v="0"/>
    <x v="0"/>
    <x v="8"/>
    <x v="8"/>
    <x v="53"/>
    <x v="53"/>
    <x v="2"/>
    <x v="2"/>
    <x v="6"/>
    <x v="8"/>
    <x v="53"/>
    <x v="4"/>
    <x v="4"/>
    <x v="53"/>
    <x v="53"/>
    <x v="53"/>
    <x v="53"/>
    <x v="53"/>
    <x v="53"/>
    <x v="0"/>
    <x v="0"/>
    <x v="0"/>
    <x v="0"/>
    <x v="11"/>
    <x v="1"/>
    <x v="0"/>
  </r>
  <r>
    <x v="54"/>
    <x v="52"/>
    <x v="51"/>
    <x v="54"/>
    <x v="51"/>
    <x v="54"/>
    <x v="3"/>
    <x v="3"/>
    <x v="2"/>
    <x v="2"/>
    <x v="2"/>
    <x v="2"/>
    <x v="17"/>
    <x v="17"/>
    <x v="18"/>
    <x v="18"/>
    <x v="0"/>
    <x v="0"/>
    <x v="7"/>
    <x v="7"/>
    <x v="54"/>
    <x v="54"/>
    <x v="1"/>
    <x v="1"/>
    <x v="4"/>
    <x v="0"/>
    <x v="54"/>
    <x v="8"/>
    <x v="6"/>
    <x v="54"/>
    <x v="54"/>
    <x v="54"/>
    <x v="54"/>
    <x v="54"/>
    <x v="54"/>
    <x v="3"/>
    <x v="3"/>
    <x v="1"/>
    <x v="1"/>
    <x v="4"/>
    <x v="1"/>
    <x v="0"/>
  </r>
  <r>
    <x v="55"/>
    <x v="53"/>
    <x v="52"/>
    <x v="55"/>
    <x v="52"/>
    <x v="55"/>
    <x v="1"/>
    <x v="1"/>
    <x v="1"/>
    <x v="1"/>
    <x v="2"/>
    <x v="2"/>
    <x v="5"/>
    <x v="5"/>
    <x v="5"/>
    <x v="5"/>
    <x v="2"/>
    <x v="2"/>
    <x v="12"/>
    <x v="12"/>
    <x v="55"/>
    <x v="55"/>
    <x v="1"/>
    <x v="1"/>
    <x v="7"/>
    <x v="1"/>
    <x v="55"/>
    <x v="3"/>
    <x v="3"/>
    <x v="55"/>
    <x v="55"/>
    <x v="55"/>
    <x v="55"/>
    <x v="55"/>
    <x v="55"/>
    <x v="0"/>
    <x v="0"/>
    <x v="0"/>
    <x v="0"/>
    <x v="0"/>
    <x v="1"/>
    <x v="0"/>
  </r>
  <r>
    <x v="56"/>
    <x v="54"/>
    <x v="53"/>
    <x v="56"/>
    <x v="53"/>
    <x v="56"/>
    <x v="0"/>
    <x v="0"/>
    <x v="0"/>
    <x v="0"/>
    <x v="2"/>
    <x v="2"/>
    <x v="11"/>
    <x v="11"/>
    <x v="12"/>
    <x v="12"/>
    <x v="0"/>
    <x v="0"/>
    <x v="9"/>
    <x v="9"/>
    <x v="56"/>
    <x v="56"/>
    <x v="0"/>
    <x v="0"/>
    <x v="3"/>
    <x v="1"/>
    <x v="56"/>
    <x v="1"/>
    <x v="1"/>
    <x v="56"/>
    <x v="56"/>
    <x v="56"/>
    <x v="56"/>
    <x v="56"/>
    <x v="56"/>
    <x v="1"/>
    <x v="1"/>
    <x v="1"/>
    <x v="1"/>
    <x v="10"/>
    <x v="1"/>
    <x v="0"/>
  </r>
  <r>
    <x v="57"/>
    <x v="55"/>
    <x v="54"/>
    <x v="57"/>
    <x v="54"/>
    <x v="57"/>
    <x v="8"/>
    <x v="8"/>
    <x v="0"/>
    <x v="0"/>
    <x v="3"/>
    <x v="3"/>
    <x v="14"/>
    <x v="14"/>
    <x v="15"/>
    <x v="15"/>
    <x v="1"/>
    <x v="1"/>
    <x v="4"/>
    <x v="4"/>
    <x v="57"/>
    <x v="57"/>
    <x v="1"/>
    <x v="1"/>
    <x v="9"/>
    <x v="8"/>
    <x v="57"/>
    <x v="1"/>
    <x v="1"/>
    <x v="57"/>
    <x v="57"/>
    <x v="57"/>
    <x v="57"/>
    <x v="57"/>
    <x v="57"/>
    <x v="0"/>
    <x v="0"/>
    <x v="0"/>
    <x v="0"/>
    <x v="6"/>
    <x v="0"/>
    <x v="0"/>
  </r>
  <r>
    <x v="58"/>
    <x v="56"/>
    <x v="55"/>
    <x v="58"/>
    <x v="55"/>
    <x v="58"/>
    <x v="2"/>
    <x v="2"/>
    <x v="3"/>
    <x v="3"/>
    <x v="4"/>
    <x v="0"/>
    <x v="0"/>
    <x v="0"/>
    <x v="0"/>
    <x v="0"/>
    <x v="0"/>
    <x v="0"/>
    <x v="8"/>
    <x v="8"/>
    <x v="58"/>
    <x v="58"/>
    <x v="4"/>
    <x v="4"/>
    <x v="0"/>
    <x v="6"/>
    <x v="58"/>
    <x v="8"/>
    <x v="6"/>
    <x v="58"/>
    <x v="58"/>
    <x v="58"/>
    <x v="58"/>
    <x v="58"/>
    <x v="58"/>
    <x v="2"/>
    <x v="2"/>
    <x v="2"/>
    <x v="2"/>
    <x v="7"/>
    <x v="0"/>
    <x v="0"/>
  </r>
  <r>
    <x v="59"/>
    <x v="57"/>
    <x v="56"/>
    <x v="59"/>
    <x v="56"/>
    <x v="59"/>
    <x v="8"/>
    <x v="8"/>
    <x v="2"/>
    <x v="2"/>
    <x v="1"/>
    <x v="1"/>
    <x v="10"/>
    <x v="10"/>
    <x v="11"/>
    <x v="11"/>
    <x v="0"/>
    <x v="0"/>
    <x v="7"/>
    <x v="7"/>
    <x v="59"/>
    <x v="59"/>
    <x v="1"/>
    <x v="1"/>
    <x v="1"/>
    <x v="8"/>
    <x v="59"/>
    <x v="0"/>
    <x v="0"/>
    <x v="59"/>
    <x v="59"/>
    <x v="59"/>
    <x v="59"/>
    <x v="59"/>
    <x v="59"/>
    <x v="0"/>
    <x v="0"/>
    <x v="1"/>
    <x v="1"/>
    <x v="0"/>
    <x v="0"/>
    <x v="0"/>
  </r>
  <r>
    <x v="60"/>
    <x v="58"/>
    <x v="57"/>
    <x v="60"/>
    <x v="45"/>
    <x v="60"/>
    <x v="4"/>
    <x v="4"/>
    <x v="2"/>
    <x v="2"/>
    <x v="1"/>
    <x v="1"/>
    <x v="10"/>
    <x v="10"/>
    <x v="11"/>
    <x v="11"/>
    <x v="0"/>
    <x v="0"/>
    <x v="7"/>
    <x v="7"/>
    <x v="60"/>
    <x v="60"/>
    <x v="1"/>
    <x v="1"/>
    <x v="0"/>
    <x v="1"/>
    <x v="60"/>
    <x v="0"/>
    <x v="0"/>
    <x v="60"/>
    <x v="60"/>
    <x v="60"/>
    <x v="60"/>
    <x v="60"/>
    <x v="60"/>
    <x v="1"/>
    <x v="1"/>
    <x v="1"/>
    <x v="1"/>
    <x v="0"/>
    <x v="0"/>
    <x v="0"/>
  </r>
  <r>
    <x v="61"/>
    <x v="59"/>
    <x v="58"/>
    <x v="61"/>
    <x v="57"/>
    <x v="61"/>
    <x v="5"/>
    <x v="5"/>
    <x v="3"/>
    <x v="3"/>
    <x v="1"/>
    <x v="1"/>
    <x v="9"/>
    <x v="9"/>
    <x v="10"/>
    <x v="10"/>
    <x v="1"/>
    <x v="1"/>
    <x v="10"/>
    <x v="10"/>
    <x v="61"/>
    <x v="61"/>
    <x v="3"/>
    <x v="3"/>
    <x v="6"/>
    <x v="5"/>
    <x v="61"/>
    <x v="1"/>
    <x v="1"/>
    <x v="61"/>
    <x v="61"/>
    <x v="61"/>
    <x v="61"/>
    <x v="61"/>
    <x v="61"/>
    <x v="0"/>
    <x v="0"/>
    <x v="0"/>
    <x v="0"/>
    <x v="5"/>
    <x v="0"/>
    <x v="0"/>
  </r>
  <r>
    <x v="62"/>
    <x v="60"/>
    <x v="59"/>
    <x v="62"/>
    <x v="58"/>
    <x v="62"/>
    <x v="11"/>
    <x v="11"/>
    <x v="3"/>
    <x v="3"/>
    <x v="4"/>
    <x v="0"/>
    <x v="0"/>
    <x v="0"/>
    <x v="0"/>
    <x v="0"/>
    <x v="2"/>
    <x v="2"/>
    <x v="11"/>
    <x v="11"/>
    <x v="62"/>
    <x v="62"/>
    <x v="3"/>
    <x v="3"/>
    <x v="4"/>
    <x v="6"/>
    <x v="62"/>
    <x v="0"/>
    <x v="0"/>
    <x v="62"/>
    <x v="62"/>
    <x v="62"/>
    <x v="62"/>
    <x v="62"/>
    <x v="62"/>
    <x v="0"/>
    <x v="0"/>
    <x v="0"/>
    <x v="0"/>
    <x v="9"/>
    <x v="0"/>
    <x v="0"/>
  </r>
  <r>
    <x v="63"/>
    <x v="61"/>
    <x v="60"/>
    <x v="63"/>
    <x v="59"/>
    <x v="63"/>
    <x v="11"/>
    <x v="11"/>
    <x v="3"/>
    <x v="3"/>
    <x v="4"/>
    <x v="0"/>
    <x v="16"/>
    <x v="16"/>
    <x v="17"/>
    <x v="17"/>
    <x v="0"/>
    <x v="0"/>
    <x v="9"/>
    <x v="9"/>
    <x v="63"/>
    <x v="63"/>
    <x v="1"/>
    <x v="1"/>
    <x v="2"/>
    <x v="7"/>
    <x v="63"/>
    <x v="4"/>
    <x v="4"/>
    <x v="63"/>
    <x v="63"/>
    <x v="63"/>
    <x v="63"/>
    <x v="63"/>
    <x v="63"/>
    <x v="4"/>
    <x v="0"/>
    <x v="0"/>
    <x v="0"/>
    <x v="10"/>
    <x v="0"/>
    <x v="0"/>
  </r>
  <r>
    <x v="64"/>
    <x v="62"/>
    <x v="61"/>
    <x v="64"/>
    <x v="60"/>
    <x v="64"/>
    <x v="10"/>
    <x v="10"/>
    <x v="2"/>
    <x v="2"/>
    <x v="1"/>
    <x v="1"/>
    <x v="15"/>
    <x v="15"/>
    <x v="16"/>
    <x v="16"/>
    <x v="0"/>
    <x v="0"/>
    <x v="0"/>
    <x v="0"/>
    <x v="64"/>
    <x v="64"/>
    <x v="2"/>
    <x v="2"/>
    <x v="0"/>
    <x v="4"/>
    <x v="64"/>
    <x v="1"/>
    <x v="1"/>
    <x v="64"/>
    <x v="64"/>
    <x v="64"/>
    <x v="64"/>
    <x v="64"/>
    <x v="64"/>
    <x v="1"/>
    <x v="1"/>
    <x v="2"/>
    <x v="2"/>
    <x v="8"/>
    <x v="0"/>
    <x v="0"/>
  </r>
  <r>
    <x v="65"/>
    <x v="63"/>
    <x v="62"/>
    <x v="65"/>
    <x v="61"/>
    <x v="65"/>
    <x v="1"/>
    <x v="1"/>
    <x v="3"/>
    <x v="3"/>
    <x v="3"/>
    <x v="3"/>
    <x v="3"/>
    <x v="3"/>
    <x v="3"/>
    <x v="3"/>
    <x v="0"/>
    <x v="0"/>
    <x v="0"/>
    <x v="0"/>
    <x v="65"/>
    <x v="65"/>
    <x v="0"/>
    <x v="0"/>
    <x v="1"/>
    <x v="5"/>
    <x v="65"/>
    <x v="5"/>
    <x v="5"/>
    <x v="65"/>
    <x v="65"/>
    <x v="65"/>
    <x v="65"/>
    <x v="65"/>
    <x v="65"/>
    <x v="0"/>
    <x v="0"/>
    <x v="0"/>
    <x v="0"/>
    <x v="5"/>
    <x v="0"/>
    <x v="0"/>
  </r>
  <r>
    <x v="66"/>
    <x v="64"/>
    <x v="63"/>
    <x v="66"/>
    <x v="4"/>
    <x v="66"/>
    <x v="0"/>
    <x v="0"/>
    <x v="1"/>
    <x v="1"/>
    <x v="2"/>
    <x v="2"/>
    <x v="17"/>
    <x v="17"/>
    <x v="18"/>
    <x v="18"/>
    <x v="2"/>
    <x v="2"/>
    <x v="5"/>
    <x v="5"/>
    <x v="66"/>
    <x v="66"/>
    <x v="1"/>
    <x v="1"/>
    <x v="5"/>
    <x v="4"/>
    <x v="66"/>
    <x v="5"/>
    <x v="5"/>
    <x v="66"/>
    <x v="66"/>
    <x v="66"/>
    <x v="66"/>
    <x v="66"/>
    <x v="66"/>
    <x v="0"/>
    <x v="0"/>
    <x v="0"/>
    <x v="0"/>
    <x v="1"/>
    <x v="1"/>
    <x v="0"/>
  </r>
  <r>
    <x v="67"/>
    <x v="65"/>
    <x v="64"/>
    <x v="67"/>
    <x v="62"/>
    <x v="67"/>
    <x v="15"/>
    <x v="14"/>
    <x v="0"/>
    <x v="0"/>
    <x v="4"/>
    <x v="0"/>
    <x v="16"/>
    <x v="16"/>
    <x v="17"/>
    <x v="17"/>
    <x v="0"/>
    <x v="0"/>
    <x v="0"/>
    <x v="0"/>
    <x v="67"/>
    <x v="67"/>
    <x v="2"/>
    <x v="2"/>
    <x v="5"/>
    <x v="4"/>
    <x v="67"/>
    <x v="5"/>
    <x v="5"/>
    <x v="67"/>
    <x v="67"/>
    <x v="67"/>
    <x v="67"/>
    <x v="67"/>
    <x v="67"/>
    <x v="0"/>
    <x v="0"/>
    <x v="0"/>
    <x v="0"/>
    <x v="6"/>
    <x v="1"/>
    <x v="0"/>
  </r>
  <r>
    <x v="68"/>
    <x v="66"/>
    <x v="65"/>
    <x v="68"/>
    <x v="63"/>
    <x v="68"/>
    <x v="2"/>
    <x v="2"/>
    <x v="2"/>
    <x v="2"/>
    <x v="1"/>
    <x v="1"/>
    <x v="15"/>
    <x v="15"/>
    <x v="16"/>
    <x v="16"/>
    <x v="0"/>
    <x v="0"/>
    <x v="8"/>
    <x v="8"/>
    <x v="68"/>
    <x v="68"/>
    <x v="0"/>
    <x v="0"/>
    <x v="4"/>
    <x v="6"/>
    <x v="68"/>
    <x v="1"/>
    <x v="1"/>
    <x v="68"/>
    <x v="68"/>
    <x v="68"/>
    <x v="68"/>
    <x v="68"/>
    <x v="68"/>
    <x v="3"/>
    <x v="3"/>
    <x v="2"/>
    <x v="2"/>
    <x v="3"/>
    <x v="0"/>
    <x v="0"/>
  </r>
  <r>
    <x v="69"/>
    <x v="67"/>
    <x v="66"/>
    <x v="69"/>
    <x v="64"/>
    <x v="69"/>
    <x v="6"/>
    <x v="6"/>
    <x v="1"/>
    <x v="1"/>
    <x v="3"/>
    <x v="3"/>
    <x v="12"/>
    <x v="12"/>
    <x v="13"/>
    <x v="13"/>
    <x v="2"/>
    <x v="2"/>
    <x v="12"/>
    <x v="12"/>
    <x v="69"/>
    <x v="69"/>
    <x v="1"/>
    <x v="1"/>
    <x v="1"/>
    <x v="4"/>
    <x v="69"/>
    <x v="8"/>
    <x v="6"/>
    <x v="69"/>
    <x v="69"/>
    <x v="69"/>
    <x v="69"/>
    <x v="69"/>
    <x v="69"/>
    <x v="1"/>
    <x v="1"/>
    <x v="2"/>
    <x v="2"/>
    <x v="5"/>
    <x v="0"/>
    <x v="0"/>
  </r>
  <r>
    <x v="70"/>
    <x v="68"/>
    <x v="67"/>
    <x v="70"/>
    <x v="65"/>
    <x v="70"/>
    <x v="0"/>
    <x v="0"/>
    <x v="2"/>
    <x v="2"/>
    <x v="2"/>
    <x v="2"/>
    <x v="5"/>
    <x v="5"/>
    <x v="5"/>
    <x v="5"/>
    <x v="2"/>
    <x v="2"/>
    <x v="11"/>
    <x v="11"/>
    <x v="70"/>
    <x v="70"/>
    <x v="2"/>
    <x v="2"/>
    <x v="1"/>
    <x v="7"/>
    <x v="70"/>
    <x v="4"/>
    <x v="4"/>
    <x v="70"/>
    <x v="70"/>
    <x v="70"/>
    <x v="70"/>
    <x v="70"/>
    <x v="70"/>
    <x v="0"/>
    <x v="0"/>
    <x v="0"/>
    <x v="0"/>
    <x v="1"/>
    <x v="1"/>
    <x v="0"/>
  </r>
  <r>
    <x v="71"/>
    <x v="69"/>
    <x v="68"/>
    <x v="71"/>
    <x v="66"/>
    <x v="71"/>
    <x v="1"/>
    <x v="1"/>
    <x v="5"/>
    <x v="1"/>
    <x v="3"/>
    <x v="3"/>
    <x v="14"/>
    <x v="14"/>
    <x v="15"/>
    <x v="15"/>
    <x v="2"/>
    <x v="2"/>
    <x v="12"/>
    <x v="12"/>
    <x v="71"/>
    <x v="71"/>
    <x v="3"/>
    <x v="3"/>
    <x v="2"/>
    <x v="3"/>
    <x v="71"/>
    <x v="8"/>
    <x v="6"/>
    <x v="71"/>
    <x v="71"/>
    <x v="71"/>
    <x v="71"/>
    <x v="71"/>
    <x v="71"/>
    <x v="0"/>
    <x v="0"/>
    <x v="0"/>
    <x v="0"/>
    <x v="5"/>
    <x v="1"/>
    <x v="0"/>
  </r>
  <r>
    <x v="72"/>
    <x v="70"/>
    <x v="69"/>
    <x v="72"/>
    <x v="67"/>
    <x v="72"/>
    <x v="0"/>
    <x v="0"/>
    <x v="3"/>
    <x v="3"/>
    <x v="2"/>
    <x v="2"/>
    <x v="17"/>
    <x v="17"/>
    <x v="18"/>
    <x v="18"/>
    <x v="1"/>
    <x v="1"/>
    <x v="1"/>
    <x v="1"/>
    <x v="72"/>
    <x v="72"/>
    <x v="2"/>
    <x v="2"/>
    <x v="10"/>
    <x v="4"/>
    <x v="72"/>
    <x v="4"/>
    <x v="4"/>
    <x v="72"/>
    <x v="72"/>
    <x v="72"/>
    <x v="72"/>
    <x v="72"/>
    <x v="72"/>
    <x v="0"/>
    <x v="0"/>
    <x v="0"/>
    <x v="0"/>
    <x v="6"/>
    <x v="0"/>
    <x v="2"/>
  </r>
  <r>
    <x v="73"/>
    <x v="71"/>
    <x v="70"/>
    <x v="73"/>
    <x v="68"/>
    <x v="73"/>
    <x v="11"/>
    <x v="11"/>
    <x v="2"/>
    <x v="2"/>
    <x v="1"/>
    <x v="1"/>
    <x v="6"/>
    <x v="6"/>
    <x v="6"/>
    <x v="6"/>
    <x v="1"/>
    <x v="1"/>
    <x v="10"/>
    <x v="10"/>
    <x v="73"/>
    <x v="73"/>
    <x v="2"/>
    <x v="2"/>
    <x v="1"/>
    <x v="8"/>
    <x v="73"/>
    <x v="1"/>
    <x v="1"/>
    <x v="73"/>
    <x v="73"/>
    <x v="73"/>
    <x v="73"/>
    <x v="73"/>
    <x v="73"/>
    <x v="0"/>
    <x v="0"/>
    <x v="0"/>
    <x v="0"/>
    <x v="11"/>
    <x v="1"/>
    <x v="0"/>
  </r>
  <r>
    <x v="74"/>
    <x v="72"/>
    <x v="71"/>
    <x v="74"/>
    <x v="69"/>
    <x v="74"/>
    <x v="5"/>
    <x v="5"/>
    <x v="1"/>
    <x v="1"/>
    <x v="1"/>
    <x v="1"/>
    <x v="6"/>
    <x v="6"/>
    <x v="6"/>
    <x v="6"/>
    <x v="1"/>
    <x v="1"/>
    <x v="4"/>
    <x v="4"/>
    <x v="74"/>
    <x v="74"/>
    <x v="3"/>
    <x v="3"/>
    <x v="7"/>
    <x v="3"/>
    <x v="74"/>
    <x v="1"/>
    <x v="1"/>
    <x v="74"/>
    <x v="74"/>
    <x v="74"/>
    <x v="74"/>
    <x v="74"/>
    <x v="74"/>
    <x v="0"/>
    <x v="0"/>
    <x v="0"/>
    <x v="0"/>
    <x v="6"/>
    <x v="1"/>
    <x v="0"/>
  </r>
  <r>
    <x v="75"/>
    <x v="73"/>
    <x v="67"/>
    <x v="75"/>
    <x v="65"/>
    <x v="75"/>
    <x v="8"/>
    <x v="8"/>
    <x v="1"/>
    <x v="1"/>
    <x v="1"/>
    <x v="1"/>
    <x v="1"/>
    <x v="1"/>
    <x v="1"/>
    <x v="1"/>
    <x v="0"/>
    <x v="0"/>
    <x v="7"/>
    <x v="7"/>
    <x v="75"/>
    <x v="75"/>
    <x v="2"/>
    <x v="2"/>
    <x v="1"/>
    <x v="1"/>
    <x v="75"/>
    <x v="0"/>
    <x v="0"/>
    <x v="75"/>
    <x v="75"/>
    <x v="75"/>
    <x v="75"/>
    <x v="75"/>
    <x v="75"/>
    <x v="0"/>
    <x v="0"/>
    <x v="0"/>
    <x v="0"/>
    <x v="1"/>
    <x v="1"/>
    <x v="0"/>
  </r>
  <r>
    <x v="76"/>
    <x v="74"/>
    <x v="72"/>
    <x v="76"/>
    <x v="70"/>
    <x v="76"/>
    <x v="4"/>
    <x v="4"/>
    <x v="2"/>
    <x v="2"/>
    <x v="1"/>
    <x v="1"/>
    <x v="15"/>
    <x v="15"/>
    <x v="16"/>
    <x v="16"/>
    <x v="0"/>
    <x v="0"/>
    <x v="7"/>
    <x v="7"/>
    <x v="76"/>
    <x v="76"/>
    <x v="0"/>
    <x v="0"/>
    <x v="9"/>
    <x v="1"/>
    <x v="76"/>
    <x v="1"/>
    <x v="1"/>
    <x v="76"/>
    <x v="76"/>
    <x v="76"/>
    <x v="76"/>
    <x v="76"/>
    <x v="76"/>
    <x v="0"/>
    <x v="0"/>
    <x v="0"/>
    <x v="0"/>
    <x v="3"/>
    <x v="0"/>
    <x v="0"/>
  </r>
  <r>
    <x v="77"/>
    <x v="75"/>
    <x v="73"/>
    <x v="77"/>
    <x v="71"/>
    <x v="77"/>
    <x v="12"/>
    <x v="12"/>
    <x v="3"/>
    <x v="3"/>
    <x v="4"/>
    <x v="0"/>
    <x v="8"/>
    <x v="8"/>
    <x v="9"/>
    <x v="9"/>
    <x v="1"/>
    <x v="1"/>
    <x v="3"/>
    <x v="3"/>
    <x v="77"/>
    <x v="77"/>
    <x v="3"/>
    <x v="3"/>
    <x v="5"/>
    <x v="5"/>
    <x v="77"/>
    <x v="4"/>
    <x v="4"/>
    <x v="77"/>
    <x v="77"/>
    <x v="77"/>
    <x v="77"/>
    <x v="77"/>
    <x v="77"/>
    <x v="1"/>
    <x v="1"/>
    <x v="1"/>
    <x v="1"/>
    <x v="0"/>
    <x v="1"/>
    <x v="0"/>
  </r>
  <r>
    <x v="78"/>
    <x v="76"/>
    <x v="74"/>
    <x v="78"/>
    <x v="72"/>
    <x v="78"/>
    <x v="11"/>
    <x v="11"/>
    <x v="2"/>
    <x v="2"/>
    <x v="1"/>
    <x v="1"/>
    <x v="6"/>
    <x v="6"/>
    <x v="6"/>
    <x v="6"/>
    <x v="1"/>
    <x v="1"/>
    <x v="1"/>
    <x v="1"/>
    <x v="78"/>
    <x v="78"/>
    <x v="2"/>
    <x v="2"/>
    <x v="1"/>
    <x v="8"/>
    <x v="78"/>
    <x v="4"/>
    <x v="4"/>
    <x v="78"/>
    <x v="78"/>
    <x v="78"/>
    <x v="78"/>
    <x v="78"/>
    <x v="78"/>
    <x v="0"/>
    <x v="0"/>
    <x v="0"/>
    <x v="0"/>
    <x v="0"/>
    <x v="1"/>
    <x v="0"/>
  </r>
  <r>
    <x v="79"/>
    <x v="77"/>
    <x v="75"/>
    <x v="79"/>
    <x v="73"/>
    <x v="79"/>
    <x v="13"/>
    <x v="13"/>
    <x v="3"/>
    <x v="3"/>
    <x v="2"/>
    <x v="2"/>
    <x v="17"/>
    <x v="17"/>
    <x v="18"/>
    <x v="18"/>
    <x v="3"/>
    <x v="1"/>
    <x v="4"/>
    <x v="4"/>
    <x v="79"/>
    <x v="79"/>
    <x v="1"/>
    <x v="1"/>
    <x v="0"/>
    <x v="6"/>
    <x v="79"/>
    <x v="8"/>
    <x v="6"/>
    <x v="79"/>
    <x v="79"/>
    <x v="79"/>
    <x v="79"/>
    <x v="79"/>
    <x v="79"/>
    <x v="0"/>
    <x v="0"/>
    <x v="0"/>
    <x v="0"/>
    <x v="7"/>
    <x v="1"/>
    <x v="0"/>
  </r>
  <r>
    <x v="80"/>
    <x v="78"/>
    <x v="76"/>
    <x v="80"/>
    <x v="74"/>
    <x v="80"/>
    <x v="10"/>
    <x v="10"/>
    <x v="1"/>
    <x v="1"/>
    <x v="4"/>
    <x v="0"/>
    <x v="18"/>
    <x v="18"/>
    <x v="19"/>
    <x v="19"/>
    <x v="0"/>
    <x v="0"/>
    <x v="8"/>
    <x v="8"/>
    <x v="80"/>
    <x v="80"/>
    <x v="0"/>
    <x v="0"/>
    <x v="5"/>
    <x v="2"/>
    <x v="80"/>
    <x v="8"/>
    <x v="6"/>
    <x v="80"/>
    <x v="80"/>
    <x v="80"/>
    <x v="80"/>
    <x v="80"/>
    <x v="80"/>
    <x v="2"/>
    <x v="2"/>
    <x v="2"/>
    <x v="2"/>
    <x v="1"/>
    <x v="0"/>
    <x v="0"/>
  </r>
  <r>
    <x v="81"/>
    <x v="79"/>
    <x v="77"/>
    <x v="81"/>
    <x v="75"/>
    <x v="81"/>
    <x v="0"/>
    <x v="0"/>
    <x v="3"/>
    <x v="3"/>
    <x v="3"/>
    <x v="3"/>
    <x v="14"/>
    <x v="14"/>
    <x v="15"/>
    <x v="15"/>
    <x v="0"/>
    <x v="0"/>
    <x v="7"/>
    <x v="7"/>
    <x v="81"/>
    <x v="81"/>
    <x v="1"/>
    <x v="1"/>
    <x v="3"/>
    <x v="1"/>
    <x v="81"/>
    <x v="1"/>
    <x v="1"/>
    <x v="81"/>
    <x v="81"/>
    <x v="81"/>
    <x v="81"/>
    <x v="81"/>
    <x v="81"/>
    <x v="0"/>
    <x v="0"/>
    <x v="0"/>
    <x v="0"/>
    <x v="11"/>
    <x v="1"/>
    <x v="0"/>
  </r>
  <r>
    <x v="82"/>
    <x v="80"/>
    <x v="78"/>
    <x v="82"/>
    <x v="76"/>
    <x v="82"/>
    <x v="3"/>
    <x v="3"/>
    <x v="0"/>
    <x v="0"/>
    <x v="4"/>
    <x v="0"/>
    <x v="8"/>
    <x v="8"/>
    <x v="9"/>
    <x v="9"/>
    <x v="2"/>
    <x v="2"/>
    <x v="6"/>
    <x v="6"/>
    <x v="82"/>
    <x v="82"/>
    <x v="0"/>
    <x v="0"/>
    <x v="3"/>
    <x v="3"/>
    <x v="82"/>
    <x v="1"/>
    <x v="1"/>
    <x v="82"/>
    <x v="82"/>
    <x v="82"/>
    <x v="82"/>
    <x v="82"/>
    <x v="82"/>
    <x v="3"/>
    <x v="3"/>
    <x v="2"/>
    <x v="2"/>
    <x v="1"/>
    <x v="0"/>
    <x v="0"/>
  </r>
  <r>
    <x v="83"/>
    <x v="50"/>
    <x v="49"/>
    <x v="83"/>
    <x v="77"/>
    <x v="83"/>
    <x v="7"/>
    <x v="7"/>
    <x v="3"/>
    <x v="3"/>
    <x v="3"/>
    <x v="3"/>
    <x v="3"/>
    <x v="3"/>
    <x v="3"/>
    <x v="3"/>
    <x v="1"/>
    <x v="1"/>
    <x v="1"/>
    <x v="1"/>
    <x v="83"/>
    <x v="83"/>
    <x v="0"/>
    <x v="0"/>
    <x v="4"/>
    <x v="6"/>
    <x v="83"/>
    <x v="0"/>
    <x v="0"/>
    <x v="83"/>
    <x v="83"/>
    <x v="83"/>
    <x v="83"/>
    <x v="83"/>
    <x v="83"/>
    <x v="0"/>
    <x v="0"/>
    <x v="0"/>
    <x v="0"/>
    <x v="9"/>
    <x v="0"/>
    <x v="0"/>
  </r>
  <r>
    <x v="84"/>
    <x v="81"/>
    <x v="79"/>
    <x v="84"/>
    <x v="78"/>
    <x v="84"/>
    <x v="12"/>
    <x v="12"/>
    <x v="2"/>
    <x v="2"/>
    <x v="2"/>
    <x v="2"/>
    <x v="17"/>
    <x v="17"/>
    <x v="18"/>
    <x v="18"/>
    <x v="4"/>
    <x v="2"/>
    <x v="11"/>
    <x v="11"/>
    <x v="84"/>
    <x v="84"/>
    <x v="0"/>
    <x v="0"/>
    <x v="7"/>
    <x v="3"/>
    <x v="84"/>
    <x v="0"/>
    <x v="0"/>
    <x v="84"/>
    <x v="84"/>
    <x v="84"/>
    <x v="84"/>
    <x v="84"/>
    <x v="84"/>
    <x v="0"/>
    <x v="0"/>
    <x v="0"/>
    <x v="0"/>
    <x v="9"/>
    <x v="0"/>
    <x v="0"/>
  </r>
  <r>
    <x v="85"/>
    <x v="82"/>
    <x v="80"/>
    <x v="85"/>
    <x v="79"/>
    <x v="85"/>
    <x v="15"/>
    <x v="14"/>
    <x v="2"/>
    <x v="2"/>
    <x v="4"/>
    <x v="0"/>
    <x v="18"/>
    <x v="18"/>
    <x v="19"/>
    <x v="19"/>
    <x v="0"/>
    <x v="0"/>
    <x v="9"/>
    <x v="9"/>
    <x v="85"/>
    <x v="85"/>
    <x v="3"/>
    <x v="3"/>
    <x v="0"/>
    <x v="5"/>
    <x v="85"/>
    <x v="1"/>
    <x v="1"/>
    <x v="85"/>
    <x v="85"/>
    <x v="85"/>
    <x v="85"/>
    <x v="85"/>
    <x v="85"/>
    <x v="0"/>
    <x v="0"/>
    <x v="1"/>
    <x v="1"/>
    <x v="0"/>
    <x v="0"/>
    <x v="0"/>
  </r>
  <r>
    <x v="86"/>
    <x v="83"/>
    <x v="81"/>
    <x v="86"/>
    <x v="80"/>
    <x v="86"/>
    <x v="4"/>
    <x v="4"/>
    <x v="1"/>
    <x v="1"/>
    <x v="4"/>
    <x v="0"/>
    <x v="18"/>
    <x v="18"/>
    <x v="19"/>
    <x v="19"/>
    <x v="2"/>
    <x v="2"/>
    <x v="6"/>
    <x v="6"/>
    <x v="86"/>
    <x v="86"/>
    <x v="0"/>
    <x v="0"/>
    <x v="6"/>
    <x v="1"/>
    <x v="86"/>
    <x v="8"/>
    <x v="6"/>
    <x v="86"/>
    <x v="86"/>
    <x v="86"/>
    <x v="86"/>
    <x v="86"/>
    <x v="86"/>
    <x v="1"/>
    <x v="1"/>
    <x v="1"/>
    <x v="1"/>
    <x v="0"/>
    <x v="0"/>
    <x v="0"/>
  </r>
  <r>
    <x v="87"/>
    <x v="84"/>
    <x v="82"/>
    <x v="87"/>
    <x v="81"/>
    <x v="87"/>
    <x v="5"/>
    <x v="5"/>
    <x v="0"/>
    <x v="0"/>
    <x v="1"/>
    <x v="1"/>
    <x v="10"/>
    <x v="10"/>
    <x v="11"/>
    <x v="11"/>
    <x v="0"/>
    <x v="0"/>
    <x v="9"/>
    <x v="9"/>
    <x v="87"/>
    <x v="87"/>
    <x v="3"/>
    <x v="3"/>
    <x v="3"/>
    <x v="4"/>
    <x v="87"/>
    <x v="1"/>
    <x v="1"/>
    <x v="87"/>
    <x v="87"/>
    <x v="87"/>
    <x v="87"/>
    <x v="87"/>
    <x v="87"/>
    <x v="0"/>
    <x v="0"/>
    <x v="0"/>
    <x v="0"/>
    <x v="1"/>
    <x v="0"/>
    <x v="0"/>
  </r>
  <r>
    <x v="88"/>
    <x v="85"/>
    <x v="83"/>
    <x v="88"/>
    <x v="82"/>
    <x v="88"/>
    <x v="12"/>
    <x v="12"/>
    <x v="1"/>
    <x v="1"/>
    <x v="3"/>
    <x v="3"/>
    <x v="3"/>
    <x v="3"/>
    <x v="3"/>
    <x v="3"/>
    <x v="1"/>
    <x v="1"/>
    <x v="10"/>
    <x v="10"/>
    <x v="88"/>
    <x v="88"/>
    <x v="3"/>
    <x v="3"/>
    <x v="4"/>
    <x v="7"/>
    <x v="88"/>
    <x v="5"/>
    <x v="5"/>
    <x v="88"/>
    <x v="88"/>
    <x v="88"/>
    <x v="88"/>
    <x v="88"/>
    <x v="88"/>
    <x v="0"/>
    <x v="0"/>
    <x v="0"/>
    <x v="0"/>
    <x v="11"/>
    <x v="0"/>
    <x v="0"/>
  </r>
  <r>
    <x v="89"/>
    <x v="86"/>
    <x v="84"/>
    <x v="1"/>
    <x v="1"/>
    <x v="89"/>
    <x v="15"/>
    <x v="14"/>
    <x v="0"/>
    <x v="0"/>
    <x v="2"/>
    <x v="2"/>
    <x v="5"/>
    <x v="5"/>
    <x v="5"/>
    <x v="5"/>
    <x v="1"/>
    <x v="1"/>
    <x v="10"/>
    <x v="10"/>
    <x v="89"/>
    <x v="89"/>
    <x v="3"/>
    <x v="3"/>
    <x v="6"/>
    <x v="4"/>
    <x v="89"/>
    <x v="0"/>
    <x v="0"/>
    <x v="89"/>
    <x v="89"/>
    <x v="89"/>
    <x v="89"/>
    <x v="89"/>
    <x v="89"/>
    <x v="2"/>
    <x v="2"/>
    <x v="1"/>
    <x v="1"/>
    <x v="7"/>
    <x v="0"/>
    <x v="0"/>
  </r>
  <r>
    <x v="90"/>
    <x v="87"/>
    <x v="85"/>
    <x v="89"/>
    <x v="83"/>
    <x v="90"/>
    <x v="10"/>
    <x v="10"/>
    <x v="1"/>
    <x v="1"/>
    <x v="1"/>
    <x v="1"/>
    <x v="9"/>
    <x v="9"/>
    <x v="10"/>
    <x v="10"/>
    <x v="2"/>
    <x v="2"/>
    <x v="6"/>
    <x v="6"/>
    <x v="90"/>
    <x v="90"/>
    <x v="2"/>
    <x v="2"/>
    <x v="1"/>
    <x v="1"/>
    <x v="90"/>
    <x v="4"/>
    <x v="4"/>
    <x v="90"/>
    <x v="90"/>
    <x v="90"/>
    <x v="90"/>
    <x v="90"/>
    <x v="90"/>
    <x v="0"/>
    <x v="0"/>
    <x v="0"/>
    <x v="0"/>
    <x v="1"/>
    <x v="1"/>
    <x v="0"/>
  </r>
  <r>
    <x v="91"/>
    <x v="88"/>
    <x v="86"/>
    <x v="90"/>
    <x v="84"/>
    <x v="91"/>
    <x v="11"/>
    <x v="11"/>
    <x v="2"/>
    <x v="2"/>
    <x v="3"/>
    <x v="3"/>
    <x v="4"/>
    <x v="4"/>
    <x v="4"/>
    <x v="4"/>
    <x v="2"/>
    <x v="2"/>
    <x v="6"/>
    <x v="6"/>
    <x v="91"/>
    <x v="91"/>
    <x v="0"/>
    <x v="0"/>
    <x v="0"/>
    <x v="6"/>
    <x v="91"/>
    <x v="1"/>
    <x v="1"/>
    <x v="91"/>
    <x v="91"/>
    <x v="91"/>
    <x v="91"/>
    <x v="91"/>
    <x v="91"/>
    <x v="0"/>
    <x v="0"/>
    <x v="0"/>
    <x v="0"/>
    <x v="11"/>
    <x v="1"/>
    <x v="0"/>
  </r>
  <r>
    <x v="92"/>
    <x v="89"/>
    <x v="87"/>
    <x v="91"/>
    <x v="85"/>
    <x v="92"/>
    <x v="10"/>
    <x v="10"/>
    <x v="0"/>
    <x v="0"/>
    <x v="3"/>
    <x v="3"/>
    <x v="4"/>
    <x v="4"/>
    <x v="4"/>
    <x v="4"/>
    <x v="0"/>
    <x v="0"/>
    <x v="0"/>
    <x v="0"/>
    <x v="92"/>
    <x v="92"/>
    <x v="3"/>
    <x v="3"/>
    <x v="4"/>
    <x v="6"/>
    <x v="92"/>
    <x v="8"/>
    <x v="6"/>
    <x v="92"/>
    <x v="92"/>
    <x v="92"/>
    <x v="92"/>
    <x v="92"/>
    <x v="92"/>
    <x v="0"/>
    <x v="0"/>
    <x v="0"/>
    <x v="0"/>
    <x v="10"/>
    <x v="1"/>
    <x v="0"/>
  </r>
  <r>
    <x v="93"/>
    <x v="17"/>
    <x v="17"/>
    <x v="92"/>
    <x v="86"/>
    <x v="93"/>
    <x v="12"/>
    <x v="12"/>
    <x v="2"/>
    <x v="2"/>
    <x v="4"/>
    <x v="0"/>
    <x v="8"/>
    <x v="8"/>
    <x v="9"/>
    <x v="9"/>
    <x v="0"/>
    <x v="0"/>
    <x v="9"/>
    <x v="9"/>
    <x v="93"/>
    <x v="93"/>
    <x v="3"/>
    <x v="3"/>
    <x v="0"/>
    <x v="4"/>
    <x v="93"/>
    <x v="10"/>
    <x v="1"/>
    <x v="93"/>
    <x v="93"/>
    <x v="93"/>
    <x v="93"/>
    <x v="93"/>
    <x v="93"/>
    <x v="0"/>
    <x v="0"/>
    <x v="0"/>
    <x v="0"/>
    <x v="10"/>
    <x v="0"/>
    <x v="1"/>
  </r>
  <r>
    <x v="94"/>
    <x v="90"/>
    <x v="88"/>
    <x v="93"/>
    <x v="87"/>
    <x v="94"/>
    <x v="13"/>
    <x v="13"/>
    <x v="0"/>
    <x v="0"/>
    <x v="4"/>
    <x v="0"/>
    <x v="16"/>
    <x v="16"/>
    <x v="17"/>
    <x v="17"/>
    <x v="2"/>
    <x v="2"/>
    <x v="11"/>
    <x v="11"/>
    <x v="94"/>
    <x v="94"/>
    <x v="0"/>
    <x v="0"/>
    <x v="4"/>
    <x v="4"/>
    <x v="94"/>
    <x v="1"/>
    <x v="1"/>
    <x v="94"/>
    <x v="94"/>
    <x v="94"/>
    <x v="94"/>
    <x v="94"/>
    <x v="94"/>
    <x v="2"/>
    <x v="2"/>
    <x v="1"/>
    <x v="1"/>
    <x v="7"/>
    <x v="0"/>
    <x v="0"/>
  </r>
  <r>
    <x v="95"/>
    <x v="91"/>
    <x v="89"/>
    <x v="94"/>
    <x v="88"/>
    <x v="95"/>
    <x v="11"/>
    <x v="11"/>
    <x v="2"/>
    <x v="2"/>
    <x v="3"/>
    <x v="3"/>
    <x v="14"/>
    <x v="14"/>
    <x v="15"/>
    <x v="15"/>
    <x v="1"/>
    <x v="1"/>
    <x v="10"/>
    <x v="10"/>
    <x v="95"/>
    <x v="95"/>
    <x v="1"/>
    <x v="1"/>
    <x v="1"/>
    <x v="3"/>
    <x v="95"/>
    <x v="1"/>
    <x v="1"/>
    <x v="95"/>
    <x v="95"/>
    <x v="95"/>
    <x v="95"/>
    <x v="95"/>
    <x v="95"/>
    <x v="0"/>
    <x v="0"/>
    <x v="0"/>
    <x v="0"/>
    <x v="7"/>
    <x v="1"/>
    <x v="0"/>
  </r>
  <r>
    <x v="96"/>
    <x v="92"/>
    <x v="90"/>
    <x v="95"/>
    <x v="89"/>
    <x v="96"/>
    <x v="9"/>
    <x v="9"/>
    <x v="3"/>
    <x v="3"/>
    <x v="1"/>
    <x v="1"/>
    <x v="1"/>
    <x v="1"/>
    <x v="1"/>
    <x v="1"/>
    <x v="2"/>
    <x v="2"/>
    <x v="6"/>
    <x v="6"/>
    <x v="96"/>
    <x v="96"/>
    <x v="0"/>
    <x v="0"/>
    <x v="7"/>
    <x v="7"/>
    <x v="96"/>
    <x v="4"/>
    <x v="4"/>
    <x v="96"/>
    <x v="96"/>
    <x v="96"/>
    <x v="96"/>
    <x v="96"/>
    <x v="96"/>
    <x v="0"/>
    <x v="0"/>
    <x v="0"/>
    <x v="0"/>
    <x v="2"/>
    <x v="0"/>
    <x v="0"/>
  </r>
  <r>
    <x v="97"/>
    <x v="93"/>
    <x v="91"/>
    <x v="96"/>
    <x v="90"/>
    <x v="97"/>
    <x v="13"/>
    <x v="13"/>
    <x v="1"/>
    <x v="1"/>
    <x v="3"/>
    <x v="3"/>
    <x v="12"/>
    <x v="12"/>
    <x v="13"/>
    <x v="13"/>
    <x v="0"/>
    <x v="0"/>
    <x v="8"/>
    <x v="8"/>
    <x v="97"/>
    <x v="97"/>
    <x v="1"/>
    <x v="1"/>
    <x v="4"/>
    <x v="8"/>
    <x v="97"/>
    <x v="0"/>
    <x v="0"/>
    <x v="97"/>
    <x v="97"/>
    <x v="97"/>
    <x v="97"/>
    <x v="97"/>
    <x v="97"/>
    <x v="2"/>
    <x v="2"/>
    <x v="2"/>
    <x v="2"/>
    <x v="1"/>
    <x v="1"/>
    <x v="0"/>
  </r>
  <r>
    <x v="98"/>
    <x v="94"/>
    <x v="92"/>
    <x v="97"/>
    <x v="59"/>
    <x v="98"/>
    <x v="12"/>
    <x v="12"/>
    <x v="3"/>
    <x v="3"/>
    <x v="2"/>
    <x v="2"/>
    <x v="13"/>
    <x v="13"/>
    <x v="14"/>
    <x v="14"/>
    <x v="2"/>
    <x v="2"/>
    <x v="6"/>
    <x v="6"/>
    <x v="98"/>
    <x v="98"/>
    <x v="4"/>
    <x v="4"/>
    <x v="0"/>
    <x v="0"/>
    <x v="98"/>
    <x v="8"/>
    <x v="6"/>
    <x v="98"/>
    <x v="98"/>
    <x v="98"/>
    <x v="98"/>
    <x v="98"/>
    <x v="98"/>
    <x v="0"/>
    <x v="0"/>
    <x v="0"/>
    <x v="0"/>
    <x v="10"/>
    <x v="0"/>
    <x v="0"/>
  </r>
  <r>
    <x v="99"/>
    <x v="95"/>
    <x v="93"/>
    <x v="98"/>
    <x v="91"/>
    <x v="99"/>
    <x v="7"/>
    <x v="7"/>
    <x v="1"/>
    <x v="1"/>
    <x v="3"/>
    <x v="3"/>
    <x v="0"/>
    <x v="0"/>
    <x v="7"/>
    <x v="7"/>
    <x v="2"/>
    <x v="2"/>
    <x v="5"/>
    <x v="5"/>
    <x v="99"/>
    <x v="99"/>
    <x v="1"/>
    <x v="1"/>
    <x v="6"/>
    <x v="1"/>
    <x v="99"/>
    <x v="1"/>
    <x v="1"/>
    <x v="99"/>
    <x v="99"/>
    <x v="99"/>
    <x v="99"/>
    <x v="99"/>
    <x v="99"/>
    <x v="0"/>
    <x v="0"/>
    <x v="0"/>
    <x v="0"/>
    <x v="10"/>
    <x v="1"/>
    <x v="0"/>
  </r>
  <r>
    <x v="100"/>
    <x v="96"/>
    <x v="94"/>
    <x v="99"/>
    <x v="92"/>
    <x v="100"/>
    <x v="10"/>
    <x v="10"/>
    <x v="3"/>
    <x v="3"/>
    <x v="2"/>
    <x v="2"/>
    <x v="13"/>
    <x v="13"/>
    <x v="14"/>
    <x v="14"/>
    <x v="0"/>
    <x v="0"/>
    <x v="8"/>
    <x v="8"/>
    <x v="100"/>
    <x v="100"/>
    <x v="3"/>
    <x v="3"/>
    <x v="0"/>
    <x v="3"/>
    <x v="100"/>
    <x v="5"/>
    <x v="5"/>
    <x v="100"/>
    <x v="100"/>
    <x v="100"/>
    <x v="100"/>
    <x v="100"/>
    <x v="100"/>
    <x v="0"/>
    <x v="0"/>
    <x v="0"/>
    <x v="0"/>
    <x v="7"/>
    <x v="1"/>
    <x v="0"/>
  </r>
  <r>
    <x v="101"/>
    <x v="42"/>
    <x v="41"/>
    <x v="100"/>
    <x v="93"/>
    <x v="101"/>
    <x v="12"/>
    <x v="12"/>
    <x v="6"/>
    <x v="3"/>
    <x v="1"/>
    <x v="1"/>
    <x v="9"/>
    <x v="9"/>
    <x v="10"/>
    <x v="10"/>
    <x v="1"/>
    <x v="1"/>
    <x v="3"/>
    <x v="3"/>
    <x v="101"/>
    <x v="101"/>
    <x v="2"/>
    <x v="2"/>
    <x v="5"/>
    <x v="8"/>
    <x v="101"/>
    <x v="3"/>
    <x v="3"/>
    <x v="101"/>
    <x v="101"/>
    <x v="101"/>
    <x v="101"/>
    <x v="101"/>
    <x v="101"/>
    <x v="0"/>
    <x v="0"/>
    <x v="0"/>
    <x v="0"/>
    <x v="2"/>
    <x v="0"/>
    <x v="0"/>
  </r>
  <r>
    <x v="102"/>
    <x v="97"/>
    <x v="95"/>
    <x v="101"/>
    <x v="94"/>
    <x v="102"/>
    <x v="5"/>
    <x v="5"/>
    <x v="0"/>
    <x v="0"/>
    <x v="2"/>
    <x v="2"/>
    <x v="11"/>
    <x v="11"/>
    <x v="12"/>
    <x v="12"/>
    <x v="1"/>
    <x v="1"/>
    <x v="4"/>
    <x v="4"/>
    <x v="102"/>
    <x v="102"/>
    <x v="2"/>
    <x v="2"/>
    <x v="5"/>
    <x v="2"/>
    <x v="102"/>
    <x v="1"/>
    <x v="1"/>
    <x v="102"/>
    <x v="102"/>
    <x v="102"/>
    <x v="102"/>
    <x v="102"/>
    <x v="102"/>
    <x v="1"/>
    <x v="1"/>
    <x v="1"/>
    <x v="1"/>
    <x v="0"/>
    <x v="1"/>
    <x v="0"/>
  </r>
  <r>
    <x v="103"/>
    <x v="98"/>
    <x v="96"/>
    <x v="102"/>
    <x v="95"/>
    <x v="103"/>
    <x v="15"/>
    <x v="14"/>
    <x v="2"/>
    <x v="2"/>
    <x v="3"/>
    <x v="3"/>
    <x v="3"/>
    <x v="3"/>
    <x v="3"/>
    <x v="3"/>
    <x v="1"/>
    <x v="1"/>
    <x v="1"/>
    <x v="1"/>
    <x v="103"/>
    <x v="103"/>
    <x v="2"/>
    <x v="2"/>
    <x v="9"/>
    <x v="2"/>
    <x v="103"/>
    <x v="0"/>
    <x v="0"/>
    <x v="103"/>
    <x v="103"/>
    <x v="103"/>
    <x v="103"/>
    <x v="103"/>
    <x v="103"/>
    <x v="0"/>
    <x v="0"/>
    <x v="0"/>
    <x v="0"/>
    <x v="4"/>
    <x v="1"/>
    <x v="0"/>
  </r>
  <r>
    <x v="104"/>
    <x v="99"/>
    <x v="97"/>
    <x v="103"/>
    <x v="96"/>
    <x v="104"/>
    <x v="4"/>
    <x v="4"/>
    <x v="0"/>
    <x v="0"/>
    <x v="2"/>
    <x v="2"/>
    <x v="11"/>
    <x v="11"/>
    <x v="12"/>
    <x v="12"/>
    <x v="0"/>
    <x v="0"/>
    <x v="7"/>
    <x v="7"/>
    <x v="104"/>
    <x v="104"/>
    <x v="1"/>
    <x v="1"/>
    <x v="2"/>
    <x v="8"/>
    <x v="104"/>
    <x v="3"/>
    <x v="3"/>
    <x v="104"/>
    <x v="104"/>
    <x v="104"/>
    <x v="104"/>
    <x v="104"/>
    <x v="104"/>
    <x v="0"/>
    <x v="0"/>
    <x v="1"/>
    <x v="1"/>
    <x v="6"/>
    <x v="1"/>
    <x v="0"/>
  </r>
  <r>
    <x v="105"/>
    <x v="100"/>
    <x v="98"/>
    <x v="104"/>
    <x v="97"/>
    <x v="105"/>
    <x v="1"/>
    <x v="1"/>
    <x v="3"/>
    <x v="3"/>
    <x v="1"/>
    <x v="1"/>
    <x v="6"/>
    <x v="6"/>
    <x v="6"/>
    <x v="6"/>
    <x v="1"/>
    <x v="1"/>
    <x v="1"/>
    <x v="1"/>
    <x v="105"/>
    <x v="105"/>
    <x v="0"/>
    <x v="0"/>
    <x v="1"/>
    <x v="7"/>
    <x v="105"/>
    <x v="8"/>
    <x v="6"/>
    <x v="105"/>
    <x v="105"/>
    <x v="105"/>
    <x v="105"/>
    <x v="105"/>
    <x v="105"/>
    <x v="0"/>
    <x v="0"/>
    <x v="0"/>
    <x v="0"/>
    <x v="2"/>
    <x v="0"/>
    <x v="0"/>
  </r>
  <r>
    <x v="106"/>
    <x v="101"/>
    <x v="99"/>
    <x v="105"/>
    <x v="98"/>
    <x v="106"/>
    <x v="3"/>
    <x v="3"/>
    <x v="3"/>
    <x v="3"/>
    <x v="1"/>
    <x v="1"/>
    <x v="6"/>
    <x v="6"/>
    <x v="6"/>
    <x v="6"/>
    <x v="0"/>
    <x v="0"/>
    <x v="0"/>
    <x v="0"/>
    <x v="106"/>
    <x v="106"/>
    <x v="3"/>
    <x v="3"/>
    <x v="9"/>
    <x v="7"/>
    <x v="106"/>
    <x v="9"/>
    <x v="1"/>
    <x v="106"/>
    <x v="106"/>
    <x v="106"/>
    <x v="106"/>
    <x v="106"/>
    <x v="106"/>
    <x v="0"/>
    <x v="0"/>
    <x v="1"/>
    <x v="1"/>
    <x v="6"/>
    <x v="0"/>
    <x v="1"/>
  </r>
  <r>
    <x v="107"/>
    <x v="102"/>
    <x v="100"/>
    <x v="106"/>
    <x v="99"/>
    <x v="107"/>
    <x v="12"/>
    <x v="12"/>
    <x v="3"/>
    <x v="3"/>
    <x v="1"/>
    <x v="1"/>
    <x v="6"/>
    <x v="6"/>
    <x v="6"/>
    <x v="6"/>
    <x v="1"/>
    <x v="1"/>
    <x v="3"/>
    <x v="3"/>
    <x v="107"/>
    <x v="107"/>
    <x v="2"/>
    <x v="2"/>
    <x v="0"/>
    <x v="1"/>
    <x v="107"/>
    <x v="5"/>
    <x v="5"/>
    <x v="107"/>
    <x v="107"/>
    <x v="107"/>
    <x v="107"/>
    <x v="107"/>
    <x v="107"/>
    <x v="0"/>
    <x v="0"/>
    <x v="0"/>
    <x v="0"/>
    <x v="9"/>
    <x v="0"/>
    <x v="0"/>
  </r>
  <r>
    <x v="108"/>
    <x v="103"/>
    <x v="101"/>
    <x v="107"/>
    <x v="100"/>
    <x v="108"/>
    <x v="7"/>
    <x v="7"/>
    <x v="1"/>
    <x v="1"/>
    <x v="1"/>
    <x v="1"/>
    <x v="1"/>
    <x v="1"/>
    <x v="1"/>
    <x v="1"/>
    <x v="1"/>
    <x v="1"/>
    <x v="10"/>
    <x v="10"/>
    <x v="108"/>
    <x v="108"/>
    <x v="1"/>
    <x v="1"/>
    <x v="9"/>
    <x v="7"/>
    <x v="108"/>
    <x v="3"/>
    <x v="3"/>
    <x v="108"/>
    <x v="108"/>
    <x v="108"/>
    <x v="108"/>
    <x v="108"/>
    <x v="108"/>
    <x v="0"/>
    <x v="0"/>
    <x v="0"/>
    <x v="0"/>
    <x v="1"/>
    <x v="0"/>
    <x v="0"/>
  </r>
  <r>
    <x v="109"/>
    <x v="104"/>
    <x v="102"/>
    <x v="75"/>
    <x v="65"/>
    <x v="109"/>
    <x v="11"/>
    <x v="11"/>
    <x v="0"/>
    <x v="0"/>
    <x v="4"/>
    <x v="0"/>
    <x v="18"/>
    <x v="18"/>
    <x v="19"/>
    <x v="19"/>
    <x v="0"/>
    <x v="0"/>
    <x v="9"/>
    <x v="9"/>
    <x v="109"/>
    <x v="109"/>
    <x v="0"/>
    <x v="0"/>
    <x v="5"/>
    <x v="5"/>
    <x v="109"/>
    <x v="3"/>
    <x v="3"/>
    <x v="109"/>
    <x v="109"/>
    <x v="109"/>
    <x v="109"/>
    <x v="109"/>
    <x v="109"/>
    <x v="0"/>
    <x v="0"/>
    <x v="0"/>
    <x v="0"/>
    <x v="1"/>
    <x v="1"/>
    <x v="0"/>
  </r>
  <r>
    <x v="110"/>
    <x v="105"/>
    <x v="103"/>
    <x v="108"/>
    <x v="101"/>
    <x v="110"/>
    <x v="5"/>
    <x v="5"/>
    <x v="2"/>
    <x v="2"/>
    <x v="2"/>
    <x v="2"/>
    <x v="13"/>
    <x v="13"/>
    <x v="14"/>
    <x v="14"/>
    <x v="0"/>
    <x v="0"/>
    <x v="7"/>
    <x v="7"/>
    <x v="110"/>
    <x v="110"/>
    <x v="2"/>
    <x v="2"/>
    <x v="0"/>
    <x v="7"/>
    <x v="110"/>
    <x v="1"/>
    <x v="1"/>
    <x v="110"/>
    <x v="110"/>
    <x v="110"/>
    <x v="110"/>
    <x v="110"/>
    <x v="110"/>
    <x v="1"/>
    <x v="1"/>
    <x v="1"/>
    <x v="1"/>
    <x v="9"/>
    <x v="0"/>
    <x v="0"/>
  </r>
  <r>
    <x v="111"/>
    <x v="106"/>
    <x v="104"/>
    <x v="109"/>
    <x v="102"/>
    <x v="111"/>
    <x v="6"/>
    <x v="6"/>
    <x v="2"/>
    <x v="2"/>
    <x v="1"/>
    <x v="1"/>
    <x v="9"/>
    <x v="9"/>
    <x v="10"/>
    <x v="10"/>
    <x v="2"/>
    <x v="2"/>
    <x v="5"/>
    <x v="5"/>
    <x v="111"/>
    <x v="111"/>
    <x v="2"/>
    <x v="2"/>
    <x v="4"/>
    <x v="5"/>
    <x v="111"/>
    <x v="5"/>
    <x v="5"/>
    <x v="111"/>
    <x v="111"/>
    <x v="111"/>
    <x v="111"/>
    <x v="111"/>
    <x v="111"/>
    <x v="2"/>
    <x v="2"/>
    <x v="1"/>
    <x v="1"/>
    <x v="2"/>
    <x v="1"/>
    <x v="0"/>
  </r>
  <r>
    <x v="112"/>
    <x v="107"/>
    <x v="105"/>
    <x v="110"/>
    <x v="103"/>
    <x v="112"/>
    <x v="11"/>
    <x v="11"/>
    <x v="7"/>
    <x v="0"/>
    <x v="5"/>
    <x v="4"/>
    <x v="12"/>
    <x v="12"/>
    <x v="13"/>
    <x v="13"/>
    <x v="2"/>
    <x v="2"/>
    <x v="5"/>
    <x v="5"/>
    <x v="112"/>
    <x v="112"/>
    <x v="3"/>
    <x v="3"/>
    <x v="5"/>
    <x v="1"/>
    <x v="112"/>
    <x v="5"/>
    <x v="5"/>
    <x v="112"/>
    <x v="112"/>
    <x v="112"/>
    <x v="112"/>
    <x v="112"/>
    <x v="112"/>
    <x v="0"/>
    <x v="0"/>
    <x v="0"/>
    <x v="0"/>
    <x v="10"/>
    <x v="0"/>
    <x v="0"/>
  </r>
  <r>
    <x v="113"/>
    <x v="108"/>
    <x v="106"/>
    <x v="111"/>
    <x v="30"/>
    <x v="83"/>
    <x v="2"/>
    <x v="2"/>
    <x v="3"/>
    <x v="3"/>
    <x v="2"/>
    <x v="2"/>
    <x v="17"/>
    <x v="17"/>
    <x v="18"/>
    <x v="18"/>
    <x v="1"/>
    <x v="1"/>
    <x v="1"/>
    <x v="1"/>
    <x v="113"/>
    <x v="113"/>
    <x v="3"/>
    <x v="3"/>
    <x v="6"/>
    <x v="1"/>
    <x v="113"/>
    <x v="3"/>
    <x v="3"/>
    <x v="113"/>
    <x v="113"/>
    <x v="113"/>
    <x v="113"/>
    <x v="113"/>
    <x v="113"/>
    <x v="0"/>
    <x v="0"/>
    <x v="0"/>
    <x v="0"/>
    <x v="6"/>
    <x v="0"/>
    <x v="0"/>
  </r>
  <r>
    <x v="114"/>
    <x v="109"/>
    <x v="107"/>
    <x v="112"/>
    <x v="104"/>
    <x v="113"/>
    <x v="6"/>
    <x v="6"/>
    <x v="1"/>
    <x v="1"/>
    <x v="4"/>
    <x v="0"/>
    <x v="0"/>
    <x v="0"/>
    <x v="0"/>
    <x v="0"/>
    <x v="2"/>
    <x v="2"/>
    <x v="5"/>
    <x v="5"/>
    <x v="114"/>
    <x v="114"/>
    <x v="0"/>
    <x v="0"/>
    <x v="1"/>
    <x v="5"/>
    <x v="114"/>
    <x v="8"/>
    <x v="6"/>
    <x v="114"/>
    <x v="114"/>
    <x v="114"/>
    <x v="114"/>
    <x v="114"/>
    <x v="114"/>
    <x v="2"/>
    <x v="2"/>
    <x v="1"/>
    <x v="1"/>
    <x v="7"/>
    <x v="0"/>
    <x v="0"/>
  </r>
  <r>
    <x v="115"/>
    <x v="110"/>
    <x v="14"/>
    <x v="113"/>
    <x v="105"/>
    <x v="114"/>
    <x v="15"/>
    <x v="14"/>
    <x v="2"/>
    <x v="2"/>
    <x v="2"/>
    <x v="2"/>
    <x v="17"/>
    <x v="17"/>
    <x v="18"/>
    <x v="18"/>
    <x v="0"/>
    <x v="0"/>
    <x v="9"/>
    <x v="9"/>
    <x v="115"/>
    <x v="115"/>
    <x v="1"/>
    <x v="1"/>
    <x v="1"/>
    <x v="7"/>
    <x v="115"/>
    <x v="4"/>
    <x v="4"/>
    <x v="115"/>
    <x v="115"/>
    <x v="115"/>
    <x v="115"/>
    <x v="115"/>
    <x v="115"/>
    <x v="0"/>
    <x v="0"/>
    <x v="1"/>
    <x v="1"/>
    <x v="8"/>
    <x v="0"/>
    <x v="0"/>
  </r>
  <r>
    <x v="116"/>
    <x v="111"/>
    <x v="108"/>
    <x v="114"/>
    <x v="106"/>
    <x v="115"/>
    <x v="4"/>
    <x v="4"/>
    <x v="1"/>
    <x v="1"/>
    <x v="5"/>
    <x v="4"/>
    <x v="4"/>
    <x v="4"/>
    <x v="4"/>
    <x v="4"/>
    <x v="0"/>
    <x v="0"/>
    <x v="9"/>
    <x v="9"/>
    <x v="116"/>
    <x v="116"/>
    <x v="2"/>
    <x v="2"/>
    <x v="5"/>
    <x v="6"/>
    <x v="116"/>
    <x v="3"/>
    <x v="3"/>
    <x v="116"/>
    <x v="116"/>
    <x v="116"/>
    <x v="116"/>
    <x v="116"/>
    <x v="116"/>
    <x v="3"/>
    <x v="3"/>
    <x v="1"/>
    <x v="1"/>
    <x v="6"/>
    <x v="1"/>
    <x v="0"/>
  </r>
  <r>
    <x v="117"/>
    <x v="112"/>
    <x v="109"/>
    <x v="115"/>
    <x v="107"/>
    <x v="116"/>
    <x v="1"/>
    <x v="1"/>
    <x v="3"/>
    <x v="3"/>
    <x v="2"/>
    <x v="2"/>
    <x v="17"/>
    <x v="17"/>
    <x v="18"/>
    <x v="18"/>
    <x v="2"/>
    <x v="2"/>
    <x v="12"/>
    <x v="12"/>
    <x v="117"/>
    <x v="117"/>
    <x v="3"/>
    <x v="3"/>
    <x v="7"/>
    <x v="6"/>
    <x v="117"/>
    <x v="11"/>
    <x v="7"/>
    <x v="117"/>
    <x v="117"/>
    <x v="117"/>
    <x v="117"/>
    <x v="117"/>
    <x v="117"/>
    <x v="0"/>
    <x v="0"/>
    <x v="0"/>
    <x v="0"/>
    <x v="6"/>
    <x v="0"/>
    <x v="0"/>
  </r>
  <r>
    <x v="118"/>
    <x v="113"/>
    <x v="110"/>
    <x v="116"/>
    <x v="108"/>
    <x v="117"/>
    <x v="16"/>
    <x v="5"/>
    <x v="3"/>
    <x v="3"/>
    <x v="2"/>
    <x v="2"/>
    <x v="5"/>
    <x v="5"/>
    <x v="5"/>
    <x v="5"/>
    <x v="2"/>
    <x v="2"/>
    <x v="6"/>
    <x v="6"/>
    <x v="118"/>
    <x v="118"/>
    <x v="1"/>
    <x v="1"/>
    <x v="9"/>
    <x v="8"/>
    <x v="118"/>
    <x v="0"/>
    <x v="0"/>
    <x v="118"/>
    <x v="118"/>
    <x v="118"/>
    <x v="118"/>
    <x v="118"/>
    <x v="118"/>
    <x v="0"/>
    <x v="0"/>
    <x v="0"/>
    <x v="0"/>
    <x v="2"/>
    <x v="0"/>
    <x v="0"/>
  </r>
  <r>
    <x v="119"/>
    <x v="114"/>
    <x v="111"/>
    <x v="117"/>
    <x v="109"/>
    <x v="118"/>
    <x v="7"/>
    <x v="7"/>
    <x v="8"/>
    <x v="1"/>
    <x v="2"/>
    <x v="2"/>
    <x v="13"/>
    <x v="13"/>
    <x v="14"/>
    <x v="14"/>
    <x v="1"/>
    <x v="1"/>
    <x v="4"/>
    <x v="4"/>
    <x v="119"/>
    <x v="119"/>
    <x v="3"/>
    <x v="3"/>
    <x v="2"/>
    <x v="0"/>
    <x v="119"/>
    <x v="3"/>
    <x v="3"/>
    <x v="119"/>
    <x v="119"/>
    <x v="119"/>
    <x v="119"/>
    <x v="119"/>
    <x v="119"/>
    <x v="1"/>
    <x v="1"/>
    <x v="2"/>
    <x v="2"/>
    <x v="2"/>
    <x v="0"/>
    <x v="0"/>
  </r>
  <r>
    <x v="120"/>
    <x v="78"/>
    <x v="76"/>
    <x v="118"/>
    <x v="110"/>
    <x v="119"/>
    <x v="11"/>
    <x v="11"/>
    <x v="1"/>
    <x v="1"/>
    <x v="1"/>
    <x v="1"/>
    <x v="9"/>
    <x v="9"/>
    <x v="10"/>
    <x v="10"/>
    <x v="2"/>
    <x v="2"/>
    <x v="11"/>
    <x v="11"/>
    <x v="120"/>
    <x v="120"/>
    <x v="3"/>
    <x v="3"/>
    <x v="9"/>
    <x v="5"/>
    <x v="120"/>
    <x v="0"/>
    <x v="0"/>
    <x v="120"/>
    <x v="120"/>
    <x v="120"/>
    <x v="120"/>
    <x v="120"/>
    <x v="120"/>
    <x v="0"/>
    <x v="0"/>
    <x v="2"/>
    <x v="2"/>
    <x v="1"/>
    <x v="0"/>
    <x v="0"/>
  </r>
  <r>
    <x v="121"/>
    <x v="115"/>
    <x v="67"/>
    <x v="119"/>
    <x v="111"/>
    <x v="120"/>
    <x v="15"/>
    <x v="14"/>
    <x v="9"/>
    <x v="1"/>
    <x v="2"/>
    <x v="2"/>
    <x v="5"/>
    <x v="5"/>
    <x v="5"/>
    <x v="5"/>
    <x v="2"/>
    <x v="2"/>
    <x v="12"/>
    <x v="12"/>
    <x v="121"/>
    <x v="121"/>
    <x v="0"/>
    <x v="0"/>
    <x v="5"/>
    <x v="8"/>
    <x v="121"/>
    <x v="1"/>
    <x v="1"/>
    <x v="121"/>
    <x v="121"/>
    <x v="121"/>
    <x v="121"/>
    <x v="121"/>
    <x v="121"/>
    <x v="1"/>
    <x v="1"/>
    <x v="1"/>
    <x v="1"/>
    <x v="1"/>
    <x v="1"/>
    <x v="0"/>
  </r>
  <r>
    <x v="122"/>
    <x v="116"/>
    <x v="112"/>
    <x v="120"/>
    <x v="112"/>
    <x v="121"/>
    <x v="4"/>
    <x v="4"/>
    <x v="1"/>
    <x v="1"/>
    <x v="1"/>
    <x v="1"/>
    <x v="10"/>
    <x v="10"/>
    <x v="11"/>
    <x v="11"/>
    <x v="1"/>
    <x v="1"/>
    <x v="4"/>
    <x v="4"/>
    <x v="122"/>
    <x v="122"/>
    <x v="0"/>
    <x v="0"/>
    <x v="5"/>
    <x v="1"/>
    <x v="122"/>
    <x v="1"/>
    <x v="1"/>
    <x v="122"/>
    <x v="122"/>
    <x v="122"/>
    <x v="122"/>
    <x v="122"/>
    <x v="122"/>
    <x v="0"/>
    <x v="0"/>
    <x v="0"/>
    <x v="0"/>
    <x v="3"/>
    <x v="0"/>
    <x v="0"/>
  </r>
  <r>
    <x v="123"/>
    <x v="117"/>
    <x v="5"/>
    <x v="121"/>
    <x v="113"/>
    <x v="122"/>
    <x v="11"/>
    <x v="11"/>
    <x v="1"/>
    <x v="1"/>
    <x v="4"/>
    <x v="0"/>
    <x v="7"/>
    <x v="7"/>
    <x v="8"/>
    <x v="8"/>
    <x v="2"/>
    <x v="2"/>
    <x v="6"/>
    <x v="6"/>
    <x v="123"/>
    <x v="123"/>
    <x v="1"/>
    <x v="1"/>
    <x v="3"/>
    <x v="5"/>
    <x v="123"/>
    <x v="1"/>
    <x v="1"/>
    <x v="123"/>
    <x v="123"/>
    <x v="123"/>
    <x v="123"/>
    <x v="123"/>
    <x v="123"/>
    <x v="1"/>
    <x v="1"/>
    <x v="1"/>
    <x v="1"/>
    <x v="4"/>
    <x v="0"/>
    <x v="0"/>
  </r>
  <r>
    <x v="124"/>
    <x v="0"/>
    <x v="0"/>
    <x v="122"/>
    <x v="114"/>
    <x v="123"/>
    <x v="2"/>
    <x v="2"/>
    <x v="2"/>
    <x v="2"/>
    <x v="2"/>
    <x v="2"/>
    <x v="11"/>
    <x v="11"/>
    <x v="12"/>
    <x v="12"/>
    <x v="2"/>
    <x v="2"/>
    <x v="6"/>
    <x v="6"/>
    <x v="124"/>
    <x v="124"/>
    <x v="3"/>
    <x v="3"/>
    <x v="4"/>
    <x v="6"/>
    <x v="124"/>
    <x v="12"/>
    <x v="1"/>
    <x v="124"/>
    <x v="124"/>
    <x v="124"/>
    <x v="124"/>
    <x v="124"/>
    <x v="124"/>
    <x v="0"/>
    <x v="0"/>
    <x v="3"/>
    <x v="0"/>
    <x v="0"/>
    <x v="0"/>
    <x v="1"/>
  </r>
  <r>
    <x v="125"/>
    <x v="118"/>
    <x v="113"/>
    <x v="123"/>
    <x v="115"/>
    <x v="124"/>
    <x v="6"/>
    <x v="6"/>
    <x v="1"/>
    <x v="1"/>
    <x v="3"/>
    <x v="3"/>
    <x v="0"/>
    <x v="0"/>
    <x v="7"/>
    <x v="7"/>
    <x v="1"/>
    <x v="1"/>
    <x v="1"/>
    <x v="1"/>
    <x v="125"/>
    <x v="125"/>
    <x v="1"/>
    <x v="1"/>
    <x v="3"/>
    <x v="3"/>
    <x v="125"/>
    <x v="3"/>
    <x v="3"/>
    <x v="125"/>
    <x v="125"/>
    <x v="125"/>
    <x v="125"/>
    <x v="125"/>
    <x v="125"/>
    <x v="1"/>
    <x v="1"/>
    <x v="2"/>
    <x v="2"/>
    <x v="0"/>
    <x v="1"/>
    <x v="0"/>
  </r>
  <r>
    <x v="126"/>
    <x v="119"/>
    <x v="114"/>
    <x v="124"/>
    <x v="116"/>
    <x v="125"/>
    <x v="8"/>
    <x v="8"/>
    <x v="2"/>
    <x v="2"/>
    <x v="4"/>
    <x v="0"/>
    <x v="18"/>
    <x v="18"/>
    <x v="19"/>
    <x v="19"/>
    <x v="2"/>
    <x v="2"/>
    <x v="6"/>
    <x v="6"/>
    <x v="126"/>
    <x v="126"/>
    <x v="3"/>
    <x v="3"/>
    <x v="7"/>
    <x v="1"/>
    <x v="126"/>
    <x v="8"/>
    <x v="6"/>
    <x v="126"/>
    <x v="126"/>
    <x v="126"/>
    <x v="126"/>
    <x v="126"/>
    <x v="126"/>
    <x v="0"/>
    <x v="0"/>
    <x v="0"/>
    <x v="0"/>
    <x v="7"/>
    <x v="1"/>
    <x v="0"/>
  </r>
  <r>
    <x v="127"/>
    <x v="120"/>
    <x v="45"/>
    <x v="125"/>
    <x v="85"/>
    <x v="126"/>
    <x v="8"/>
    <x v="8"/>
    <x v="2"/>
    <x v="2"/>
    <x v="3"/>
    <x v="3"/>
    <x v="4"/>
    <x v="4"/>
    <x v="4"/>
    <x v="4"/>
    <x v="0"/>
    <x v="0"/>
    <x v="8"/>
    <x v="8"/>
    <x v="127"/>
    <x v="127"/>
    <x v="0"/>
    <x v="0"/>
    <x v="10"/>
    <x v="7"/>
    <x v="127"/>
    <x v="5"/>
    <x v="5"/>
    <x v="127"/>
    <x v="127"/>
    <x v="127"/>
    <x v="127"/>
    <x v="127"/>
    <x v="127"/>
    <x v="0"/>
    <x v="0"/>
    <x v="0"/>
    <x v="0"/>
    <x v="10"/>
    <x v="1"/>
    <x v="2"/>
  </r>
  <r>
    <x v="128"/>
    <x v="121"/>
    <x v="115"/>
    <x v="126"/>
    <x v="117"/>
    <x v="127"/>
    <x v="6"/>
    <x v="6"/>
    <x v="1"/>
    <x v="1"/>
    <x v="1"/>
    <x v="1"/>
    <x v="1"/>
    <x v="1"/>
    <x v="1"/>
    <x v="1"/>
    <x v="1"/>
    <x v="1"/>
    <x v="3"/>
    <x v="3"/>
    <x v="128"/>
    <x v="128"/>
    <x v="3"/>
    <x v="3"/>
    <x v="4"/>
    <x v="8"/>
    <x v="128"/>
    <x v="5"/>
    <x v="5"/>
    <x v="128"/>
    <x v="128"/>
    <x v="128"/>
    <x v="128"/>
    <x v="128"/>
    <x v="128"/>
    <x v="0"/>
    <x v="0"/>
    <x v="2"/>
    <x v="2"/>
    <x v="8"/>
    <x v="0"/>
    <x v="0"/>
  </r>
  <r>
    <x v="129"/>
    <x v="122"/>
    <x v="43"/>
    <x v="127"/>
    <x v="56"/>
    <x v="128"/>
    <x v="2"/>
    <x v="2"/>
    <x v="1"/>
    <x v="1"/>
    <x v="3"/>
    <x v="3"/>
    <x v="14"/>
    <x v="14"/>
    <x v="15"/>
    <x v="15"/>
    <x v="0"/>
    <x v="0"/>
    <x v="9"/>
    <x v="9"/>
    <x v="129"/>
    <x v="129"/>
    <x v="3"/>
    <x v="3"/>
    <x v="0"/>
    <x v="4"/>
    <x v="129"/>
    <x v="5"/>
    <x v="5"/>
    <x v="129"/>
    <x v="129"/>
    <x v="129"/>
    <x v="129"/>
    <x v="129"/>
    <x v="129"/>
    <x v="0"/>
    <x v="0"/>
    <x v="0"/>
    <x v="0"/>
    <x v="0"/>
    <x v="0"/>
    <x v="0"/>
  </r>
  <r>
    <x v="130"/>
    <x v="123"/>
    <x v="116"/>
    <x v="128"/>
    <x v="118"/>
    <x v="129"/>
    <x v="3"/>
    <x v="3"/>
    <x v="0"/>
    <x v="0"/>
    <x v="3"/>
    <x v="3"/>
    <x v="12"/>
    <x v="12"/>
    <x v="13"/>
    <x v="13"/>
    <x v="0"/>
    <x v="0"/>
    <x v="7"/>
    <x v="7"/>
    <x v="130"/>
    <x v="130"/>
    <x v="1"/>
    <x v="1"/>
    <x v="0"/>
    <x v="8"/>
    <x v="130"/>
    <x v="0"/>
    <x v="0"/>
    <x v="130"/>
    <x v="130"/>
    <x v="130"/>
    <x v="130"/>
    <x v="130"/>
    <x v="130"/>
    <x v="2"/>
    <x v="2"/>
    <x v="1"/>
    <x v="1"/>
    <x v="10"/>
    <x v="0"/>
    <x v="0"/>
  </r>
  <r>
    <x v="131"/>
    <x v="124"/>
    <x v="26"/>
    <x v="129"/>
    <x v="119"/>
    <x v="130"/>
    <x v="4"/>
    <x v="4"/>
    <x v="3"/>
    <x v="3"/>
    <x v="1"/>
    <x v="1"/>
    <x v="15"/>
    <x v="15"/>
    <x v="16"/>
    <x v="16"/>
    <x v="0"/>
    <x v="0"/>
    <x v="0"/>
    <x v="0"/>
    <x v="131"/>
    <x v="131"/>
    <x v="1"/>
    <x v="1"/>
    <x v="1"/>
    <x v="6"/>
    <x v="131"/>
    <x v="0"/>
    <x v="0"/>
    <x v="131"/>
    <x v="131"/>
    <x v="131"/>
    <x v="131"/>
    <x v="131"/>
    <x v="131"/>
    <x v="0"/>
    <x v="0"/>
    <x v="0"/>
    <x v="0"/>
    <x v="7"/>
    <x v="1"/>
    <x v="0"/>
  </r>
  <r>
    <x v="132"/>
    <x v="125"/>
    <x v="117"/>
    <x v="130"/>
    <x v="99"/>
    <x v="131"/>
    <x v="15"/>
    <x v="14"/>
    <x v="2"/>
    <x v="2"/>
    <x v="1"/>
    <x v="1"/>
    <x v="10"/>
    <x v="10"/>
    <x v="11"/>
    <x v="11"/>
    <x v="2"/>
    <x v="2"/>
    <x v="12"/>
    <x v="12"/>
    <x v="132"/>
    <x v="132"/>
    <x v="2"/>
    <x v="2"/>
    <x v="6"/>
    <x v="7"/>
    <x v="132"/>
    <x v="1"/>
    <x v="1"/>
    <x v="132"/>
    <x v="132"/>
    <x v="132"/>
    <x v="132"/>
    <x v="132"/>
    <x v="132"/>
    <x v="3"/>
    <x v="3"/>
    <x v="1"/>
    <x v="1"/>
    <x v="3"/>
    <x v="0"/>
    <x v="0"/>
  </r>
  <r>
    <x v="133"/>
    <x v="126"/>
    <x v="115"/>
    <x v="131"/>
    <x v="120"/>
    <x v="132"/>
    <x v="0"/>
    <x v="0"/>
    <x v="0"/>
    <x v="0"/>
    <x v="3"/>
    <x v="3"/>
    <x v="14"/>
    <x v="14"/>
    <x v="15"/>
    <x v="15"/>
    <x v="2"/>
    <x v="2"/>
    <x v="11"/>
    <x v="11"/>
    <x v="133"/>
    <x v="133"/>
    <x v="0"/>
    <x v="0"/>
    <x v="1"/>
    <x v="0"/>
    <x v="133"/>
    <x v="4"/>
    <x v="4"/>
    <x v="133"/>
    <x v="133"/>
    <x v="133"/>
    <x v="133"/>
    <x v="133"/>
    <x v="133"/>
    <x v="0"/>
    <x v="0"/>
    <x v="0"/>
    <x v="0"/>
    <x v="8"/>
    <x v="0"/>
    <x v="0"/>
  </r>
  <r>
    <x v="134"/>
    <x v="127"/>
    <x v="118"/>
    <x v="132"/>
    <x v="121"/>
    <x v="133"/>
    <x v="5"/>
    <x v="5"/>
    <x v="3"/>
    <x v="3"/>
    <x v="1"/>
    <x v="1"/>
    <x v="6"/>
    <x v="6"/>
    <x v="6"/>
    <x v="6"/>
    <x v="1"/>
    <x v="1"/>
    <x v="10"/>
    <x v="10"/>
    <x v="134"/>
    <x v="134"/>
    <x v="4"/>
    <x v="4"/>
    <x v="6"/>
    <x v="8"/>
    <x v="134"/>
    <x v="3"/>
    <x v="3"/>
    <x v="134"/>
    <x v="134"/>
    <x v="134"/>
    <x v="134"/>
    <x v="134"/>
    <x v="134"/>
    <x v="2"/>
    <x v="2"/>
    <x v="1"/>
    <x v="1"/>
    <x v="0"/>
    <x v="1"/>
    <x v="0"/>
  </r>
  <r>
    <x v="135"/>
    <x v="128"/>
    <x v="85"/>
    <x v="133"/>
    <x v="122"/>
    <x v="134"/>
    <x v="13"/>
    <x v="13"/>
    <x v="1"/>
    <x v="1"/>
    <x v="2"/>
    <x v="2"/>
    <x v="13"/>
    <x v="13"/>
    <x v="14"/>
    <x v="14"/>
    <x v="5"/>
    <x v="1"/>
    <x v="10"/>
    <x v="10"/>
    <x v="135"/>
    <x v="135"/>
    <x v="3"/>
    <x v="3"/>
    <x v="6"/>
    <x v="5"/>
    <x v="135"/>
    <x v="1"/>
    <x v="1"/>
    <x v="135"/>
    <x v="135"/>
    <x v="135"/>
    <x v="135"/>
    <x v="135"/>
    <x v="135"/>
    <x v="0"/>
    <x v="0"/>
    <x v="0"/>
    <x v="0"/>
    <x v="1"/>
    <x v="1"/>
    <x v="0"/>
  </r>
  <r>
    <x v="136"/>
    <x v="129"/>
    <x v="119"/>
    <x v="134"/>
    <x v="123"/>
    <x v="135"/>
    <x v="1"/>
    <x v="1"/>
    <x v="3"/>
    <x v="3"/>
    <x v="1"/>
    <x v="1"/>
    <x v="15"/>
    <x v="15"/>
    <x v="16"/>
    <x v="16"/>
    <x v="0"/>
    <x v="0"/>
    <x v="9"/>
    <x v="9"/>
    <x v="136"/>
    <x v="136"/>
    <x v="6"/>
    <x v="3"/>
    <x v="0"/>
    <x v="6"/>
    <x v="136"/>
    <x v="0"/>
    <x v="0"/>
    <x v="136"/>
    <x v="136"/>
    <x v="136"/>
    <x v="136"/>
    <x v="136"/>
    <x v="136"/>
    <x v="0"/>
    <x v="0"/>
    <x v="0"/>
    <x v="0"/>
    <x v="6"/>
    <x v="1"/>
    <x v="0"/>
  </r>
  <r>
    <x v="137"/>
    <x v="130"/>
    <x v="120"/>
    <x v="135"/>
    <x v="124"/>
    <x v="136"/>
    <x v="11"/>
    <x v="11"/>
    <x v="1"/>
    <x v="1"/>
    <x v="4"/>
    <x v="0"/>
    <x v="0"/>
    <x v="0"/>
    <x v="0"/>
    <x v="0"/>
    <x v="1"/>
    <x v="1"/>
    <x v="4"/>
    <x v="4"/>
    <x v="137"/>
    <x v="137"/>
    <x v="1"/>
    <x v="1"/>
    <x v="6"/>
    <x v="0"/>
    <x v="137"/>
    <x v="8"/>
    <x v="6"/>
    <x v="137"/>
    <x v="137"/>
    <x v="137"/>
    <x v="137"/>
    <x v="137"/>
    <x v="137"/>
    <x v="0"/>
    <x v="0"/>
    <x v="0"/>
    <x v="0"/>
    <x v="10"/>
    <x v="1"/>
    <x v="0"/>
  </r>
  <r>
    <x v="138"/>
    <x v="131"/>
    <x v="121"/>
    <x v="136"/>
    <x v="125"/>
    <x v="137"/>
    <x v="13"/>
    <x v="13"/>
    <x v="3"/>
    <x v="3"/>
    <x v="1"/>
    <x v="1"/>
    <x v="15"/>
    <x v="15"/>
    <x v="16"/>
    <x v="16"/>
    <x v="2"/>
    <x v="2"/>
    <x v="12"/>
    <x v="12"/>
    <x v="138"/>
    <x v="138"/>
    <x v="3"/>
    <x v="3"/>
    <x v="0"/>
    <x v="0"/>
    <x v="138"/>
    <x v="3"/>
    <x v="3"/>
    <x v="138"/>
    <x v="138"/>
    <x v="138"/>
    <x v="138"/>
    <x v="138"/>
    <x v="138"/>
    <x v="0"/>
    <x v="0"/>
    <x v="0"/>
    <x v="0"/>
    <x v="10"/>
    <x v="0"/>
    <x v="0"/>
  </r>
  <r>
    <x v="139"/>
    <x v="132"/>
    <x v="86"/>
    <x v="137"/>
    <x v="126"/>
    <x v="138"/>
    <x v="6"/>
    <x v="6"/>
    <x v="3"/>
    <x v="3"/>
    <x v="2"/>
    <x v="2"/>
    <x v="11"/>
    <x v="11"/>
    <x v="12"/>
    <x v="12"/>
    <x v="0"/>
    <x v="0"/>
    <x v="7"/>
    <x v="7"/>
    <x v="139"/>
    <x v="139"/>
    <x v="3"/>
    <x v="3"/>
    <x v="1"/>
    <x v="0"/>
    <x v="139"/>
    <x v="1"/>
    <x v="1"/>
    <x v="139"/>
    <x v="139"/>
    <x v="139"/>
    <x v="139"/>
    <x v="139"/>
    <x v="139"/>
    <x v="0"/>
    <x v="0"/>
    <x v="0"/>
    <x v="0"/>
    <x v="11"/>
    <x v="1"/>
    <x v="0"/>
  </r>
  <r>
    <x v="140"/>
    <x v="133"/>
    <x v="122"/>
    <x v="138"/>
    <x v="127"/>
    <x v="139"/>
    <x v="1"/>
    <x v="1"/>
    <x v="2"/>
    <x v="2"/>
    <x v="2"/>
    <x v="2"/>
    <x v="11"/>
    <x v="11"/>
    <x v="12"/>
    <x v="12"/>
    <x v="1"/>
    <x v="1"/>
    <x v="10"/>
    <x v="10"/>
    <x v="140"/>
    <x v="140"/>
    <x v="1"/>
    <x v="1"/>
    <x v="3"/>
    <x v="1"/>
    <x v="140"/>
    <x v="1"/>
    <x v="1"/>
    <x v="140"/>
    <x v="140"/>
    <x v="140"/>
    <x v="140"/>
    <x v="140"/>
    <x v="140"/>
    <x v="0"/>
    <x v="0"/>
    <x v="0"/>
    <x v="0"/>
    <x v="4"/>
    <x v="0"/>
    <x v="0"/>
  </r>
  <r>
    <x v="141"/>
    <x v="134"/>
    <x v="123"/>
    <x v="139"/>
    <x v="128"/>
    <x v="140"/>
    <x v="8"/>
    <x v="8"/>
    <x v="2"/>
    <x v="2"/>
    <x v="4"/>
    <x v="0"/>
    <x v="18"/>
    <x v="18"/>
    <x v="19"/>
    <x v="19"/>
    <x v="1"/>
    <x v="1"/>
    <x v="10"/>
    <x v="10"/>
    <x v="141"/>
    <x v="141"/>
    <x v="1"/>
    <x v="1"/>
    <x v="0"/>
    <x v="4"/>
    <x v="141"/>
    <x v="8"/>
    <x v="6"/>
    <x v="141"/>
    <x v="141"/>
    <x v="141"/>
    <x v="141"/>
    <x v="141"/>
    <x v="141"/>
    <x v="0"/>
    <x v="0"/>
    <x v="2"/>
    <x v="2"/>
    <x v="11"/>
    <x v="0"/>
    <x v="0"/>
  </r>
  <r>
    <x v="142"/>
    <x v="135"/>
    <x v="124"/>
    <x v="140"/>
    <x v="129"/>
    <x v="141"/>
    <x v="7"/>
    <x v="7"/>
    <x v="3"/>
    <x v="3"/>
    <x v="4"/>
    <x v="0"/>
    <x v="0"/>
    <x v="0"/>
    <x v="0"/>
    <x v="0"/>
    <x v="2"/>
    <x v="2"/>
    <x v="11"/>
    <x v="11"/>
    <x v="142"/>
    <x v="142"/>
    <x v="0"/>
    <x v="0"/>
    <x v="10"/>
    <x v="8"/>
    <x v="142"/>
    <x v="4"/>
    <x v="4"/>
    <x v="142"/>
    <x v="142"/>
    <x v="142"/>
    <x v="142"/>
    <x v="142"/>
    <x v="142"/>
    <x v="0"/>
    <x v="0"/>
    <x v="0"/>
    <x v="0"/>
    <x v="11"/>
    <x v="0"/>
    <x v="2"/>
  </r>
  <r>
    <x v="143"/>
    <x v="85"/>
    <x v="83"/>
    <x v="141"/>
    <x v="129"/>
    <x v="142"/>
    <x v="8"/>
    <x v="8"/>
    <x v="0"/>
    <x v="0"/>
    <x v="3"/>
    <x v="3"/>
    <x v="12"/>
    <x v="12"/>
    <x v="13"/>
    <x v="13"/>
    <x v="0"/>
    <x v="0"/>
    <x v="0"/>
    <x v="0"/>
    <x v="143"/>
    <x v="143"/>
    <x v="0"/>
    <x v="0"/>
    <x v="7"/>
    <x v="5"/>
    <x v="143"/>
    <x v="8"/>
    <x v="6"/>
    <x v="143"/>
    <x v="143"/>
    <x v="143"/>
    <x v="143"/>
    <x v="143"/>
    <x v="143"/>
    <x v="0"/>
    <x v="0"/>
    <x v="2"/>
    <x v="2"/>
    <x v="11"/>
    <x v="0"/>
    <x v="0"/>
  </r>
  <r>
    <x v="144"/>
    <x v="136"/>
    <x v="125"/>
    <x v="142"/>
    <x v="2"/>
    <x v="143"/>
    <x v="15"/>
    <x v="14"/>
    <x v="1"/>
    <x v="1"/>
    <x v="2"/>
    <x v="2"/>
    <x v="2"/>
    <x v="2"/>
    <x v="2"/>
    <x v="2"/>
    <x v="2"/>
    <x v="2"/>
    <x v="5"/>
    <x v="5"/>
    <x v="144"/>
    <x v="144"/>
    <x v="2"/>
    <x v="2"/>
    <x v="9"/>
    <x v="4"/>
    <x v="144"/>
    <x v="3"/>
    <x v="3"/>
    <x v="144"/>
    <x v="144"/>
    <x v="144"/>
    <x v="144"/>
    <x v="144"/>
    <x v="144"/>
    <x v="1"/>
    <x v="1"/>
    <x v="2"/>
    <x v="2"/>
    <x v="2"/>
    <x v="0"/>
    <x v="0"/>
  </r>
  <r>
    <x v="145"/>
    <x v="137"/>
    <x v="126"/>
    <x v="143"/>
    <x v="130"/>
    <x v="144"/>
    <x v="1"/>
    <x v="1"/>
    <x v="1"/>
    <x v="1"/>
    <x v="3"/>
    <x v="3"/>
    <x v="14"/>
    <x v="14"/>
    <x v="15"/>
    <x v="15"/>
    <x v="0"/>
    <x v="0"/>
    <x v="0"/>
    <x v="0"/>
    <x v="145"/>
    <x v="145"/>
    <x v="3"/>
    <x v="3"/>
    <x v="7"/>
    <x v="2"/>
    <x v="145"/>
    <x v="8"/>
    <x v="6"/>
    <x v="145"/>
    <x v="145"/>
    <x v="145"/>
    <x v="145"/>
    <x v="145"/>
    <x v="145"/>
    <x v="0"/>
    <x v="0"/>
    <x v="0"/>
    <x v="0"/>
    <x v="5"/>
    <x v="1"/>
    <x v="0"/>
  </r>
  <r>
    <x v="146"/>
    <x v="138"/>
    <x v="127"/>
    <x v="144"/>
    <x v="131"/>
    <x v="145"/>
    <x v="11"/>
    <x v="11"/>
    <x v="1"/>
    <x v="1"/>
    <x v="2"/>
    <x v="2"/>
    <x v="17"/>
    <x v="17"/>
    <x v="18"/>
    <x v="18"/>
    <x v="0"/>
    <x v="0"/>
    <x v="8"/>
    <x v="8"/>
    <x v="146"/>
    <x v="146"/>
    <x v="1"/>
    <x v="1"/>
    <x v="7"/>
    <x v="6"/>
    <x v="146"/>
    <x v="8"/>
    <x v="6"/>
    <x v="146"/>
    <x v="146"/>
    <x v="146"/>
    <x v="146"/>
    <x v="146"/>
    <x v="146"/>
    <x v="0"/>
    <x v="0"/>
    <x v="0"/>
    <x v="0"/>
    <x v="0"/>
    <x v="1"/>
    <x v="0"/>
  </r>
  <r>
    <x v="147"/>
    <x v="139"/>
    <x v="61"/>
    <x v="145"/>
    <x v="132"/>
    <x v="146"/>
    <x v="8"/>
    <x v="8"/>
    <x v="3"/>
    <x v="3"/>
    <x v="3"/>
    <x v="3"/>
    <x v="14"/>
    <x v="14"/>
    <x v="15"/>
    <x v="15"/>
    <x v="1"/>
    <x v="1"/>
    <x v="3"/>
    <x v="3"/>
    <x v="147"/>
    <x v="147"/>
    <x v="2"/>
    <x v="2"/>
    <x v="2"/>
    <x v="0"/>
    <x v="147"/>
    <x v="8"/>
    <x v="6"/>
    <x v="147"/>
    <x v="147"/>
    <x v="147"/>
    <x v="147"/>
    <x v="147"/>
    <x v="147"/>
    <x v="0"/>
    <x v="0"/>
    <x v="0"/>
    <x v="0"/>
    <x v="8"/>
    <x v="0"/>
    <x v="0"/>
  </r>
  <r>
    <x v="148"/>
    <x v="140"/>
    <x v="119"/>
    <x v="146"/>
    <x v="133"/>
    <x v="147"/>
    <x v="1"/>
    <x v="1"/>
    <x v="3"/>
    <x v="3"/>
    <x v="3"/>
    <x v="3"/>
    <x v="4"/>
    <x v="4"/>
    <x v="4"/>
    <x v="4"/>
    <x v="2"/>
    <x v="2"/>
    <x v="11"/>
    <x v="11"/>
    <x v="148"/>
    <x v="148"/>
    <x v="4"/>
    <x v="4"/>
    <x v="5"/>
    <x v="0"/>
    <x v="148"/>
    <x v="3"/>
    <x v="3"/>
    <x v="148"/>
    <x v="148"/>
    <x v="148"/>
    <x v="148"/>
    <x v="148"/>
    <x v="148"/>
    <x v="0"/>
    <x v="0"/>
    <x v="0"/>
    <x v="0"/>
    <x v="6"/>
    <x v="1"/>
    <x v="0"/>
  </r>
  <r>
    <x v="149"/>
    <x v="141"/>
    <x v="128"/>
    <x v="147"/>
    <x v="134"/>
    <x v="148"/>
    <x v="10"/>
    <x v="10"/>
    <x v="1"/>
    <x v="1"/>
    <x v="3"/>
    <x v="3"/>
    <x v="0"/>
    <x v="0"/>
    <x v="7"/>
    <x v="7"/>
    <x v="2"/>
    <x v="2"/>
    <x v="6"/>
    <x v="6"/>
    <x v="149"/>
    <x v="149"/>
    <x v="1"/>
    <x v="1"/>
    <x v="6"/>
    <x v="4"/>
    <x v="149"/>
    <x v="3"/>
    <x v="3"/>
    <x v="149"/>
    <x v="149"/>
    <x v="149"/>
    <x v="149"/>
    <x v="149"/>
    <x v="149"/>
    <x v="0"/>
    <x v="0"/>
    <x v="0"/>
    <x v="0"/>
    <x v="10"/>
    <x v="0"/>
    <x v="0"/>
  </r>
  <r>
    <x v="150"/>
    <x v="142"/>
    <x v="23"/>
    <x v="148"/>
    <x v="135"/>
    <x v="149"/>
    <x v="3"/>
    <x v="3"/>
    <x v="0"/>
    <x v="0"/>
    <x v="5"/>
    <x v="4"/>
    <x v="12"/>
    <x v="12"/>
    <x v="13"/>
    <x v="13"/>
    <x v="1"/>
    <x v="1"/>
    <x v="10"/>
    <x v="10"/>
    <x v="150"/>
    <x v="150"/>
    <x v="2"/>
    <x v="2"/>
    <x v="9"/>
    <x v="5"/>
    <x v="150"/>
    <x v="8"/>
    <x v="6"/>
    <x v="150"/>
    <x v="150"/>
    <x v="150"/>
    <x v="150"/>
    <x v="150"/>
    <x v="150"/>
    <x v="0"/>
    <x v="0"/>
    <x v="0"/>
    <x v="0"/>
    <x v="11"/>
    <x v="0"/>
    <x v="0"/>
  </r>
  <r>
    <x v="151"/>
    <x v="143"/>
    <x v="129"/>
    <x v="149"/>
    <x v="136"/>
    <x v="150"/>
    <x v="6"/>
    <x v="6"/>
    <x v="3"/>
    <x v="3"/>
    <x v="5"/>
    <x v="4"/>
    <x v="4"/>
    <x v="4"/>
    <x v="4"/>
    <x v="4"/>
    <x v="2"/>
    <x v="2"/>
    <x v="6"/>
    <x v="6"/>
    <x v="151"/>
    <x v="151"/>
    <x v="3"/>
    <x v="3"/>
    <x v="6"/>
    <x v="7"/>
    <x v="151"/>
    <x v="1"/>
    <x v="1"/>
    <x v="151"/>
    <x v="151"/>
    <x v="151"/>
    <x v="151"/>
    <x v="151"/>
    <x v="151"/>
    <x v="2"/>
    <x v="2"/>
    <x v="2"/>
    <x v="2"/>
    <x v="2"/>
    <x v="0"/>
    <x v="0"/>
  </r>
  <r>
    <x v="152"/>
    <x v="144"/>
    <x v="130"/>
    <x v="150"/>
    <x v="137"/>
    <x v="151"/>
    <x v="15"/>
    <x v="14"/>
    <x v="1"/>
    <x v="1"/>
    <x v="2"/>
    <x v="2"/>
    <x v="13"/>
    <x v="13"/>
    <x v="14"/>
    <x v="14"/>
    <x v="1"/>
    <x v="1"/>
    <x v="1"/>
    <x v="1"/>
    <x v="152"/>
    <x v="152"/>
    <x v="0"/>
    <x v="0"/>
    <x v="4"/>
    <x v="3"/>
    <x v="152"/>
    <x v="8"/>
    <x v="6"/>
    <x v="152"/>
    <x v="152"/>
    <x v="152"/>
    <x v="152"/>
    <x v="152"/>
    <x v="152"/>
    <x v="2"/>
    <x v="2"/>
    <x v="2"/>
    <x v="2"/>
    <x v="2"/>
    <x v="0"/>
    <x v="0"/>
  </r>
  <r>
    <x v="153"/>
    <x v="145"/>
    <x v="131"/>
    <x v="151"/>
    <x v="138"/>
    <x v="152"/>
    <x v="7"/>
    <x v="7"/>
    <x v="0"/>
    <x v="0"/>
    <x v="1"/>
    <x v="1"/>
    <x v="1"/>
    <x v="1"/>
    <x v="1"/>
    <x v="1"/>
    <x v="0"/>
    <x v="0"/>
    <x v="7"/>
    <x v="7"/>
    <x v="153"/>
    <x v="153"/>
    <x v="3"/>
    <x v="3"/>
    <x v="7"/>
    <x v="4"/>
    <x v="153"/>
    <x v="1"/>
    <x v="1"/>
    <x v="153"/>
    <x v="153"/>
    <x v="153"/>
    <x v="153"/>
    <x v="153"/>
    <x v="153"/>
    <x v="1"/>
    <x v="1"/>
    <x v="2"/>
    <x v="2"/>
    <x v="7"/>
    <x v="1"/>
    <x v="0"/>
  </r>
  <r>
    <x v="154"/>
    <x v="146"/>
    <x v="106"/>
    <x v="152"/>
    <x v="139"/>
    <x v="114"/>
    <x v="8"/>
    <x v="8"/>
    <x v="0"/>
    <x v="0"/>
    <x v="2"/>
    <x v="2"/>
    <x v="17"/>
    <x v="17"/>
    <x v="18"/>
    <x v="18"/>
    <x v="1"/>
    <x v="1"/>
    <x v="10"/>
    <x v="10"/>
    <x v="154"/>
    <x v="154"/>
    <x v="1"/>
    <x v="1"/>
    <x v="11"/>
    <x v="5"/>
    <x v="154"/>
    <x v="4"/>
    <x v="4"/>
    <x v="154"/>
    <x v="154"/>
    <x v="154"/>
    <x v="154"/>
    <x v="154"/>
    <x v="154"/>
    <x v="0"/>
    <x v="0"/>
    <x v="0"/>
    <x v="0"/>
    <x v="6"/>
    <x v="0"/>
    <x v="2"/>
  </r>
  <r>
    <x v="155"/>
    <x v="147"/>
    <x v="132"/>
    <x v="153"/>
    <x v="140"/>
    <x v="153"/>
    <x v="0"/>
    <x v="0"/>
    <x v="2"/>
    <x v="2"/>
    <x v="3"/>
    <x v="3"/>
    <x v="0"/>
    <x v="0"/>
    <x v="7"/>
    <x v="7"/>
    <x v="1"/>
    <x v="1"/>
    <x v="3"/>
    <x v="3"/>
    <x v="155"/>
    <x v="155"/>
    <x v="1"/>
    <x v="1"/>
    <x v="9"/>
    <x v="1"/>
    <x v="155"/>
    <x v="8"/>
    <x v="6"/>
    <x v="155"/>
    <x v="155"/>
    <x v="155"/>
    <x v="155"/>
    <x v="155"/>
    <x v="155"/>
    <x v="1"/>
    <x v="1"/>
    <x v="2"/>
    <x v="2"/>
    <x v="10"/>
    <x v="1"/>
    <x v="0"/>
  </r>
  <r>
    <x v="156"/>
    <x v="148"/>
    <x v="133"/>
    <x v="154"/>
    <x v="141"/>
    <x v="154"/>
    <x v="5"/>
    <x v="5"/>
    <x v="1"/>
    <x v="1"/>
    <x v="1"/>
    <x v="1"/>
    <x v="9"/>
    <x v="9"/>
    <x v="10"/>
    <x v="10"/>
    <x v="2"/>
    <x v="2"/>
    <x v="12"/>
    <x v="12"/>
    <x v="156"/>
    <x v="156"/>
    <x v="0"/>
    <x v="0"/>
    <x v="6"/>
    <x v="4"/>
    <x v="156"/>
    <x v="3"/>
    <x v="3"/>
    <x v="156"/>
    <x v="156"/>
    <x v="156"/>
    <x v="156"/>
    <x v="156"/>
    <x v="156"/>
    <x v="0"/>
    <x v="0"/>
    <x v="3"/>
    <x v="0"/>
    <x v="11"/>
    <x v="1"/>
    <x v="0"/>
  </r>
  <r>
    <x v="157"/>
    <x v="149"/>
    <x v="134"/>
    <x v="155"/>
    <x v="101"/>
    <x v="155"/>
    <x v="12"/>
    <x v="12"/>
    <x v="1"/>
    <x v="1"/>
    <x v="2"/>
    <x v="2"/>
    <x v="5"/>
    <x v="5"/>
    <x v="5"/>
    <x v="5"/>
    <x v="1"/>
    <x v="1"/>
    <x v="10"/>
    <x v="10"/>
    <x v="157"/>
    <x v="157"/>
    <x v="3"/>
    <x v="3"/>
    <x v="7"/>
    <x v="1"/>
    <x v="157"/>
    <x v="4"/>
    <x v="4"/>
    <x v="157"/>
    <x v="157"/>
    <x v="157"/>
    <x v="157"/>
    <x v="157"/>
    <x v="157"/>
    <x v="0"/>
    <x v="0"/>
    <x v="0"/>
    <x v="0"/>
    <x v="9"/>
    <x v="0"/>
    <x v="0"/>
  </r>
  <r>
    <x v="158"/>
    <x v="150"/>
    <x v="135"/>
    <x v="156"/>
    <x v="142"/>
    <x v="156"/>
    <x v="6"/>
    <x v="6"/>
    <x v="3"/>
    <x v="3"/>
    <x v="2"/>
    <x v="2"/>
    <x v="2"/>
    <x v="2"/>
    <x v="2"/>
    <x v="2"/>
    <x v="1"/>
    <x v="1"/>
    <x v="10"/>
    <x v="10"/>
    <x v="158"/>
    <x v="158"/>
    <x v="2"/>
    <x v="2"/>
    <x v="7"/>
    <x v="5"/>
    <x v="158"/>
    <x v="5"/>
    <x v="5"/>
    <x v="158"/>
    <x v="158"/>
    <x v="158"/>
    <x v="158"/>
    <x v="158"/>
    <x v="158"/>
    <x v="0"/>
    <x v="0"/>
    <x v="0"/>
    <x v="0"/>
    <x v="7"/>
    <x v="0"/>
    <x v="0"/>
  </r>
  <r>
    <x v="159"/>
    <x v="151"/>
    <x v="45"/>
    <x v="157"/>
    <x v="143"/>
    <x v="157"/>
    <x v="8"/>
    <x v="8"/>
    <x v="2"/>
    <x v="2"/>
    <x v="4"/>
    <x v="0"/>
    <x v="16"/>
    <x v="16"/>
    <x v="17"/>
    <x v="17"/>
    <x v="1"/>
    <x v="1"/>
    <x v="4"/>
    <x v="4"/>
    <x v="159"/>
    <x v="159"/>
    <x v="1"/>
    <x v="1"/>
    <x v="1"/>
    <x v="6"/>
    <x v="159"/>
    <x v="4"/>
    <x v="4"/>
    <x v="159"/>
    <x v="159"/>
    <x v="159"/>
    <x v="159"/>
    <x v="159"/>
    <x v="159"/>
    <x v="2"/>
    <x v="2"/>
    <x v="1"/>
    <x v="1"/>
    <x v="10"/>
    <x v="1"/>
    <x v="0"/>
  </r>
  <r>
    <x v="160"/>
    <x v="152"/>
    <x v="136"/>
    <x v="158"/>
    <x v="144"/>
    <x v="158"/>
    <x v="5"/>
    <x v="5"/>
    <x v="1"/>
    <x v="1"/>
    <x v="3"/>
    <x v="3"/>
    <x v="3"/>
    <x v="3"/>
    <x v="3"/>
    <x v="3"/>
    <x v="0"/>
    <x v="0"/>
    <x v="0"/>
    <x v="0"/>
    <x v="160"/>
    <x v="160"/>
    <x v="0"/>
    <x v="0"/>
    <x v="12"/>
    <x v="2"/>
    <x v="160"/>
    <x v="5"/>
    <x v="5"/>
    <x v="160"/>
    <x v="160"/>
    <x v="160"/>
    <x v="160"/>
    <x v="160"/>
    <x v="160"/>
    <x v="2"/>
    <x v="2"/>
    <x v="1"/>
    <x v="1"/>
    <x v="9"/>
    <x v="1"/>
    <x v="2"/>
  </r>
  <r>
    <x v="161"/>
    <x v="153"/>
    <x v="137"/>
    <x v="159"/>
    <x v="145"/>
    <x v="159"/>
    <x v="3"/>
    <x v="3"/>
    <x v="0"/>
    <x v="0"/>
    <x v="3"/>
    <x v="3"/>
    <x v="0"/>
    <x v="0"/>
    <x v="7"/>
    <x v="7"/>
    <x v="0"/>
    <x v="0"/>
    <x v="9"/>
    <x v="9"/>
    <x v="161"/>
    <x v="161"/>
    <x v="3"/>
    <x v="3"/>
    <x v="0"/>
    <x v="5"/>
    <x v="161"/>
    <x v="1"/>
    <x v="1"/>
    <x v="161"/>
    <x v="161"/>
    <x v="161"/>
    <x v="161"/>
    <x v="161"/>
    <x v="161"/>
    <x v="2"/>
    <x v="2"/>
    <x v="1"/>
    <x v="1"/>
    <x v="0"/>
    <x v="1"/>
    <x v="0"/>
  </r>
  <r>
    <x v="162"/>
    <x v="154"/>
    <x v="138"/>
    <x v="160"/>
    <x v="146"/>
    <x v="160"/>
    <x v="6"/>
    <x v="6"/>
    <x v="1"/>
    <x v="1"/>
    <x v="3"/>
    <x v="3"/>
    <x v="14"/>
    <x v="14"/>
    <x v="15"/>
    <x v="15"/>
    <x v="1"/>
    <x v="1"/>
    <x v="3"/>
    <x v="3"/>
    <x v="162"/>
    <x v="162"/>
    <x v="0"/>
    <x v="0"/>
    <x v="1"/>
    <x v="0"/>
    <x v="162"/>
    <x v="1"/>
    <x v="1"/>
    <x v="162"/>
    <x v="162"/>
    <x v="162"/>
    <x v="162"/>
    <x v="162"/>
    <x v="162"/>
    <x v="2"/>
    <x v="2"/>
    <x v="2"/>
    <x v="2"/>
    <x v="11"/>
    <x v="0"/>
    <x v="0"/>
  </r>
  <r>
    <x v="163"/>
    <x v="155"/>
    <x v="139"/>
    <x v="124"/>
    <x v="116"/>
    <x v="161"/>
    <x v="12"/>
    <x v="12"/>
    <x v="3"/>
    <x v="3"/>
    <x v="3"/>
    <x v="3"/>
    <x v="12"/>
    <x v="12"/>
    <x v="13"/>
    <x v="13"/>
    <x v="1"/>
    <x v="1"/>
    <x v="1"/>
    <x v="1"/>
    <x v="163"/>
    <x v="163"/>
    <x v="4"/>
    <x v="4"/>
    <x v="1"/>
    <x v="3"/>
    <x v="163"/>
    <x v="8"/>
    <x v="6"/>
    <x v="163"/>
    <x v="163"/>
    <x v="163"/>
    <x v="163"/>
    <x v="163"/>
    <x v="163"/>
    <x v="2"/>
    <x v="2"/>
    <x v="2"/>
    <x v="2"/>
    <x v="7"/>
    <x v="1"/>
    <x v="0"/>
  </r>
  <r>
    <x v="164"/>
    <x v="156"/>
    <x v="140"/>
    <x v="161"/>
    <x v="147"/>
    <x v="162"/>
    <x v="9"/>
    <x v="9"/>
    <x v="1"/>
    <x v="1"/>
    <x v="1"/>
    <x v="1"/>
    <x v="6"/>
    <x v="6"/>
    <x v="6"/>
    <x v="6"/>
    <x v="1"/>
    <x v="1"/>
    <x v="10"/>
    <x v="10"/>
    <x v="164"/>
    <x v="164"/>
    <x v="0"/>
    <x v="0"/>
    <x v="1"/>
    <x v="5"/>
    <x v="164"/>
    <x v="3"/>
    <x v="3"/>
    <x v="164"/>
    <x v="164"/>
    <x v="164"/>
    <x v="164"/>
    <x v="164"/>
    <x v="164"/>
    <x v="0"/>
    <x v="0"/>
    <x v="0"/>
    <x v="0"/>
    <x v="7"/>
    <x v="1"/>
    <x v="0"/>
  </r>
  <r>
    <x v="165"/>
    <x v="157"/>
    <x v="30"/>
    <x v="162"/>
    <x v="3"/>
    <x v="163"/>
    <x v="1"/>
    <x v="1"/>
    <x v="3"/>
    <x v="3"/>
    <x v="1"/>
    <x v="1"/>
    <x v="9"/>
    <x v="9"/>
    <x v="10"/>
    <x v="10"/>
    <x v="1"/>
    <x v="1"/>
    <x v="4"/>
    <x v="4"/>
    <x v="165"/>
    <x v="165"/>
    <x v="3"/>
    <x v="3"/>
    <x v="2"/>
    <x v="2"/>
    <x v="165"/>
    <x v="3"/>
    <x v="3"/>
    <x v="165"/>
    <x v="165"/>
    <x v="165"/>
    <x v="165"/>
    <x v="165"/>
    <x v="165"/>
    <x v="0"/>
    <x v="0"/>
    <x v="0"/>
    <x v="0"/>
    <x v="3"/>
    <x v="0"/>
    <x v="0"/>
  </r>
  <r>
    <x v="166"/>
    <x v="158"/>
    <x v="141"/>
    <x v="7"/>
    <x v="7"/>
    <x v="164"/>
    <x v="0"/>
    <x v="0"/>
    <x v="1"/>
    <x v="1"/>
    <x v="3"/>
    <x v="3"/>
    <x v="12"/>
    <x v="12"/>
    <x v="13"/>
    <x v="13"/>
    <x v="0"/>
    <x v="0"/>
    <x v="7"/>
    <x v="7"/>
    <x v="166"/>
    <x v="166"/>
    <x v="2"/>
    <x v="2"/>
    <x v="0"/>
    <x v="5"/>
    <x v="166"/>
    <x v="0"/>
    <x v="0"/>
    <x v="166"/>
    <x v="166"/>
    <x v="166"/>
    <x v="166"/>
    <x v="166"/>
    <x v="166"/>
    <x v="0"/>
    <x v="0"/>
    <x v="0"/>
    <x v="0"/>
    <x v="6"/>
    <x v="1"/>
    <x v="0"/>
  </r>
  <r>
    <x v="167"/>
    <x v="159"/>
    <x v="142"/>
    <x v="163"/>
    <x v="148"/>
    <x v="165"/>
    <x v="3"/>
    <x v="3"/>
    <x v="3"/>
    <x v="3"/>
    <x v="2"/>
    <x v="2"/>
    <x v="11"/>
    <x v="11"/>
    <x v="12"/>
    <x v="12"/>
    <x v="0"/>
    <x v="0"/>
    <x v="8"/>
    <x v="8"/>
    <x v="167"/>
    <x v="167"/>
    <x v="2"/>
    <x v="2"/>
    <x v="6"/>
    <x v="6"/>
    <x v="167"/>
    <x v="4"/>
    <x v="4"/>
    <x v="167"/>
    <x v="167"/>
    <x v="167"/>
    <x v="167"/>
    <x v="167"/>
    <x v="167"/>
    <x v="0"/>
    <x v="0"/>
    <x v="2"/>
    <x v="2"/>
    <x v="1"/>
    <x v="1"/>
    <x v="0"/>
  </r>
  <r>
    <x v="168"/>
    <x v="160"/>
    <x v="143"/>
    <x v="20"/>
    <x v="20"/>
    <x v="166"/>
    <x v="15"/>
    <x v="14"/>
    <x v="0"/>
    <x v="0"/>
    <x v="3"/>
    <x v="3"/>
    <x v="3"/>
    <x v="3"/>
    <x v="3"/>
    <x v="3"/>
    <x v="2"/>
    <x v="2"/>
    <x v="5"/>
    <x v="5"/>
    <x v="168"/>
    <x v="168"/>
    <x v="1"/>
    <x v="1"/>
    <x v="4"/>
    <x v="8"/>
    <x v="168"/>
    <x v="0"/>
    <x v="0"/>
    <x v="168"/>
    <x v="168"/>
    <x v="168"/>
    <x v="168"/>
    <x v="168"/>
    <x v="168"/>
    <x v="0"/>
    <x v="0"/>
    <x v="1"/>
    <x v="1"/>
    <x v="10"/>
    <x v="1"/>
    <x v="0"/>
  </r>
  <r>
    <x v="169"/>
    <x v="161"/>
    <x v="144"/>
    <x v="164"/>
    <x v="149"/>
    <x v="167"/>
    <x v="13"/>
    <x v="13"/>
    <x v="0"/>
    <x v="0"/>
    <x v="1"/>
    <x v="1"/>
    <x v="10"/>
    <x v="10"/>
    <x v="11"/>
    <x v="11"/>
    <x v="0"/>
    <x v="0"/>
    <x v="2"/>
    <x v="2"/>
    <x v="169"/>
    <x v="169"/>
    <x v="3"/>
    <x v="3"/>
    <x v="6"/>
    <x v="0"/>
    <x v="169"/>
    <x v="5"/>
    <x v="5"/>
    <x v="169"/>
    <x v="169"/>
    <x v="169"/>
    <x v="169"/>
    <x v="169"/>
    <x v="169"/>
    <x v="2"/>
    <x v="2"/>
    <x v="2"/>
    <x v="2"/>
    <x v="7"/>
    <x v="1"/>
    <x v="0"/>
  </r>
  <r>
    <x v="170"/>
    <x v="9"/>
    <x v="9"/>
    <x v="165"/>
    <x v="150"/>
    <x v="168"/>
    <x v="12"/>
    <x v="12"/>
    <x v="2"/>
    <x v="2"/>
    <x v="1"/>
    <x v="1"/>
    <x v="9"/>
    <x v="9"/>
    <x v="10"/>
    <x v="10"/>
    <x v="2"/>
    <x v="2"/>
    <x v="6"/>
    <x v="6"/>
    <x v="170"/>
    <x v="170"/>
    <x v="3"/>
    <x v="3"/>
    <x v="9"/>
    <x v="1"/>
    <x v="170"/>
    <x v="1"/>
    <x v="1"/>
    <x v="170"/>
    <x v="170"/>
    <x v="170"/>
    <x v="170"/>
    <x v="170"/>
    <x v="170"/>
    <x v="0"/>
    <x v="0"/>
    <x v="0"/>
    <x v="0"/>
    <x v="7"/>
    <x v="1"/>
    <x v="0"/>
  </r>
  <r>
    <x v="171"/>
    <x v="7"/>
    <x v="7"/>
    <x v="166"/>
    <x v="151"/>
    <x v="169"/>
    <x v="0"/>
    <x v="0"/>
    <x v="2"/>
    <x v="2"/>
    <x v="1"/>
    <x v="1"/>
    <x v="9"/>
    <x v="9"/>
    <x v="10"/>
    <x v="10"/>
    <x v="0"/>
    <x v="0"/>
    <x v="7"/>
    <x v="7"/>
    <x v="171"/>
    <x v="171"/>
    <x v="1"/>
    <x v="1"/>
    <x v="7"/>
    <x v="8"/>
    <x v="171"/>
    <x v="3"/>
    <x v="3"/>
    <x v="171"/>
    <x v="171"/>
    <x v="171"/>
    <x v="171"/>
    <x v="171"/>
    <x v="171"/>
    <x v="0"/>
    <x v="0"/>
    <x v="0"/>
    <x v="0"/>
    <x v="6"/>
    <x v="1"/>
    <x v="0"/>
  </r>
  <r>
    <x v="172"/>
    <x v="162"/>
    <x v="145"/>
    <x v="167"/>
    <x v="152"/>
    <x v="170"/>
    <x v="0"/>
    <x v="0"/>
    <x v="2"/>
    <x v="2"/>
    <x v="4"/>
    <x v="0"/>
    <x v="18"/>
    <x v="18"/>
    <x v="19"/>
    <x v="19"/>
    <x v="1"/>
    <x v="1"/>
    <x v="3"/>
    <x v="3"/>
    <x v="172"/>
    <x v="172"/>
    <x v="1"/>
    <x v="1"/>
    <x v="9"/>
    <x v="6"/>
    <x v="172"/>
    <x v="8"/>
    <x v="6"/>
    <x v="172"/>
    <x v="172"/>
    <x v="172"/>
    <x v="172"/>
    <x v="172"/>
    <x v="172"/>
    <x v="1"/>
    <x v="1"/>
    <x v="2"/>
    <x v="2"/>
    <x v="1"/>
    <x v="1"/>
    <x v="0"/>
  </r>
  <r>
    <x v="173"/>
    <x v="163"/>
    <x v="146"/>
    <x v="168"/>
    <x v="153"/>
    <x v="171"/>
    <x v="8"/>
    <x v="8"/>
    <x v="3"/>
    <x v="3"/>
    <x v="4"/>
    <x v="0"/>
    <x v="7"/>
    <x v="7"/>
    <x v="8"/>
    <x v="8"/>
    <x v="2"/>
    <x v="2"/>
    <x v="6"/>
    <x v="6"/>
    <x v="173"/>
    <x v="173"/>
    <x v="0"/>
    <x v="0"/>
    <x v="0"/>
    <x v="5"/>
    <x v="173"/>
    <x v="3"/>
    <x v="3"/>
    <x v="173"/>
    <x v="173"/>
    <x v="173"/>
    <x v="173"/>
    <x v="173"/>
    <x v="173"/>
    <x v="0"/>
    <x v="0"/>
    <x v="0"/>
    <x v="0"/>
    <x v="4"/>
    <x v="0"/>
    <x v="0"/>
  </r>
  <r>
    <x v="174"/>
    <x v="164"/>
    <x v="147"/>
    <x v="169"/>
    <x v="119"/>
    <x v="172"/>
    <x v="0"/>
    <x v="0"/>
    <x v="1"/>
    <x v="1"/>
    <x v="2"/>
    <x v="2"/>
    <x v="11"/>
    <x v="11"/>
    <x v="12"/>
    <x v="12"/>
    <x v="1"/>
    <x v="1"/>
    <x v="10"/>
    <x v="10"/>
    <x v="174"/>
    <x v="174"/>
    <x v="2"/>
    <x v="2"/>
    <x v="0"/>
    <x v="3"/>
    <x v="174"/>
    <x v="4"/>
    <x v="4"/>
    <x v="174"/>
    <x v="174"/>
    <x v="174"/>
    <x v="174"/>
    <x v="174"/>
    <x v="174"/>
    <x v="2"/>
    <x v="2"/>
    <x v="2"/>
    <x v="2"/>
    <x v="7"/>
    <x v="1"/>
    <x v="0"/>
  </r>
  <r>
    <x v="175"/>
    <x v="123"/>
    <x v="116"/>
    <x v="170"/>
    <x v="154"/>
    <x v="173"/>
    <x v="3"/>
    <x v="3"/>
    <x v="1"/>
    <x v="1"/>
    <x v="1"/>
    <x v="1"/>
    <x v="9"/>
    <x v="9"/>
    <x v="10"/>
    <x v="10"/>
    <x v="2"/>
    <x v="2"/>
    <x v="12"/>
    <x v="12"/>
    <x v="175"/>
    <x v="175"/>
    <x v="1"/>
    <x v="1"/>
    <x v="2"/>
    <x v="4"/>
    <x v="175"/>
    <x v="4"/>
    <x v="4"/>
    <x v="175"/>
    <x v="175"/>
    <x v="175"/>
    <x v="175"/>
    <x v="175"/>
    <x v="175"/>
    <x v="0"/>
    <x v="0"/>
    <x v="2"/>
    <x v="2"/>
    <x v="10"/>
    <x v="0"/>
    <x v="0"/>
  </r>
  <r>
    <x v="176"/>
    <x v="165"/>
    <x v="148"/>
    <x v="171"/>
    <x v="155"/>
    <x v="174"/>
    <x v="5"/>
    <x v="5"/>
    <x v="2"/>
    <x v="2"/>
    <x v="1"/>
    <x v="1"/>
    <x v="15"/>
    <x v="15"/>
    <x v="16"/>
    <x v="16"/>
    <x v="1"/>
    <x v="1"/>
    <x v="10"/>
    <x v="10"/>
    <x v="176"/>
    <x v="176"/>
    <x v="3"/>
    <x v="3"/>
    <x v="9"/>
    <x v="0"/>
    <x v="176"/>
    <x v="4"/>
    <x v="4"/>
    <x v="176"/>
    <x v="176"/>
    <x v="176"/>
    <x v="176"/>
    <x v="176"/>
    <x v="176"/>
    <x v="0"/>
    <x v="0"/>
    <x v="0"/>
    <x v="0"/>
    <x v="11"/>
    <x v="1"/>
    <x v="0"/>
  </r>
  <r>
    <x v="177"/>
    <x v="166"/>
    <x v="149"/>
    <x v="172"/>
    <x v="156"/>
    <x v="175"/>
    <x v="11"/>
    <x v="11"/>
    <x v="3"/>
    <x v="3"/>
    <x v="5"/>
    <x v="4"/>
    <x v="9"/>
    <x v="9"/>
    <x v="10"/>
    <x v="10"/>
    <x v="0"/>
    <x v="0"/>
    <x v="2"/>
    <x v="2"/>
    <x v="177"/>
    <x v="177"/>
    <x v="1"/>
    <x v="1"/>
    <x v="7"/>
    <x v="0"/>
    <x v="177"/>
    <x v="1"/>
    <x v="1"/>
    <x v="177"/>
    <x v="177"/>
    <x v="177"/>
    <x v="177"/>
    <x v="177"/>
    <x v="177"/>
    <x v="0"/>
    <x v="0"/>
    <x v="0"/>
    <x v="0"/>
    <x v="2"/>
    <x v="0"/>
    <x v="0"/>
  </r>
  <r>
    <x v="178"/>
    <x v="167"/>
    <x v="150"/>
    <x v="173"/>
    <x v="104"/>
    <x v="176"/>
    <x v="2"/>
    <x v="2"/>
    <x v="2"/>
    <x v="2"/>
    <x v="2"/>
    <x v="2"/>
    <x v="2"/>
    <x v="2"/>
    <x v="2"/>
    <x v="2"/>
    <x v="0"/>
    <x v="0"/>
    <x v="2"/>
    <x v="2"/>
    <x v="178"/>
    <x v="178"/>
    <x v="3"/>
    <x v="3"/>
    <x v="6"/>
    <x v="2"/>
    <x v="178"/>
    <x v="1"/>
    <x v="1"/>
    <x v="178"/>
    <x v="178"/>
    <x v="178"/>
    <x v="178"/>
    <x v="178"/>
    <x v="178"/>
    <x v="0"/>
    <x v="0"/>
    <x v="0"/>
    <x v="0"/>
    <x v="7"/>
    <x v="0"/>
    <x v="0"/>
  </r>
  <r>
    <x v="179"/>
    <x v="168"/>
    <x v="151"/>
    <x v="174"/>
    <x v="157"/>
    <x v="177"/>
    <x v="4"/>
    <x v="4"/>
    <x v="1"/>
    <x v="1"/>
    <x v="2"/>
    <x v="2"/>
    <x v="17"/>
    <x v="17"/>
    <x v="18"/>
    <x v="18"/>
    <x v="1"/>
    <x v="1"/>
    <x v="3"/>
    <x v="3"/>
    <x v="179"/>
    <x v="179"/>
    <x v="3"/>
    <x v="3"/>
    <x v="5"/>
    <x v="2"/>
    <x v="179"/>
    <x v="3"/>
    <x v="3"/>
    <x v="179"/>
    <x v="179"/>
    <x v="179"/>
    <x v="179"/>
    <x v="179"/>
    <x v="179"/>
    <x v="1"/>
    <x v="1"/>
    <x v="2"/>
    <x v="2"/>
    <x v="11"/>
    <x v="0"/>
    <x v="0"/>
  </r>
  <r>
    <x v="180"/>
    <x v="169"/>
    <x v="152"/>
    <x v="175"/>
    <x v="158"/>
    <x v="178"/>
    <x v="1"/>
    <x v="1"/>
    <x v="3"/>
    <x v="3"/>
    <x v="4"/>
    <x v="0"/>
    <x v="8"/>
    <x v="8"/>
    <x v="9"/>
    <x v="9"/>
    <x v="0"/>
    <x v="0"/>
    <x v="9"/>
    <x v="9"/>
    <x v="180"/>
    <x v="180"/>
    <x v="2"/>
    <x v="2"/>
    <x v="6"/>
    <x v="4"/>
    <x v="180"/>
    <x v="8"/>
    <x v="6"/>
    <x v="180"/>
    <x v="180"/>
    <x v="180"/>
    <x v="180"/>
    <x v="180"/>
    <x v="180"/>
    <x v="0"/>
    <x v="0"/>
    <x v="0"/>
    <x v="0"/>
    <x v="1"/>
    <x v="0"/>
    <x v="0"/>
  </r>
  <r>
    <x v="181"/>
    <x v="170"/>
    <x v="140"/>
    <x v="176"/>
    <x v="88"/>
    <x v="179"/>
    <x v="8"/>
    <x v="8"/>
    <x v="3"/>
    <x v="3"/>
    <x v="2"/>
    <x v="2"/>
    <x v="17"/>
    <x v="17"/>
    <x v="18"/>
    <x v="18"/>
    <x v="0"/>
    <x v="0"/>
    <x v="2"/>
    <x v="2"/>
    <x v="181"/>
    <x v="181"/>
    <x v="0"/>
    <x v="0"/>
    <x v="3"/>
    <x v="2"/>
    <x v="181"/>
    <x v="1"/>
    <x v="1"/>
    <x v="181"/>
    <x v="181"/>
    <x v="181"/>
    <x v="181"/>
    <x v="181"/>
    <x v="181"/>
    <x v="0"/>
    <x v="0"/>
    <x v="0"/>
    <x v="0"/>
    <x v="7"/>
    <x v="1"/>
    <x v="0"/>
  </r>
  <r>
    <x v="182"/>
    <x v="171"/>
    <x v="153"/>
    <x v="40"/>
    <x v="39"/>
    <x v="180"/>
    <x v="4"/>
    <x v="4"/>
    <x v="3"/>
    <x v="3"/>
    <x v="1"/>
    <x v="1"/>
    <x v="9"/>
    <x v="9"/>
    <x v="10"/>
    <x v="10"/>
    <x v="2"/>
    <x v="2"/>
    <x v="12"/>
    <x v="12"/>
    <x v="182"/>
    <x v="182"/>
    <x v="3"/>
    <x v="3"/>
    <x v="6"/>
    <x v="4"/>
    <x v="182"/>
    <x v="1"/>
    <x v="1"/>
    <x v="182"/>
    <x v="182"/>
    <x v="182"/>
    <x v="182"/>
    <x v="182"/>
    <x v="182"/>
    <x v="0"/>
    <x v="0"/>
    <x v="0"/>
    <x v="0"/>
    <x v="9"/>
    <x v="0"/>
    <x v="0"/>
  </r>
  <r>
    <x v="183"/>
    <x v="172"/>
    <x v="154"/>
    <x v="177"/>
    <x v="159"/>
    <x v="181"/>
    <x v="5"/>
    <x v="5"/>
    <x v="3"/>
    <x v="3"/>
    <x v="2"/>
    <x v="2"/>
    <x v="2"/>
    <x v="2"/>
    <x v="2"/>
    <x v="2"/>
    <x v="2"/>
    <x v="2"/>
    <x v="6"/>
    <x v="6"/>
    <x v="183"/>
    <x v="183"/>
    <x v="3"/>
    <x v="3"/>
    <x v="4"/>
    <x v="4"/>
    <x v="183"/>
    <x v="0"/>
    <x v="0"/>
    <x v="183"/>
    <x v="183"/>
    <x v="183"/>
    <x v="183"/>
    <x v="183"/>
    <x v="183"/>
    <x v="0"/>
    <x v="0"/>
    <x v="2"/>
    <x v="2"/>
    <x v="2"/>
    <x v="1"/>
    <x v="0"/>
  </r>
  <r>
    <x v="184"/>
    <x v="173"/>
    <x v="155"/>
    <x v="178"/>
    <x v="160"/>
    <x v="182"/>
    <x v="5"/>
    <x v="5"/>
    <x v="2"/>
    <x v="2"/>
    <x v="3"/>
    <x v="3"/>
    <x v="4"/>
    <x v="4"/>
    <x v="4"/>
    <x v="4"/>
    <x v="1"/>
    <x v="1"/>
    <x v="10"/>
    <x v="10"/>
    <x v="184"/>
    <x v="184"/>
    <x v="3"/>
    <x v="3"/>
    <x v="5"/>
    <x v="7"/>
    <x v="184"/>
    <x v="1"/>
    <x v="1"/>
    <x v="184"/>
    <x v="184"/>
    <x v="184"/>
    <x v="184"/>
    <x v="184"/>
    <x v="184"/>
    <x v="1"/>
    <x v="1"/>
    <x v="2"/>
    <x v="2"/>
    <x v="5"/>
    <x v="0"/>
    <x v="0"/>
  </r>
  <r>
    <x v="185"/>
    <x v="8"/>
    <x v="8"/>
    <x v="179"/>
    <x v="63"/>
    <x v="183"/>
    <x v="3"/>
    <x v="3"/>
    <x v="0"/>
    <x v="0"/>
    <x v="5"/>
    <x v="4"/>
    <x v="7"/>
    <x v="7"/>
    <x v="8"/>
    <x v="8"/>
    <x v="0"/>
    <x v="0"/>
    <x v="7"/>
    <x v="7"/>
    <x v="185"/>
    <x v="185"/>
    <x v="0"/>
    <x v="0"/>
    <x v="9"/>
    <x v="7"/>
    <x v="185"/>
    <x v="0"/>
    <x v="0"/>
    <x v="185"/>
    <x v="185"/>
    <x v="185"/>
    <x v="185"/>
    <x v="185"/>
    <x v="185"/>
    <x v="0"/>
    <x v="0"/>
    <x v="0"/>
    <x v="0"/>
    <x v="3"/>
    <x v="0"/>
    <x v="0"/>
  </r>
  <r>
    <x v="186"/>
    <x v="44"/>
    <x v="43"/>
    <x v="180"/>
    <x v="161"/>
    <x v="52"/>
    <x v="5"/>
    <x v="5"/>
    <x v="0"/>
    <x v="0"/>
    <x v="2"/>
    <x v="2"/>
    <x v="17"/>
    <x v="17"/>
    <x v="18"/>
    <x v="18"/>
    <x v="1"/>
    <x v="1"/>
    <x v="1"/>
    <x v="1"/>
    <x v="186"/>
    <x v="186"/>
    <x v="2"/>
    <x v="2"/>
    <x v="3"/>
    <x v="4"/>
    <x v="186"/>
    <x v="5"/>
    <x v="5"/>
    <x v="186"/>
    <x v="186"/>
    <x v="186"/>
    <x v="186"/>
    <x v="186"/>
    <x v="186"/>
    <x v="0"/>
    <x v="0"/>
    <x v="0"/>
    <x v="0"/>
    <x v="0"/>
    <x v="0"/>
    <x v="0"/>
  </r>
  <r>
    <x v="187"/>
    <x v="174"/>
    <x v="156"/>
    <x v="181"/>
    <x v="162"/>
    <x v="184"/>
    <x v="1"/>
    <x v="1"/>
    <x v="0"/>
    <x v="0"/>
    <x v="3"/>
    <x v="3"/>
    <x v="4"/>
    <x v="4"/>
    <x v="4"/>
    <x v="4"/>
    <x v="1"/>
    <x v="1"/>
    <x v="4"/>
    <x v="4"/>
    <x v="187"/>
    <x v="187"/>
    <x v="1"/>
    <x v="1"/>
    <x v="3"/>
    <x v="1"/>
    <x v="187"/>
    <x v="1"/>
    <x v="1"/>
    <x v="187"/>
    <x v="187"/>
    <x v="187"/>
    <x v="187"/>
    <x v="187"/>
    <x v="187"/>
    <x v="0"/>
    <x v="0"/>
    <x v="2"/>
    <x v="2"/>
    <x v="4"/>
    <x v="1"/>
    <x v="0"/>
  </r>
  <r>
    <x v="188"/>
    <x v="175"/>
    <x v="157"/>
    <x v="182"/>
    <x v="163"/>
    <x v="185"/>
    <x v="8"/>
    <x v="8"/>
    <x v="2"/>
    <x v="2"/>
    <x v="1"/>
    <x v="1"/>
    <x v="6"/>
    <x v="6"/>
    <x v="6"/>
    <x v="6"/>
    <x v="1"/>
    <x v="1"/>
    <x v="10"/>
    <x v="10"/>
    <x v="188"/>
    <x v="188"/>
    <x v="1"/>
    <x v="1"/>
    <x v="2"/>
    <x v="7"/>
    <x v="188"/>
    <x v="8"/>
    <x v="6"/>
    <x v="188"/>
    <x v="188"/>
    <x v="188"/>
    <x v="188"/>
    <x v="188"/>
    <x v="188"/>
    <x v="0"/>
    <x v="0"/>
    <x v="0"/>
    <x v="0"/>
    <x v="4"/>
    <x v="1"/>
    <x v="0"/>
  </r>
  <r>
    <x v="189"/>
    <x v="176"/>
    <x v="158"/>
    <x v="183"/>
    <x v="164"/>
    <x v="186"/>
    <x v="3"/>
    <x v="3"/>
    <x v="0"/>
    <x v="0"/>
    <x v="3"/>
    <x v="3"/>
    <x v="0"/>
    <x v="0"/>
    <x v="7"/>
    <x v="7"/>
    <x v="1"/>
    <x v="1"/>
    <x v="10"/>
    <x v="10"/>
    <x v="189"/>
    <x v="189"/>
    <x v="2"/>
    <x v="2"/>
    <x v="3"/>
    <x v="6"/>
    <x v="189"/>
    <x v="9"/>
    <x v="1"/>
    <x v="189"/>
    <x v="189"/>
    <x v="189"/>
    <x v="189"/>
    <x v="189"/>
    <x v="189"/>
    <x v="0"/>
    <x v="0"/>
    <x v="0"/>
    <x v="0"/>
    <x v="4"/>
    <x v="1"/>
    <x v="1"/>
  </r>
  <r>
    <x v="190"/>
    <x v="177"/>
    <x v="159"/>
    <x v="184"/>
    <x v="165"/>
    <x v="187"/>
    <x v="7"/>
    <x v="7"/>
    <x v="0"/>
    <x v="0"/>
    <x v="2"/>
    <x v="2"/>
    <x v="17"/>
    <x v="17"/>
    <x v="18"/>
    <x v="18"/>
    <x v="0"/>
    <x v="0"/>
    <x v="8"/>
    <x v="8"/>
    <x v="190"/>
    <x v="190"/>
    <x v="2"/>
    <x v="2"/>
    <x v="3"/>
    <x v="1"/>
    <x v="190"/>
    <x v="8"/>
    <x v="6"/>
    <x v="190"/>
    <x v="190"/>
    <x v="190"/>
    <x v="190"/>
    <x v="190"/>
    <x v="190"/>
    <x v="0"/>
    <x v="0"/>
    <x v="4"/>
    <x v="0"/>
    <x v="5"/>
    <x v="1"/>
    <x v="0"/>
  </r>
  <r>
    <x v="191"/>
    <x v="178"/>
    <x v="160"/>
    <x v="108"/>
    <x v="101"/>
    <x v="188"/>
    <x v="11"/>
    <x v="11"/>
    <x v="1"/>
    <x v="1"/>
    <x v="2"/>
    <x v="2"/>
    <x v="17"/>
    <x v="17"/>
    <x v="18"/>
    <x v="18"/>
    <x v="1"/>
    <x v="1"/>
    <x v="10"/>
    <x v="10"/>
    <x v="191"/>
    <x v="191"/>
    <x v="0"/>
    <x v="0"/>
    <x v="1"/>
    <x v="3"/>
    <x v="191"/>
    <x v="13"/>
    <x v="8"/>
    <x v="191"/>
    <x v="191"/>
    <x v="191"/>
    <x v="191"/>
    <x v="191"/>
    <x v="191"/>
    <x v="0"/>
    <x v="0"/>
    <x v="0"/>
    <x v="0"/>
    <x v="9"/>
    <x v="0"/>
    <x v="0"/>
  </r>
  <r>
    <x v="192"/>
    <x v="179"/>
    <x v="161"/>
    <x v="185"/>
    <x v="117"/>
    <x v="189"/>
    <x v="2"/>
    <x v="2"/>
    <x v="3"/>
    <x v="3"/>
    <x v="3"/>
    <x v="3"/>
    <x v="12"/>
    <x v="12"/>
    <x v="13"/>
    <x v="13"/>
    <x v="1"/>
    <x v="1"/>
    <x v="4"/>
    <x v="4"/>
    <x v="192"/>
    <x v="192"/>
    <x v="2"/>
    <x v="2"/>
    <x v="2"/>
    <x v="2"/>
    <x v="192"/>
    <x v="1"/>
    <x v="1"/>
    <x v="192"/>
    <x v="192"/>
    <x v="192"/>
    <x v="192"/>
    <x v="192"/>
    <x v="192"/>
    <x v="0"/>
    <x v="0"/>
    <x v="0"/>
    <x v="0"/>
    <x v="8"/>
    <x v="0"/>
    <x v="0"/>
  </r>
  <r>
    <x v="193"/>
    <x v="180"/>
    <x v="162"/>
    <x v="186"/>
    <x v="166"/>
    <x v="190"/>
    <x v="8"/>
    <x v="8"/>
    <x v="1"/>
    <x v="1"/>
    <x v="4"/>
    <x v="0"/>
    <x v="7"/>
    <x v="7"/>
    <x v="8"/>
    <x v="8"/>
    <x v="2"/>
    <x v="2"/>
    <x v="6"/>
    <x v="6"/>
    <x v="193"/>
    <x v="193"/>
    <x v="1"/>
    <x v="1"/>
    <x v="1"/>
    <x v="3"/>
    <x v="193"/>
    <x v="0"/>
    <x v="0"/>
    <x v="193"/>
    <x v="193"/>
    <x v="193"/>
    <x v="193"/>
    <x v="193"/>
    <x v="193"/>
    <x v="1"/>
    <x v="1"/>
    <x v="2"/>
    <x v="2"/>
    <x v="2"/>
    <x v="0"/>
    <x v="0"/>
  </r>
  <r>
    <x v="194"/>
    <x v="181"/>
    <x v="163"/>
    <x v="187"/>
    <x v="167"/>
    <x v="191"/>
    <x v="8"/>
    <x v="8"/>
    <x v="0"/>
    <x v="0"/>
    <x v="3"/>
    <x v="3"/>
    <x v="3"/>
    <x v="3"/>
    <x v="3"/>
    <x v="3"/>
    <x v="1"/>
    <x v="1"/>
    <x v="3"/>
    <x v="3"/>
    <x v="194"/>
    <x v="194"/>
    <x v="2"/>
    <x v="2"/>
    <x v="4"/>
    <x v="6"/>
    <x v="194"/>
    <x v="5"/>
    <x v="5"/>
    <x v="194"/>
    <x v="194"/>
    <x v="194"/>
    <x v="194"/>
    <x v="194"/>
    <x v="194"/>
    <x v="2"/>
    <x v="2"/>
    <x v="2"/>
    <x v="2"/>
    <x v="10"/>
    <x v="1"/>
    <x v="0"/>
  </r>
  <r>
    <x v="195"/>
    <x v="182"/>
    <x v="164"/>
    <x v="188"/>
    <x v="168"/>
    <x v="192"/>
    <x v="6"/>
    <x v="6"/>
    <x v="3"/>
    <x v="3"/>
    <x v="2"/>
    <x v="2"/>
    <x v="5"/>
    <x v="5"/>
    <x v="5"/>
    <x v="5"/>
    <x v="1"/>
    <x v="1"/>
    <x v="3"/>
    <x v="3"/>
    <x v="195"/>
    <x v="195"/>
    <x v="1"/>
    <x v="1"/>
    <x v="7"/>
    <x v="8"/>
    <x v="195"/>
    <x v="1"/>
    <x v="1"/>
    <x v="195"/>
    <x v="195"/>
    <x v="195"/>
    <x v="195"/>
    <x v="195"/>
    <x v="195"/>
    <x v="0"/>
    <x v="0"/>
    <x v="0"/>
    <x v="0"/>
    <x v="0"/>
    <x v="1"/>
    <x v="0"/>
  </r>
  <r>
    <x v="196"/>
    <x v="183"/>
    <x v="165"/>
    <x v="189"/>
    <x v="169"/>
    <x v="193"/>
    <x v="15"/>
    <x v="14"/>
    <x v="3"/>
    <x v="3"/>
    <x v="4"/>
    <x v="0"/>
    <x v="8"/>
    <x v="8"/>
    <x v="9"/>
    <x v="9"/>
    <x v="0"/>
    <x v="0"/>
    <x v="8"/>
    <x v="8"/>
    <x v="196"/>
    <x v="196"/>
    <x v="2"/>
    <x v="2"/>
    <x v="4"/>
    <x v="1"/>
    <x v="196"/>
    <x v="8"/>
    <x v="6"/>
    <x v="196"/>
    <x v="196"/>
    <x v="196"/>
    <x v="196"/>
    <x v="196"/>
    <x v="196"/>
    <x v="0"/>
    <x v="0"/>
    <x v="0"/>
    <x v="0"/>
    <x v="10"/>
    <x v="0"/>
    <x v="0"/>
  </r>
  <r>
    <x v="197"/>
    <x v="51"/>
    <x v="50"/>
    <x v="190"/>
    <x v="170"/>
    <x v="93"/>
    <x v="9"/>
    <x v="9"/>
    <x v="9"/>
    <x v="1"/>
    <x v="1"/>
    <x v="1"/>
    <x v="9"/>
    <x v="9"/>
    <x v="10"/>
    <x v="10"/>
    <x v="0"/>
    <x v="0"/>
    <x v="8"/>
    <x v="8"/>
    <x v="197"/>
    <x v="197"/>
    <x v="0"/>
    <x v="0"/>
    <x v="2"/>
    <x v="8"/>
    <x v="197"/>
    <x v="4"/>
    <x v="4"/>
    <x v="197"/>
    <x v="197"/>
    <x v="197"/>
    <x v="197"/>
    <x v="197"/>
    <x v="197"/>
    <x v="0"/>
    <x v="0"/>
    <x v="0"/>
    <x v="0"/>
    <x v="11"/>
    <x v="1"/>
    <x v="0"/>
  </r>
  <r>
    <x v="198"/>
    <x v="184"/>
    <x v="90"/>
    <x v="191"/>
    <x v="171"/>
    <x v="194"/>
    <x v="11"/>
    <x v="11"/>
    <x v="0"/>
    <x v="0"/>
    <x v="3"/>
    <x v="3"/>
    <x v="12"/>
    <x v="12"/>
    <x v="13"/>
    <x v="13"/>
    <x v="0"/>
    <x v="0"/>
    <x v="2"/>
    <x v="2"/>
    <x v="198"/>
    <x v="198"/>
    <x v="0"/>
    <x v="0"/>
    <x v="3"/>
    <x v="5"/>
    <x v="198"/>
    <x v="5"/>
    <x v="5"/>
    <x v="198"/>
    <x v="198"/>
    <x v="198"/>
    <x v="198"/>
    <x v="198"/>
    <x v="198"/>
    <x v="3"/>
    <x v="3"/>
    <x v="1"/>
    <x v="1"/>
    <x v="2"/>
    <x v="0"/>
    <x v="0"/>
  </r>
  <r>
    <x v="199"/>
    <x v="39"/>
    <x v="38"/>
    <x v="192"/>
    <x v="135"/>
    <x v="195"/>
    <x v="9"/>
    <x v="9"/>
    <x v="3"/>
    <x v="3"/>
    <x v="1"/>
    <x v="1"/>
    <x v="9"/>
    <x v="9"/>
    <x v="10"/>
    <x v="10"/>
    <x v="2"/>
    <x v="2"/>
    <x v="12"/>
    <x v="12"/>
    <x v="199"/>
    <x v="199"/>
    <x v="4"/>
    <x v="4"/>
    <x v="6"/>
    <x v="3"/>
    <x v="199"/>
    <x v="3"/>
    <x v="3"/>
    <x v="199"/>
    <x v="199"/>
    <x v="199"/>
    <x v="199"/>
    <x v="199"/>
    <x v="199"/>
    <x v="0"/>
    <x v="0"/>
    <x v="0"/>
    <x v="0"/>
    <x v="11"/>
    <x v="0"/>
    <x v="0"/>
  </r>
  <r>
    <x v="200"/>
    <x v="185"/>
    <x v="104"/>
    <x v="193"/>
    <x v="172"/>
    <x v="196"/>
    <x v="8"/>
    <x v="8"/>
    <x v="1"/>
    <x v="1"/>
    <x v="4"/>
    <x v="0"/>
    <x v="0"/>
    <x v="0"/>
    <x v="0"/>
    <x v="0"/>
    <x v="2"/>
    <x v="2"/>
    <x v="6"/>
    <x v="6"/>
    <x v="200"/>
    <x v="200"/>
    <x v="2"/>
    <x v="2"/>
    <x v="9"/>
    <x v="8"/>
    <x v="200"/>
    <x v="8"/>
    <x v="6"/>
    <x v="200"/>
    <x v="200"/>
    <x v="200"/>
    <x v="200"/>
    <x v="200"/>
    <x v="200"/>
    <x v="2"/>
    <x v="2"/>
    <x v="1"/>
    <x v="1"/>
    <x v="2"/>
    <x v="1"/>
    <x v="0"/>
  </r>
  <r>
    <x v="201"/>
    <x v="186"/>
    <x v="166"/>
    <x v="194"/>
    <x v="173"/>
    <x v="197"/>
    <x v="5"/>
    <x v="5"/>
    <x v="0"/>
    <x v="0"/>
    <x v="3"/>
    <x v="3"/>
    <x v="4"/>
    <x v="4"/>
    <x v="4"/>
    <x v="4"/>
    <x v="0"/>
    <x v="0"/>
    <x v="7"/>
    <x v="7"/>
    <x v="201"/>
    <x v="201"/>
    <x v="0"/>
    <x v="0"/>
    <x v="9"/>
    <x v="7"/>
    <x v="201"/>
    <x v="14"/>
    <x v="1"/>
    <x v="201"/>
    <x v="201"/>
    <x v="201"/>
    <x v="201"/>
    <x v="201"/>
    <x v="201"/>
    <x v="1"/>
    <x v="1"/>
    <x v="1"/>
    <x v="1"/>
    <x v="0"/>
    <x v="1"/>
    <x v="1"/>
  </r>
  <r>
    <x v="202"/>
    <x v="187"/>
    <x v="167"/>
    <x v="195"/>
    <x v="174"/>
    <x v="198"/>
    <x v="11"/>
    <x v="11"/>
    <x v="2"/>
    <x v="2"/>
    <x v="3"/>
    <x v="3"/>
    <x v="14"/>
    <x v="14"/>
    <x v="15"/>
    <x v="15"/>
    <x v="2"/>
    <x v="2"/>
    <x v="5"/>
    <x v="5"/>
    <x v="202"/>
    <x v="202"/>
    <x v="3"/>
    <x v="3"/>
    <x v="6"/>
    <x v="0"/>
    <x v="202"/>
    <x v="5"/>
    <x v="5"/>
    <x v="202"/>
    <x v="202"/>
    <x v="202"/>
    <x v="202"/>
    <x v="202"/>
    <x v="202"/>
    <x v="0"/>
    <x v="0"/>
    <x v="0"/>
    <x v="0"/>
    <x v="11"/>
    <x v="1"/>
    <x v="0"/>
  </r>
  <r>
    <x v="203"/>
    <x v="188"/>
    <x v="168"/>
    <x v="196"/>
    <x v="175"/>
    <x v="199"/>
    <x v="11"/>
    <x v="11"/>
    <x v="2"/>
    <x v="2"/>
    <x v="3"/>
    <x v="3"/>
    <x v="0"/>
    <x v="0"/>
    <x v="7"/>
    <x v="7"/>
    <x v="2"/>
    <x v="2"/>
    <x v="5"/>
    <x v="5"/>
    <x v="203"/>
    <x v="203"/>
    <x v="0"/>
    <x v="0"/>
    <x v="7"/>
    <x v="5"/>
    <x v="203"/>
    <x v="4"/>
    <x v="4"/>
    <x v="203"/>
    <x v="203"/>
    <x v="203"/>
    <x v="203"/>
    <x v="203"/>
    <x v="203"/>
    <x v="0"/>
    <x v="0"/>
    <x v="0"/>
    <x v="0"/>
    <x v="11"/>
    <x v="0"/>
    <x v="0"/>
  </r>
  <r>
    <x v="204"/>
    <x v="189"/>
    <x v="169"/>
    <x v="197"/>
    <x v="176"/>
    <x v="200"/>
    <x v="1"/>
    <x v="1"/>
    <x v="3"/>
    <x v="3"/>
    <x v="1"/>
    <x v="1"/>
    <x v="6"/>
    <x v="6"/>
    <x v="6"/>
    <x v="6"/>
    <x v="1"/>
    <x v="1"/>
    <x v="1"/>
    <x v="1"/>
    <x v="204"/>
    <x v="204"/>
    <x v="0"/>
    <x v="0"/>
    <x v="4"/>
    <x v="2"/>
    <x v="204"/>
    <x v="4"/>
    <x v="4"/>
    <x v="204"/>
    <x v="204"/>
    <x v="204"/>
    <x v="204"/>
    <x v="204"/>
    <x v="204"/>
    <x v="0"/>
    <x v="0"/>
    <x v="0"/>
    <x v="0"/>
    <x v="0"/>
    <x v="1"/>
    <x v="0"/>
  </r>
  <r>
    <x v="205"/>
    <x v="190"/>
    <x v="170"/>
    <x v="198"/>
    <x v="177"/>
    <x v="201"/>
    <x v="4"/>
    <x v="4"/>
    <x v="0"/>
    <x v="0"/>
    <x v="3"/>
    <x v="3"/>
    <x v="3"/>
    <x v="3"/>
    <x v="3"/>
    <x v="3"/>
    <x v="0"/>
    <x v="0"/>
    <x v="7"/>
    <x v="7"/>
    <x v="205"/>
    <x v="205"/>
    <x v="1"/>
    <x v="1"/>
    <x v="1"/>
    <x v="3"/>
    <x v="205"/>
    <x v="0"/>
    <x v="0"/>
    <x v="205"/>
    <x v="205"/>
    <x v="205"/>
    <x v="205"/>
    <x v="205"/>
    <x v="205"/>
    <x v="0"/>
    <x v="0"/>
    <x v="0"/>
    <x v="0"/>
    <x v="5"/>
    <x v="1"/>
    <x v="0"/>
  </r>
  <r>
    <x v="206"/>
    <x v="191"/>
    <x v="171"/>
    <x v="199"/>
    <x v="10"/>
    <x v="202"/>
    <x v="13"/>
    <x v="13"/>
    <x v="1"/>
    <x v="1"/>
    <x v="0"/>
    <x v="0"/>
    <x v="8"/>
    <x v="8"/>
    <x v="9"/>
    <x v="9"/>
    <x v="1"/>
    <x v="1"/>
    <x v="3"/>
    <x v="3"/>
    <x v="206"/>
    <x v="206"/>
    <x v="2"/>
    <x v="2"/>
    <x v="7"/>
    <x v="7"/>
    <x v="206"/>
    <x v="1"/>
    <x v="1"/>
    <x v="206"/>
    <x v="206"/>
    <x v="206"/>
    <x v="206"/>
    <x v="206"/>
    <x v="206"/>
    <x v="0"/>
    <x v="0"/>
    <x v="0"/>
    <x v="0"/>
    <x v="4"/>
    <x v="1"/>
    <x v="0"/>
  </r>
  <r>
    <x v="207"/>
    <x v="192"/>
    <x v="172"/>
    <x v="200"/>
    <x v="178"/>
    <x v="203"/>
    <x v="10"/>
    <x v="10"/>
    <x v="3"/>
    <x v="3"/>
    <x v="3"/>
    <x v="3"/>
    <x v="14"/>
    <x v="14"/>
    <x v="15"/>
    <x v="15"/>
    <x v="1"/>
    <x v="1"/>
    <x v="10"/>
    <x v="10"/>
    <x v="207"/>
    <x v="207"/>
    <x v="0"/>
    <x v="0"/>
    <x v="0"/>
    <x v="7"/>
    <x v="207"/>
    <x v="0"/>
    <x v="0"/>
    <x v="207"/>
    <x v="207"/>
    <x v="207"/>
    <x v="207"/>
    <x v="207"/>
    <x v="207"/>
    <x v="0"/>
    <x v="0"/>
    <x v="0"/>
    <x v="0"/>
    <x v="0"/>
    <x v="0"/>
    <x v="0"/>
  </r>
  <r>
    <x v="208"/>
    <x v="193"/>
    <x v="173"/>
    <x v="201"/>
    <x v="172"/>
    <x v="204"/>
    <x v="13"/>
    <x v="13"/>
    <x v="0"/>
    <x v="0"/>
    <x v="4"/>
    <x v="0"/>
    <x v="7"/>
    <x v="7"/>
    <x v="8"/>
    <x v="8"/>
    <x v="1"/>
    <x v="1"/>
    <x v="4"/>
    <x v="4"/>
    <x v="208"/>
    <x v="208"/>
    <x v="1"/>
    <x v="1"/>
    <x v="0"/>
    <x v="5"/>
    <x v="208"/>
    <x v="1"/>
    <x v="1"/>
    <x v="208"/>
    <x v="208"/>
    <x v="208"/>
    <x v="208"/>
    <x v="208"/>
    <x v="208"/>
    <x v="0"/>
    <x v="0"/>
    <x v="0"/>
    <x v="0"/>
    <x v="2"/>
    <x v="1"/>
    <x v="0"/>
  </r>
  <r>
    <x v="209"/>
    <x v="194"/>
    <x v="27"/>
    <x v="202"/>
    <x v="179"/>
    <x v="205"/>
    <x v="12"/>
    <x v="12"/>
    <x v="1"/>
    <x v="1"/>
    <x v="2"/>
    <x v="2"/>
    <x v="5"/>
    <x v="5"/>
    <x v="5"/>
    <x v="5"/>
    <x v="0"/>
    <x v="0"/>
    <x v="0"/>
    <x v="0"/>
    <x v="209"/>
    <x v="209"/>
    <x v="2"/>
    <x v="2"/>
    <x v="3"/>
    <x v="6"/>
    <x v="209"/>
    <x v="8"/>
    <x v="6"/>
    <x v="209"/>
    <x v="209"/>
    <x v="209"/>
    <x v="209"/>
    <x v="209"/>
    <x v="209"/>
    <x v="0"/>
    <x v="0"/>
    <x v="0"/>
    <x v="0"/>
    <x v="1"/>
    <x v="1"/>
    <x v="0"/>
  </r>
  <r>
    <x v="210"/>
    <x v="195"/>
    <x v="151"/>
    <x v="203"/>
    <x v="180"/>
    <x v="206"/>
    <x v="15"/>
    <x v="14"/>
    <x v="3"/>
    <x v="3"/>
    <x v="2"/>
    <x v="2"/>
    <x v="11"/>
    <x v="11"/>
    <x v="12"/>
    <x v="12"/>
    <x v="2"/>
    <x v="2"/>
    <x v="12"/>
    <x v="12"/>
    <x v="210"/>
    <x v="210"/>
    <x v="0"/>
    <x v="0"/>
    <x v="4"/>
    <x v="5"/>
    <x v="210"/>
    <x v="1"/>
    <x v="1"/>
    <x v="210"/>
    <x v="210"/>
    <x v="210"/>
    <x v="210"/>
    <x v="210"/>
    <x v="210"/>
    <x v="3"/>
    <x v="3"/>
    <x v="2"/>
    <x v="2"/>
    <x v="11"/>
    <x v="0"/>
    <x v="0"/>
  </r>
  <r>
    <x v="211"/>
    <x v="196"/>
    <x v="174"/>
    <x v="204"/>
    <x v="181"/>
    <x v="207"/>
    <x v="12"/>
    <x v="12"/>
    <x v="2"/>
    <x v="2"/>
    <x v="1"/>
    <x v="1"/>
    <x v="6"/>
    <x v="6"/>
    <x v="6"/>
    <x v="6"/>
    <x v="2"/>
    <x v="2"/>
    <x v="6"/>
    <x v="6"/>
    <x v="211"/>
    <x v="211"/>
    <x v="0"/>
    <x v="0"/>
    <x v="3"/>
    <x v="0"/>
    <x v="211"/>
    <x v="0"/>
    <x v="0"/>
    <x v="211"/>
    <x v="211"/>
    <x v="211"/>
    <x v="211"/>
    <x v="211"/>
    <x v="211"/>
    <x v="0"/>
    <x v="0"/>
    <x v="0"/>
    <x v="0"/>
    <x v="4"/>
    <x v="0"/>
    <x v="0"/>
  </r>
  <r>
    <x v="212"/>
    <x v="197"/>
    <x v="175"/>
    <x v="205"/>
    <x v="182"/>
    <x v="208"/>
    <x v="4"/>
    <x v="4"/>
    <x v="1"/>
    <x v="1"/>
    <x v="1"/>
    <x v="1"/>
    <x v="1"/>
    <x v="1"/>
    <x v="1"/>
    <x v="1"/>
    <x v="2"/>
    <x v="2"/>
    <x v="11"/>
    <x v="11"/>
    <x v="212"/>
    <x v="212"/>
    <x v="1"/>
    <x v="1"/>
    <x v="6"/>
    <x v="7"/>
    <x v="212"/>
    <x v="4"/>
    <x v="4"/>
    <x v="212"/>
    <x v="212"/>
    <x v="212"/>
    <x v="212"/>
    <x v="212"/>
    <x v="212"/>
    <x v="0"/>
    <x v="0"/>
    <x v="0"/>
    <x v="0"/>
    <x v="7"/>
    <x v="0"/>
    <x v="0"/>
  </r>
  <r>
    <x v="213"/>
    <x v="198"/>
    <x v="176"/>
    <x v="206"/>
    <x v="183"/>
    <x v="209"/>
    <x v="2"/>
    <x v="2"/>
    <x v="1"/>
    <x v="1"/>
    <x v="1"/>
    <x v="1"/>
    <x v="9"/>
    <x v="9"/>
    <x v="10"/>
    <x v="10"/>
    <x v="2"/>
    <x v="2"/>
    <x v="5"/>
    <x v="5"/>
    <x v="213"/>
    <x v="213"/>
    <x v="7"/>
    <x v="0"/>
    <x v="0"/>
    <x v="2"/>
    <x v="213"/>
    <x v="0"/>
    <x v="0"/>
    <x v="213"/>
    <x v="213"/>
    <x v="213"/>
    <x v="213"/>
    <x v="213"/>
    <x v="213"/>
    <x v="0"/>
    <x v="0"/>
    <x v="0"/>
    <x v="0"/>
    <x v="4"/>
    <x v="0"/>
    <x v="0"/>
  </r>
  <r>
    <x v="214"/>
    <x v="199"/>
    <x v="177"/>
    <x v="207"/>
    <x v="184"/>
    <x v="210"/>
    <x v="9"/>
    <x v="9"/>
    <x v="0"/>
    <x v="0"/>
    <x v="4"/>
    <x v="0"/>
    <x v="16"/>
    <x v="16"/>
    <x v="17"/>
    <x v="17"/>
    <x v="2"/>
    <x v="2"/>
    <x v="5"/>
    <x v="5"/>
    <x v="214"/>
    <x v="214"/>
    <x v="8"/>
    <x v="2"/>
    <x v="0"/>
    <x v="1"/>
    <x v="214"/>
    <x v="5"/>
    <x v="5"/>
    <x v="214"/>
    <x v="214"/>
    <x v="214"/>
    <x v="214"/>
    <x v="214"/>
    <x v="214"/>
    <x v="0"/>
    <x v="0"/>
    <x v="0"/>
    <x v="0"/>
    <x v="11"/>
    <x v="0"/>
    <x v="0"/>
  </r>
  <r>
    <x v="215"/>
    <x v="200"/>
    <x v="178"/>
    <x v="208"/>
    <x v="185"/>
    <x v="211"/>
    <x v="1"/>
    <x v="1"/>
    <x v="0"/>
    <x v="0"/>
    <x v="3"/>
    <x v="3"/>
    <x v="4"/>
    <x v="4"/>
    <x v="4"/>
    <x v="4"/>
    <x v="0"/>
    <x v="0"/>
    <x v="0"/>
    <x v="0"/>
    <x v="215"/>
    <x v="215"/>
    <x v="2"/>
    <x v="2"/>
    <x v="4"/>
    <x v="0"/>
    <x v="215"/>
    <x v="3"/>
    <x v="3"/>
    <x v="215"/>
    <x v="215"/>
    <x v="215"/>
    <x v="215"/>
    <x v="215"/>
    <x v="215"/>
    <x v="0"/>
    <x v="0"/>
    <x v="0"/>
    <x v="0"/>
    <x v="11"/>
    <x v="0"/>
    <x v="0"/>
  </r>
  <r>
    <x v="216"/>
    <x v="6"/>
    <x v="6"/>
    <x v="209"/>
    <x v="186"/>
    <x v="212"/>
    <x v="2"/>
    <x v="2"/>
    <x v="0"/>
    <x v="0"/>
    <x v="3"/>
    <x v="3"/>
    <x v="12"/>
    <x v="12"/>
    <x v="13"/>
    <x v="13"/>
    <x v="1"/>
    <x v="1"/>
    <x v="1"/>
    <x v="1"/>
    <x v="216"/>
    <x v="216"/>
    <x v="3"/>
    <x v="3"/>
    <x v="1"/>
    <x v="0"/>
    <x v="216"/>
    <x v="3"/>
    <x v="3"/>
    <x v="216"/>
    <x v="216"/>
    <x v="216"/>
    <x v="216"/>
    <x v="216"/>
    <x v="216"/>
    <x v="3"/>
    <x v="3"/>
    <x v="2"/>
    <x v="2"/>
    <x v="5"/>
    <x v="1"/>
    <x v="0"/>
  </r>
  <r>
    <x v="217"/>
    <x v="201"/>
    <x v="179"/>
    <x v="210"/>
    <x v="187"/>
    <x v="213"/>
    <x v="7"/>
    <x v="7"/>
    <x v="0"/>
    <x v="0"/>
    <x v="1"/>
    <x v="1"/>
    <x v="1"/>
    <x v="1"/>
    <x v="1"/>
    <x v="1"/>
    <x v="1"/>
    <x v="1"/>
    <x v="10"/>
    <x v="10"/>
    <x v="217"/>
    <x v="217"/>
    <x v="0"/>
    <x v="0"/>
    <x v="2"/>
    <x v="8"/>
    <x v="217"/>
    <x v="8"/>
    <x v="6"/>
    <x v="217"/>
    <x v="217"/>
    <x v="217"/>
    <x v="217"/>
    <x v="217"/>
    <x v="217"/>
    <x v="1"/>
    <x v="1"/>
    <x v="1"/>
    <x v="1"/>
    <x v="5"/>
    <x v="1"/>
    <x v="0"/>
  </r>
  <r>
    <x v="218"/>
    <x v="202"/>
    <x v="180"/>
    <x v="211"/>
    <x v="188"/>
    <x v="214"/>
    <x v="8"/>
    <x v="8"/>
    <x v="2"/>
    <x v="2"/>
    <x v="3"/>
    <x v="3"/>
    <x v="12"/>
    <x v="12"/>
    <x v="13"/>
    <x v="13"/>
    <x v="1"/>
    <x v="1"/>
    <x v="10"/>
    <x v="10"/>
    <x v="218"/>
    <x v="218"/>
    <x v="3"/>
    <x v="3"/>
    <x v="3"/>
    <x v="8"/>
    <x v="218"/>
    <x v="1"/>
    <x v="1"/>
    <x v="218"/>
    <x v="218"/>
    <x v="218"/>
    <x v="218"/>
    <x v="218"/>
    <x v="218"/>
    <x v="0"/>
    <x v="0"/>
    <x v="0"/>
    <x v="0"/>
    <x v="6"/>
    <x v="1"/>
    <x v="0"/>
  </r>
  <r>
    <x v="219"/>
    <x v="203"/>
    <x v="181"/>
    <x v="212"/>
    <x v="109"/>
    <x v="215"/>
    <x v="9"/>
    <x v="9"/>
    <x v="0"/>
    <x v="0"/>
    <x v="1"/>
    <x v="1"/>
    <x v="9"/>
    <x v="9"/>
    <x v="10"/>
    <x v="10"/>
    <x v="2"/>
    <x v="2"/>
    <x v="12"/>
    <x v="12"/>
    <x v="219"/>
    <x v="219"/>
    <x v="2"/>
    <x v="2"/>
    <x v="3"/>
    <x v="7"/>
    <x v="219"/>
    <x v="15"/>
    <x v="9"/>
    <x v="219"/>
    <x v="219"/>
    <x v="219"/>
    <x v="219"/>
    <x v="219"/>
    <x v="219"/>
    <x v="0"/>
    <x v="0"/>
    <x v="0"/>
    <x v="0"/>
    <x v="2"/>
    <x v="0"/>
    <x v="0"/>
  </r>
  <r>
    <x v="220"/>
    <x v="204"/>
    <x v="182"/>
    <x v="213"/>
    <x v="189"/>
    <x v="216"/>
    <x v="11"/>
    <x v="11"/>
    <x v="0"/>
    <x v="0"/>
    <x v="2"/>
    <x v="2"/>
    <x v="13"/>
    <x v="13"/>
    <x v="14"/>
    <x v="14"/>
    <x v="0"/>
    <x v="0"/>
    <x v="8"/>
    <x v="8"/>
    <x v="220"/>
    <x v="220"/>
    <x v="2"/>
    <x v="2"/>
    <x v="6"/>
    <x v="2"/>
    <x v="220"/>
    <x v="4"/>
    <x v="4"/>
    <x v="220"/>
    <x v="220"/>
    <x v="220"/>
    <x v="220"/>
    <x v="220"/>
    <x v="220"/>
    <x v="1"/>
    <x v="1"/>
    <x v="1"/>
    <x v="1"/>
    <x v="7"/>
    <x v="0"/>
    <x v="0"/>
  </r>
  <r>
    <x v="221"/>
    <x v="205"/>
    <x v="183"/>
    <x v="214"/>
    <x v="190"/>
    <x v="217"/>
    <x v="1"/>
    <x v="1"/>
    <x v="2"/>
    <x v="2"/>
    <x v="2"/>
    <x v="2"/>
    <x v="11"/>
    <x v="11"/>
    <x v="12"/>
    <x v="12"/>
    <x v="1"/>
    <x v="1"/>
    <x v="4"/>
    <x v="4"/>
    <x v="221"/>
    <x v="221"/>
    <x v="1"/>
    <x v="1"/>
    <x v="4"/>
    <x v="2"/>
    <x v="221"/>
    <x v="0"/>
    <x v="0"/>
    <x v="221"/>
    <x v="221"/>
    <x v="221"/>
    <x v="221"/>
    <x v="221"/>
    <x v="221"/>
    <x v="0"/>
    <x v="0"/>
    <x v="0"/>
    <x v="0"/>
    <x v="10"/>
    <x v="1"/>
    <x v="0"/>
  </r>
  <r>
    <x v="222"/>
    <x v="206"/>
    <x v="184"/>
    <x v="181"/>
    <x v="162"/>
    <x v="218"/>
    <x v="5"/>
    <x v="5"/>
    <x v="1"/>
    <x v="1"/>
    <x v="3"/>
    <x v="3"/>
    <x v="14"/>
    <x v="14"/>
    <x v="15"/>
    <x v="15"/>
    <x v="0"/>
    <x v="0"/>
    <x v="8"/>
    <x v="8"/>
    <x v="222"/>
    <x v="222"/>
    <x v="2"/>
    <x v="2"/>
    <x v="4"/>
    <x v="3"/>
    <x v="222"/>
    <x v="1"/>
    <x v="1"/>
    <x v="222"/>
    <x v="222"/>
    <x v="222"/>
    <x v="222"/>
    <x v="222"/>
    <x v="222"/>
    <x v="0"/>
    <x v="0"/>
    <x v="0"/>
    <x v="0"/>
    <x v="5"/>
    <x v="1"/>
    <x v="0"/>
  </r>
  <r>
    <x v="223"/>
    <x v="207"/>
    <x v="185"/>
    <x v="215"/>
    <x v="7"/>
    <x v="219"/>
    <x v="1"/>
    <x v="1"/>
    <x v="2"/>
    <x v="2"/>
    <x v="3"/>
    <x v="3"/>
    <x v="3"/>
    <x v="3"/>
    <x v="3"/>
    <x v="3"/>
    <x v="1"/>
    <x v="1"/>
    <x v="3"/>
    <x v="3"/>
    <x v="223"/>
    <x v="223"/>
    <x v="2"/>
    <x v="2"/>
    <x v="2"/>
    <x v="1"/>
    <x v="223"/>
    <x v="0"/>
    <x v="0"/>
    <x v="223"/>
    <x v="223"/>
    <x v="223"/>
    <x v="223"/>
    <x v="223"/>
    <x v="223"/>
    <x v="2"/>
    <x v="2"/>
    <x v="2"/>
    <x v="2"/>
    <x v="6"/>
    <x v="1"/>
    <x v="0"/>
  </r>
  <r>
    <x v="224"/>
    <x v="208"/>
    <x v="186"/>
    <x v="216"/>
    <x v="191"/>
    <x v="220"/>
    <x v="2"/>
    <x v="2"/>
    <x v="1"/>
    <x v="1"/>
    <x v="4"/>
    <x v="0"/>
    <x v="7"/>
    <x v="7"/>
    <x v="8"/>
    <x v="8"/>
    <x v="1"/>
    <x v="1"/>
    <x v="3"/>
    <x v="3"/>
    <x v="224"/>
    <x v="224"/>
    <x v="3"/>
    <x v="3"/>
    <x v="0"/>
    <x v="2"/>
    <x v="224"/>
    <x v="3"/>
    <x v="3"/>
    <x v="224"/>
    <x v="224"/>
    <x v="224"/>
    <x v="224"/>
    <x v="224"/>
    <x v="224"/>
    <x v="0"/>
    <x v="0"/>
    <x v="1"/>
    <x v="1"/>
    <x v="9"/>
    <x v="1"/>
    <x v="0"/>
  </r>
  <r>
    <x v="225"/>
    <x v="209"/>
    <x v="187"/>
    <x v="217"/>
    <x v="192"/>
    <x v="221"/>
    <x v="1"/>
    <x v="1"/>
    <x v="2"/>
    <x v="2"/>
    <x v="3"/>
    <x v="3"/>
    <x v="14"/>
    <x v="14"/>
    <x v="15"/>
    <x v="15"/>
    <x v="2"/>
    <x v="2"/>
    <x v="11"/>
    <x v="11"/>
    <x v="225"/>
    <x v="225"/>
    <x v="3"/>
    <x v="3"/>
    <x v="9"/>
    <x v="3"/>
    <x v="225"/>
    <x v="4"/>
    <x v="4"/>
    <x v="225"/>
    <x v="225"/>
    <x v="225"/>
    <x v="225"/>
    <x v="225"/>
    <x v="225"/>
    <x v="0"/>
    <x v="0"/>
    <x v="0"/>
    <x v="0"/>
    <x v="7"/>
    <x v="0"/>
    <x v="0"/>
  </r>
  <r>
    <x v="226"/>
    <x v="210"/>
    <x v="6"/>
    <x v="209"/>
    <x v="186"/>
    <x v="222"/>
    <x v="13"/>
    <x v="13"/>
    <x v="3"/>
    <x v="3"/>
    <x v="5"/>
    <x v="4"/>
    <x v="13"/>
    <x v="13"/>
    <x v="14"/>
    <x v="14"/>
    <x v="2"/>
    <x v="2"/>
    <x v="6"/>
    <x v="6"/>
    <x v="226"/>
    <x v="226"/>
    <x v="1"/>
    <x v="1"/>
    <x v="1"/>
    <x v="5"/>
    <x v="226"/>
    <x v="8"/>
    <x v="6"/>
    <x v="226"/>
    <x v="226"/>
    <x v="226"/>
    <x v="226"/>
    <x v="226"/>
    <x v="226"/>
    <x v="0"/>
    <x v="0"/>
    <x v="0"/>
    <x v="0"/>
    <x v="5"/>
    <x v="1"/>
    <x v="0"/>
  </r>
  <r>
    <x v="227"/>
    <x v="211"/>
    <x v="188"/>
    <x v="218"/>
    <x v="193"/>
    <x v="223"/>
    <x v="4"/>
    <x v="4"/>
    <x v="1"/>
    <x v="1"/>
    <x v="3"/>
    <x v="3"/>
    <x v="14"/>
    <x v="14"/>
    <x v="15"/>
    <x v="15"/>
    <x v="0"/>
    <x v="0"/>
    <x v="9"/>
    <x v="9"/>
    <x v="227"/>
    <x v="227"/>
    <x v="2"/>
    <x v="2"/>
    <x v="2"/>
    <x v="1"/>
    <x v="227"/>
    <x v="4"/>
    <x v="4"/>
    <x v="227"/>
    <x v="227"/>
    <x v="227"/>
    <x v="227"/>
    <x v="227"/>
    <x v="227"/>
    <x v="0"/>
    <x v="0"/>
    <x v="0"/>
    <x v="0"/>
    <x v="0"/>
    <x v="0"/>
    <x v="0"/>
  </r>
  <r>
    <x v="228"/>
    <x v="212"/>
    <x v="48"/>
    <x v="219"/>
    <x v="194"/>
    <x v="224"/>
    <x v="0"/>
    <x v="0"/>
    <x v="1"/>
    <x v="1"/>
    <x v="2"/>
    <x v="2"/>
    <x v="2"/>
    <x v="2"/>
    <x v="2"/>
    <x v="2"/>
    <x v="0"/>
    <x v="0"/>
    <x v="7"/>
    <x v="7"/>
    <x v="228"/>
    <x v="228"/>
    <x v="0"/>
    <x v="0"/>
    <x v="5"/>
    <x v="5"/>
    <x v="228"/>
    <x v="4"/>
    <x v="4"/>
    <x v="228"/>
    <x v="228"/>
    <x v="228"/>
    <x v="228"/>
    <x v="228"/>
    <x v="228"/>
    <x v="0"/>
    <x v="0"/>
    <x v="0"/>
    <x v="0"/>
    <x v="5"/>
    <x v="0"/>
    <x v="0"/>
  </r>
  <r>
    <x v="229"/>
    <x v="213"/>
    <x v="189"/>
    <x v="220"/>
    <x v="195"/>
    <x v="225"/>
    <x v="12"/>
    <x v="12"/>
    <x v="0"/>
    <x v="0"/>
    <x v="2"/>
    <x v="2"/>
    <x v="2"/>
    <x v="2"/>
    <x v="2"/>
    <x v="2"/>
    <x v="1"/>
    <x v="1"/>
    <x v="10"/>
    <x v="10"/>
    <x v="229"/>
    <x v="229"/>
    <x v="2"/>
    <x v="2"/>
    <x v="0"/>
    <x v="1"/>
    <x v="229"/>
    <x v="1"/>
    <x v="1"/>
    <x v="229"/>
    <x v="229"/>
    <x v="229"/>
    <x v="229"/>
    <x v="229"/>
    <x v="229"/>
    <x v="1"/>
    <x v="1"/>
    <x v="2"/>
    <x v="2"/>
    <x v="2"/>
    <x v="1"/>
    <x v="0"/>
  </r>
  <r>
    <x v="230"/>
    <x v="214"/>
    <x v="190"/>
    <x v="221"/>
    <x v="156"/>
    <x v="226"/>
    <x v="6"/>
    <x v="6"/>
    <x v="1"/>
    <x v="1"/>
    <x v="4"/>
    <x v="0"/>
    <x v="0"/>
    <x v="0"/>
    <x v="0"/>
    <x v="0"/>
    <x v="0"/>
    <x v="0"/>
    <x v="0"/>
    <x v="0"/>
    <x v="230"/>
    <x v="230"/>
    <x v="3"/>
    <x v="3"/>
    <x v="0"/>
    <x v="0"/>
    <x v="230"/>
    <x v="8"/>
    <x v="6"/>
    <x v="230"/>
    <x v="230"/>
    <x v="230"/>
    <x v="230"/>
    <x v="230"/>
    <x v="230"/>
    <x v="0"/>
    <x v="0"/>
    <x v="0"/>
    <x v="0"/>
    <x v="4"/>
    <x v="0"/>
    <x v="0"/>
  </r>
  <r>
    <x v="231"/>
    <x v="215"/>
    <x v="146"/>
    <x v="222"/>
    <x v="196"/>
    <x v="227"/>
    <x v="4"/>
    <x v="4"/>
    <x v="2"/>
    <x v="2"/>
    <x v="4"/>
    <x v="0"/>
    <x v="0"/>
    <x v="0"/>
    <x v="0"/>
    <x v="0"/>
    <x v="6"/>
    <x v="0"/>
    <x v="7"/>
    <x v="7"/>
    <x v="231"/>
    <x v="231"/>
    <x v="2"/>
    <x v="2"/>
    <x v="6"/>
    <x v="4"/>
    <x v="231"/>
    <x v="3"/>
    <x v="3"/>
    <x v="231"/>
    <x v="231"/>
    <x v="231"/>
    <x v="231"/>
    <x v="231"/>
    <x v="231"/>
    <x v="1"/>
    <x v="1"/>
    <x v="1"/>
    <x v="1"/>
    <x v="4"/>
    <x v="0"/>
    <x v="0"/>
  </r>
  <r>
    <x v="232"/>
    <x v="216"/>
    <x v="191"/>
    <x v="223"/>
    <x v="197"/>
    <x v="228"/>
    <x v="9"/>
    <x v="9"/>
    <x v="0"/>
    <x v="0"/>
    <x v="2"/>
    <x v="2"/>
    <x v="5"/>
    <x v="5"/>
    <x v="5"/>
    <x v="5"/>
    <x v="2"/>
    <x v="2"/>
    <x v="11"/>
    <x v="11"/>
    <x v="232"/>
    <x v="232"/>
    <x v="3"/>
    <x v="3"/>
    <x v="0"/>
    <x v="2"/>
    <x v="232"/>
    <x v="3"/>
    <x v="3"/>
    <x v="232"/>
    <x v="232"/>
    <x v="232"/>
    <x v="232"/>
    <x v="232"/>
    <x v="232"/>
    <x v="0"/>
    <x v="0"/>
    <x v="0"/>
    <x v="0"/>
    <x v="2"/>
    <x v="1"/>
    <x v="0"/>
  </r>
  <r>
    <x v="233"/>
    <x v="217"/>
    <x v="192"/>
    <x v="224"/>
    <x v="198"/>
    <x v="229"/>
    <x v="5"/>
    <x v="5"/>
    <x v="2"/>
    <x v="2"/>
    <x v="2"/>
    <x v="2"/>
    <x v="11"/>
    <x v="11"/>
    <x v="12"/>
    <x v="12"/>
    <x v="1"/>
    <x v="1"/>
    <x v="10"/>
    <x v="10"/>
    <x v="233"/>
    <x v="233"/>
    <x v="4"/>
    <x v="4"/>
    <x v="6"/>
    <x v="0"/>
    <x v="233"/>
    <x v="1"/>
    <x v="1"/>
    <x v="233"/>
    <x v="233"/>
    <x v="233"/>
    <x v="233"/>
    <x v="233"/>
    <x v="233"/>
    <x v="0"/>
    <x v="0"/>
    <x v="0"/>
    <x v="0"/>
    <x v="9"/>
    <x v="0"/>
    <x v="0"/>
  </r>
  <r>
    <x v="234"/>
    <x v="218"/>
    <x v="187"/>
    <x v="225"/>
    <x v="189"/>
    <x v="230"/>
    <x v="15"/>
    <x v="14"/>
    <x v="3"/>
    <x v="3"/>
    <x v="4"/>
    <x v="0"/>
    <x v="18"/>
    <x v="18"/>
    <x v="19"/>
    <x v="19"/>
    <x v="1"/>
    <x v="1"/>
    <x v="3"/>
    <x v="3"/>
    <x v="234"/>
    <x v="234"/>
    <x v="2"/>
    <x v="2"/>
    <x v="3"/>
    <x v="6"/>
    <x v="234"/>
    <x v="8"/>
    <x v="6"/>
    <x v="234"/>
    <x v="234"/>
    <x v="234"/>
    <x v="234"/>
    <x v="234"/>
    <x v="234"/>
    <x v="0"/>
    <x v="0"/>
    <x v="0"/>
    <x v="0"/>
    <x v="7"/>
    <x v="0"/>
    <x v="0"/>
  </r>
  <r>
    <x v="235"/>
    <x v="219"/>
    <x v="193"/>
    <x v="226"/>
    <x v="199"/>
    <x v="231"/>
    <x v="9"/>
    <x v="9"/>
    <x v="1"/>
    <x v="1"/>
    <x v="3"/>
    <x v="3"/>
    <x v="0"/>
    <x v="0"/>
    <x v="7"/>
    <x v="7"/>
    <x v="0"/>
    <x v="0"/>
    <x v="8"/>
    <x v="8"/>
    <x v="235"/>
    <x v="235"/>
    <x v="3"/>
    <x v="3"/>
    <x v="3"/>
    <x v="3"/>
    <x v="235"/>
    <x v="5"/>
    <x v="5"/>
    <x v="235"/>
    <x v="235"/>
    <x v="235"/>
    <x v="235"/>
    <x v="235"/>
    <x v="235"/>
    <x v="0"/>
    <x v="0"/>
    <x v="0"/>
    <x v="0"/>
    <x v="3"/>
    <x v="0"/>
    <x v="0"/>
  </r>
  <r>
    <x v="236"/>
    <x v="220"/>
    <x v="192"/>
    <x v="227"/>
    <x v="200"/>
    <x v="232"/>
    <x v="8"/>
    <x v="8"/>
    <x v="2"/>
    <x v="2"/>
    <x v="4"/>
    <x v="0"/>
    <x v="8"/>
    <x v="8"/>
    <x v="9"/>
    <x v="9"/>
    <x v="1"/>
    <x v="1"/>
    <x v="10"/>
    <x v="10"/>
    <x v="236"/>
    <x v="236"/>
    <x v="2"/>
    <x v="2"/>
    <x v="2"/>
    <x v="3"/>
    <x v="236"/>
    <x v="1"/>
    <x v="1"/>
    <x v="236"/>
    <x v="236"/>
    <x v="236"/>
    <x v="236"/>
    <x v="236"/>
    <x v="236"/>
    <x v="0"/>
    <x v="0"/>
    <x v="0"/>
    <x v="0"/>
    <x v="9"/>
    <x v="0"/>
    <x v="0"/>
  </r>
  <r>
    <x v="237"/>
    <x v="221"/>
    <x v="194"/>
    <x v="228"/>
    <x v="201"/>
    <x v="233"/>
    <x v="1"/>
    <x v="1"/>
    <x v="0"/>
    <x v="0"/>
    <x v="4"/>
    <x v="0"/>
    <x v="16"/>
    <x v="16"/>
    <x v="17"/>
    <x v="17"/>
    <x v="2"/>
    <x v="2"/>
    <x v="6"/>
    <x v="6"/>
    <x v="237"/>
    <x v="237"/>
    <x v="3"/>
    <x v="3"/>
    <x v="6"/>
    <x v="6"/>
    <x v="237"/>
    <x v="1"/>
    <x v="1"/>
    <x v="237"/>
    <x v="237"/>
    <x v="237"/>
    <x v="237"/>
    <x v="237"/>
    <x v="237"/>
    <x v="0"/>
    <x v="0"/>
    <x v="0"/>
    <x v="0"/>
    <x v="1"/>
    <x v="0"/>
    <x v="0"/>
  </r>
  <r>
    <x v="238"/>
    <x v="222"/>
    <x v="195"/>
    <x v="229"/>
    <x v="202"/>
    <x v="234"/>
    <x v="3"/>
    <x v="3"/>
    <x v="0"/>
    <x v="0"/>
    <x v="2"/>
    <x v="2"/>
    <x v="5"/>
    <x v="5"/>
    <x v="5"/>
    <x v="5"/>
    <x v="0"/>
    <x v="0"/>
    <x v="8"/>
    <x v="8"/>
    <x v="238"/>
    <x v="238"/>
    <x v="2"/>
    <x v="2"/>
    <x v="1"/>
    <x v="4"/>
    <x v="238"/>
    <x v="2"/>
    <x v="2"/>
    <x v="238"/>
    <x v="238"/>
    <x v="238"/>
    <x v="238"/>
    <x v="238"/>
    <x v="238"/>
    <x v="0"/>
    <x v="0"/>
    <x v="0"/>
    <x v="0"/>
    <x v="10"/>
    <x v="0"/>
    <x v="0"/>
  </r>
  <r>
    <x v="239"/>
    <x v="223"/>
    <x v="175"/>
    <x v="230"/>
    <x v="182"/>
    <x v="235"/>
    <x v="15"/>
    <x v="14"/>
    <x v="2"/>
    <x v="2"/>
    <x v="2"/>
    <x v="2"/>
    <x v="11"/>
    <x v="11"/>
    <x v="12"/>
    <x v="12"/>
    <x v="2"/>
    <x v="2"/>
    <x v="12"/>
    <x v="12"/>
    <x v="239"/>
    <x v="239"/>
    <x v="2"/>
    <x v="2"/>
    <x v="6"/>
    <x v="7"/>
    <x v="239"/>
    <x v="0"/>
    <x v="0"/>
    <x v="239"/>
    <x v="239"/>
    <x v="239"/>
    <x v="239"/>
    <x v="239"/>
    <x v="239"/>
    <x v="0"/>
    <x v="0"/>
    <x v="0"/>
    <x v="0"/>
    <x v="7"/>
    <x v="0"/>
    <x v="0"/>
  </r>
  <r>
    <x v="240"/>
    <x v="224"/>
    <x v="196"/>
    <x v="231"/>
    <x v="203"/>
    <x v="236"/>
    <x v="10"/>
    <x v="10"/>
    <x v="2"/>
    <x v="2"/>
    <x v="2"/>
    <x v="2"/>
    <x v="2"/>
    <x v="2"/>
    <x v="2"/>
    <x v="2"/>
    <x v="0"/>
    <x v="0"/>
    <x v="9"/>
    <x v="9"/>
    <x v="240"/>
    <x v="240"/>
    <x v="2"/>
    <x v="2"/>
    <x v="0"/>
    <x v="6"/>
    <x v="240"/>
    <x v="1"/>
    <x v="1"/>
    <x v="240"/>
    <x v="240"/>
    <x v="240"/>
    <x v="240"/>
    <x v="240"/>
    <x v="240"/>
    <x v="0"/>
    <x v="0"/>
    <x v="0"/>
    <x v="0"/>
    <x v="8"/>
    <x v="0"/>
    <x v="0"/>
  </r>
  <r>
    <x v="241"/>
    <x v="225"/>
    <x v="197"/>
    <x v="232"/>
    <x v="204"/>
    <x v="237"/>
    <x v="11"/>
    <x v="11"/>
    <x v="2"/>
    <x v="2"/>
    <x v="4"/>
    <x v="0"/>
    <x v="16"/>
    <x v="16"/>
    <x v="17"/>
    <x v="17"/>
    <x v="0"/>
    <x v="0"/>
    <x v="8"/>
    <x v="8"/>
    <x v="241"/>
    <x v="241"/>
    <x v="3"/>
    <x v="3"/>
    <x v="6"/>
    <x v="5"/>
    <x v="241"/>
    <x v="3"/>
    <x v="3"/>
    <x v="241"/>
    <x v="241"/>
    <x v="241"/>
    <x v="241"/>
    <x v="241"/>
    <x v="241"/>
    <x v="2"/>
    <x v="2"/>
    <x v="2"/>
    <x v="2"/>
    <x v="0"/>
    <x v="1"/>
    <x v="0"/>
  </r>
  <r>
    <x v="242"/>
    <x v="226"/>
    <x v="198"/>
    <x v="233"/>
    <x v="62"/>
    <x v="238"/>
    <x v="3"/>
    <x v="3"/>
    <x v="0"/>
    <x v="0"/>
    <x v="4"/>
    <x v="0"/>
    <x v="8"/>
    <x v="8"/>
    <x v="9"/>
    <x v="9"/>
    <x v="0"/>
    <x v="0"/>
    <x v="2"/>
    <x v="2"/>
    <x v="242"/>
    <x v="242"/>
    <x v="0"/>
    <x v="0"/>
    <x v="6"/>
    <x v="1"/>
    <x v="242"/>
    <x v="5"/>
    <x v="5"/>
    <x v="242"/>
    <x v="242"/>
    <x v="242"/>
    <x v="242"/>
    <x v="242"/>
    <x v="242"/>
    <x v="0"/>
    <x v="0"/>
    <x v="0"/>
    <x v="0"/>
    <x v="6"/>
    <x v="1"/>
    <x v="0"/>
  </r>
  <r>
    <x v="243"/>
    <x v="35"/>
    <x v="34"/>
    <x v="234"/>
    <x v="205"/>
    <x v="239"/>
    <x v="11"/>
    <x v="11"/>
    <x v="1"/>
    <x v="1"/>
    <x v="5"/>
    <x v="4"/>
    <x v="4"/>
    <x v="4"/>
    <x v="4"/>
    <x v="4"/>
    <x v="2"/>
    <x v="2"/>
    <x v="5"/>
    <x v="5"/>
    <x v="243"/>
    <x v="243"/>
    <x v="2"/>
    <x v="2"/>
    <x v="5"/>
    <x v="5"/>
    <x v="243"/>
    <x v="8"/>
    <x v="6"/>
    <x v="243"/>
    <x v="243"/>
    <x v="243"/>
    <x v="243"/>
    <x v="243"/>
    <x v="243"/>
    <x v="0"/>
    <x v="0"/>
    <x v="0"/>
    <x v="0"/>
    <x v="0"/>
    <x v="1"/>
    <x v="0"/>
  </r>
  <r>
    <x v="244"/>
    <x v="227"/>
    <x v="199"/>
    <x v="235"/>
    <x v="206"/>
    <x v="240"/>
    <x v="6"/>
    <x v="6"/>
    <x v="0"/>
    <x v="0"/>
    <x v="2"/>
    <x v="2"/>
    <x v="2"/>
    <x v="2"/>
    <x v="2"/>
    <x v="2"/>
    <x v="1"/>
    <x v="1"/>
    <x v="10"/>
    <x v="10"/>
    <x v="244"/>
    <x v="244"/>
    <x v="1"/>
    <x v="1"/>
    <x v="3"/>
    <x v="3"/>
    <x v="244"/>
    <x v="1"/>
    <x v="1"/>
    <x v="244"/>
    <x v="244"/>
    <x v="244"/>
    <x v="244"/>
    <x v="244"/>
    <x v="244"/>
    <x v="0"/>
    <x v="0"/>
    <x v="0"/>
    <x v="0"/>
    <x v="1"/>
    <x v="0"/>
    <x v="0"/>
  </r>
  <r>
    <x v="245"/>
    <x v="105"/>
    <x v="103"/>
    <x v="155"/>
    <x v="101"/>
    <x v="241"/>
    <x v="6"/>
    <x v="6"/>
    <x v="3"/>
    <x v="3"/>
    <x v="2"/>
    <x v="2"/>
    <x v="13"/>
    <x v="13"/>
    <x v="14"/>
    <x v="14"/>
    <x v="1"/>
    <x v="1"/>
    <x v="4"/>
    <x v="4"/>
    <x v="245"/>
    <x v="245"/>
    <x v="0"/>
    <x v="0"/>
    <x v="0"/>
    <x v="1"/>
    <x v="245"/>
    <x v="1"/>
    <x v="1"/>
    <x v="245"/>
    <x v="245"/>
    <x v="245"/>
    <x v="245"/>
    <x v="245"/>
    <x v="245"/>
    <x v="0"/>
    <x v="0"/>
    <x v="0"/>
    <x v="0"/>
    <x v="9"/>
    <x v="0"/>
    <x v="0"/>
  </r>
  <r>
    <x v="246"/>
    <x v="228"/>
    <x v="200"/>
    <x v="236"/>
    <x v="207"/>
    <x v="242"/>
    <x v="4"/>
    <x v="4"/>
    <x v="2"/>
    <x v="2"/>
    <x v="4"/>
    <x v="0"/>
    <x v="7"/>
    <x v="7"/>
    <x v="8"/>
    <x v="8"/>
    <x v="2"/>
    <x v="2"/>
    <x v="12"/>
    <x v="12"/>
    <x v="246"/>
    <x v="246"/>
    <x v="1"/>
    <x v="1"/>
    <x v="1"/>
    <x v="1"/>
    <x v="246"/>
    <x v="3"/>
    <x v="3"/>
    <x v="246"/>
    <x v="246"/>
    <x v="246"/>
    <x v="246"/>
    <x v="246"/>
    <x v="246"/>
    <x v="1"/>
    <x v="1"/>
    <x v="1"/>
    <x v="1"/>
    <x v="4"/>
    <x v="0"/>
    <x v="0"/>
  </r>
  <r>
    <x v="247"/>
    <x v="229"/>
    <x v="201"/>
    <x v="237"/>
    <x v="208"/>
    <x v="243"/>
    <x v="9"/>
    <x v="9"/>
    <x v="2"/>
    <x v="2"/>
    <x v="4"/>
    <x v="0"/>
    <x v="0"/>
    <x v="0"/>
    <x v="0"/>
    <x v="0"/>
    <x v="2"/>
    <x v="2"/>
    <x v="5"/>
    <x v="5"/>
    <x v="247"/>
    <x v="247"/>
    <x v="0"/>
    <x v="0"/>
    <x v="2"/>
    <x v="0"/>
    <x v="247"/>
    <x v="3"/>
    <x v="3"/>
    <x v="247"/>
    <x v="247"/>
    <x v="247"/>
    <x v="247"/>
    <x v="247"/>
    <x v="247"/>
    <x v="0"/>
    <x v="0"/>
    <x v="0"/>
    <x v="0"/>
    <x v="0"/>
    <x v="0"/>
    <x v="0"/>
  </r>
  <r>
    <x v="248"/>
    <x v="230"/>
    <x v="202"/>
    <x v="95"/>
    <x v="89"/>
    <x v="244"/>
    <x v="12"/>
    <x v="12"/>
    <x v="3"/>
    <x v="3"/>
    <x v="1"/>
    <x v="1"/>
    <x v="1"/>
    <x v="1"/>
    <x v="1"/>
    <x v="1"/>
    <x v="0"/>
    <x v="0"/>
    <x v="7"/>
    <x v="7"/>
    <x v="248"/>
    <x v="248"/>
    <x v="0"/>
    <x v="0"/>
    <x v="1"/>
    <x v="6"/>
    <x v="248"/>
    <x v="4"/>
    <x v="4"/>
    <x v="248"/>
    <x v="248"/>
    <x v="248"/>
    <x v="248"/>
    <x v="248"/>
    <x v="248"/>
    <x v="0"/>
    <x v="0"/>
    <x v="0"/>
    <x v="0"/>
    <x v="2"/>
    <x v="0"/>
    <x v="0"/>
  </r>
  <r>
    <x v="249"/>
    <x v="231"/>
    <x v="203"/>
    <x v="238"/>
    <x v="205"/>
    <x v="245"/>
    <x v="1"/>
    <x v="1"/>
    <x v="2"/>
    <x v="2"/>
    <x v="4"/>
    <x v="0"/>
    <x v="0"/>
    <x v="0"/>
    <x v="0"/>
    <x v="0"/>
    <x v="1"/>
    <x v="1"/>
    <x v="3"/>
    <x v="3"/>
    <x v="249"/>
    <x v="249"/>
    <x v="2"/>
    <x v="2"/>
    <x v="3"/>
    <x v="2"/>
    <x v="249"/>
    <x v="0"/>
    <x v="0"/>
    <x v="249"/>
    <x v="249"/>
    <x v="249"/>
    <x v="249"/>
    <x v="249"/>
    <x v="249"/>
    <x v="0"/>
    <x v="0"/>
    <x v="0"/>
    <x v="0"/>
    <x v="1"/>
    <x v="1"/>
    <x v="0"/>
  </r>
  <r>
    <x v="250"/>
    <x v="232"/>
    <x v="204"/>
    <x v="239"/>
    <x v="209"/>
    <x v="246"/>
    <x v="3"/>
    <x v="3"/>
    <x v="1"/>
    <x v="1"/>
    <x v="1"/>
    <x v="1"/>
    <x v="6"/>
    <x v="6"/>
    <x v="6"/>
    <x v="6"/>
    <x v="1"/>
    <x v="1"/>
    <x v="3"/>
    <x v="3"/>
    <x v="250"/>
    <x v="250"/>
    <x v="3"/>
    <x v="3"/>
    <x v="0"/>
    <x v="8"/>
    <x v="250"/>
    <x v="4"/>
    <x v="4"/>
    <x v="250"/>
    <x v="250"/>
    <x v="250"/>
    <x v="250"/>
    <x v="250"/>
    <x v="250"/>
    <x v="2"/>
    <x v="2"/>
    <x v="2"/>
    <x v="2"/>
    <x v="6"/>
    <x v="0"/>
    <x v="0"/>
  </r>
  <r>
    <x v="251"/>
    <x v="233"/>
    <x v="205"/>
    <x v="240"/>
    <x v="210"/>
    <x v="247"/>
    <x v="4"/>
    <x v="4"/>
    <x v="2"/>
    <x v="2"/>
    <x v="3"/>
    <x v="3"/>
    <x v="12"/>
    <x v="12"/>
    <x v="13"/>
    <x v="13"/>
    <x v="1"/>
    <x v="1"/>
    <x v="1"/>
    <x v="1"/>
    <x v="251"/>
    <x v="251"/>
    <x v="0"/>
    <x v="0"/>
    <x v="5"/>
    <x v="3"/>
    <x v="251"/>
    <x v="1"/>
    <x v="1"/>
    <x v="251"/>
    <x v="251"/>
    <x v="251"/>
    <x v="251"/>
    <x v="251"/>
    <x v="251"/>
    <x v="0"/>
    <x v="0"/>
    <x v="0"/>
    <x v="0"/>
    <x v="5"/>
    <x v="1"/>
    <x v="0"/>
  </r>
  <r>
    <x v="252"/>
    <x v="234"/>
    <x v="206"/>
    <x v="241"/>
    <x v="211"/>
    <x v="248"/>
    <x v="3"/>
    <x v="3"/>
    <x v="2"/>
    <x v="2"/>
    <x v="4"/>
    <x v="0"/>
    <x v="16"/>
    <x v="16"/>
    <x v="17"/>
    <x v="17"/>
    <x v="0"/>
    <x v="0"/>
    <x v="8"/>
    <x v="8"/>
    <x v="252"/>
    <x v="252"/>
    <x v="2"/>
    <x v="2"/>
    <x v="4"/>
    <x v="7"/>
    <x v="252"/>
    <x v="0"/>
    <x v="0"/>
    <x v="252"/>
    <x v="252"/>
    <x v="252"/>
    <x v="252"/>
    <x v="252"/>
    <x v="252"/>
    <x v="2"/>
    <x v="2"/>
    <x v="2"/>
    <x v="2"/>
    <x v="2"/>
    <x v="1"/>
    <x v="0"/>
  </r>
  <r>
    <x v="253"/>
    <x v="235"/>
    <x v="207"/>
    <x v="242"/>
    <x v="212"/>
    <x v="249"/>
    <x v="8"/>
    <x v="8"/>
    <x v="1"/>
    <x v="1"/>
    <x v="4"/>
    <x v="0"/>
    <x v="0"/>
    <x v="0"/>
    <x v="0"/>
    <x v="0"/>
    <x v="2"/>
    <x v="2"/>
    <x v="11"/>
    <x v="11"/>
    <x v="253"/>
    <x v="253"/>
    <x v="1"/>
    <x v="1"/>
    <x v="3"/>
    <x v="3"/>
    <x v="253"/>
    <x v="5"/>
    <x v="5"/>
    <x v="253"/>
    <x v="253"/>
    <x v="253"/>
    <x v="32"/>
    <x v="253"/>
    <x v="253"/>
    <x v="1"/>
    <x v="1"/>
    <x v="1"/>
    <x v="1"/>
    <x v="7"/>
    <x v="0"/>
    <x v="0"/>
  </r>
  <r>
    <x v="254"/>
    <x v="236"/>
    <x v="208"/>
    <x v="243"/>
    <x v="213"/>
    <x v="250"/>
    <x v="4"/>
    <x v="4"/>
    <x v="0"/>
    <x v="0"/>
    <x v="3"/>
    <x v="3"/>
    <x v="4"/>
    <x v="4"/>
    <x v="4"/>
    <x v="4"/>
    <x v="2"/>
    <x v="2"/>
    <x v="5"/>
    <x v="5"/>
    <x v="254"/>
    <x v="254"/>
    <x v="1"/>
    <x v="1"/>
    <x v="7"/>
    <x v="4"/>
    <x v="254"/>
    <x v="0"/>
    <x v="0"/>
    <x v="254"/>
    <x v="254"/>
    <x v="254"/>
    <x v="253"/>
    <x v="254"/>
    <x v="254"/>
    <x v="0"/>
    <x v="0"/>
    <x v="2"/>
    <x v="2"/>
    <x v="10"/>
    <x v="1"/>
    <x v="0"/>
  </r>
  <r>
    <x v="255"/>
    <x v="237"/>
    <x v="209"/>
    <x v="244"/>
    <x v="214"/>
    <x v="251"/>
    <x v="2"/>
    <x v="2"/>
    <x v="2"/>
    <x v="2"/>
    <x v="3"/>
    <x v="3"/>
    <x v="3"/>
    <x v="3"/>
    <x v="3"/>
    <x v="3"/>
    <x v="2"/>
    <x v="2"/>
    <x v="11"/>
    <x v="11"/>
    <x v="255"/>
    <x v="255"/>
    <x v="2"/>
    <x v="2"/>
    <x v="0"/>
    <x v="4"/>
    <x v="255"/>
    <x v="1"/>
    <x v="1"/>
    <x v="255"/>
    <x v="255"/>
    <x v="255"/>
    <x v="254"/>
    <x v="255"/>
    <x v="255"/>
    <x v="0"/>
    <x v="0"/>
    <x v="0"/>
    <x v="0"/>
    <x v="6"/>
    <x v="1"/>
    <x v="0"/>
  </r>
  <r>
    <x v="256"/>
    <x v="238"/>
    <x v="8"/>
    <x v="245"/>
    <x v="199"/>
    <x v="252"/>
    <x v="4"/>
    <x v="4"/>
    <x v="0"/>
    <x v="0"/>
    <x v="1"/>
    <x v="1"/>
    <x v="6"/>
    <x v="6"/>
    <x v="6"/>
    <x v="6"/>
    <x v="1"/>
    <x v="1"/>
    <x v="1"/>
    <x v="1"/>
    <x v="256"/>
    <x v="256"/>
    <x v="2"/>
    <x v="2"/>
    <x v="12"/>
    <x v="6"/>
    <x v="256"/>
    <x v="5"/>
    <x v="5"/>
    <x v="256"/>
    <x v="256"/>
    <x v="256"/>
    <x v="255"/>
    <x v="256"/>
    <x v="256"/>
    <x v="0"/>
    <x v="0"/>
    <x v="0"/>
    <x v="0"/>
    <x v="3"/>
    <x v="0"/>
    <x v="2"/>
  </r>
  <r>
    <x v="257"/>
    <x v="239"/>
    <x v="210"/>
    <x v="246"/>
    <x v="215"/>
    <x v="253"/>
    <x v="13"/>
    <x v="13"/>
    <x v="2"/>
    <x v="2"/>
    <x v="2"/>
    <x v="2"/>
    <x v="11"/>
    <x v="11"/>
    <x v="12"/>
    <x v="12"/>
    <x v="2"/>
    <x v="2"/>
    <x v="5"/>
    <x v="5"/>
    <x v="257"/>
    <x v="257"/>
    <x v="0"/>
    <x v="0"/>
    <x v="4"/>
    <x v="7"/>
    <x v="257"/>
    <x v="1"/>
    <x v="1"/>
    <x v="257"/>
    <x v="257"/>
    <x v="257"/>
    <x v="256"/>
    <x v="257"/>
    <x v="257"/>
    <x v="0"/>
    <x v="0"/>
    <x v="1"/>
    <x v="1"/>
    <x v="1"/>
    <x v="1"/>
    <x v="0"/>
  </r>
  <r>
    <x v="258"/>
    <x v="240"/>
    <x v="211"/>
    <x v="247"/>
    <x v="216"/>
    <x v="254"/>
    <x v="11"/>
    <x v="11"/>
    <x v="2"/>
    <x v="2"/>
    <x v="2"/>
    <x v="2"/>
    <x v="17"/>
    <x v="17"/>
    <x v="18"/>
    <x v="18"/>
    <x v="1"/>
    <x v="1"/>
    <x v="1"/>
    <x v="1"/>
    <x v="258"/>
    <x v="258"/>
    <x v="1"/>
    <x v="1"/>
    <x v="1"/>
    <x v="7"/>
    <x v="258"/>
    <x v="3"/>
    <x v="3"/>
    <x v="258"/>
    <x v="258"/>
    <x v="258"/>
    <x v="257"/>
    <x v="258"/>
    <x v="258"/>
    <x v="0"/>
    <x v="0"/>
    <x v="0"/>
    <x v="0"/>
    <x v="8"/>
    <x v="0"/>
    <x v="0"/>
  </r>
  <r>
    <x v="259"/>
    <x v="241"/>
    <x v="212"/>
    <x v="248"/>
    <x v="97"/>
    <x v="255"/>
    <x v="6"/>
    <x v="6"/>
    <x v="0"/>
    <x v="0"/>
    <x v="2"/>
    <x v="2"/>
    <x v="17"/>
    <x v="17"/>
    <x v="18"/>
    <x v="18"/>
    <x v="2"/>
    <x v="2"/>
    <x v="12"/>
    <x v="12"/>
    <x v="259"/>
    <x v="259"/>
    <x v="3"/>
    <x v="3"/>
    <x v="9"/>
    <x v="0"/>
    <x v="259"/>
    <x v="0"/>
    <x v="0"/>
    <x v="259"/>
    <x v="259"/>
    <x v="259"/>
    <x v="258"/>
    <x v="259"/>
    <x v="259"/>
    <x v="0"/>
    <x v="0"/>
    <x v="0"/>
    <x v="0"/>
    <x v="2"/>
    <x v="0"/>
    <x v="0"/>
  </r>
  <r>
    <x v="260"/>
    <x v="242"/>
    <x v="131"/>
    <x v="249"/>
    <x v="217"/>
    <x v="256"/>
    <x v="7"/>
    <x v="7"/>
    <x v="2"/>
    <x v="2"/>
    <x v="1"/>
    <x v="1"/>
    <x v="6"/>
    <x v="6"/>
    <x v="6"/>
    <x v="6"/>
    <x v="0"/>
    <x v="0"/>
    <x v="9"/>
    <x v="9"/>
    <x v="260"/>
    <x v="260"/>
    <x v="1"/>
    <x v="1"/>
    <x v="5"/>
    <x v="4"/>
    <x v="260"/>
    <x v="3"/>
    <x v="3"/>
    <x v="260"/>
    <x v="260"/>
    <x v="260"/>
    <x v="259"/>
    <x v="260"/>
    <x v="260"/>
    <x v="3"/>
    <x v="3"/>
    <x v="2"/>
    <x v="2"/>
    <x v="7"/>
    <x v="1"/>
    <x v="0"/>
  </r>
  <r>
    <x v="261"/>
    <x v="243"/>
    <x v="213"/>
    <x v="250"/>
    <x v="218"/>
    <x v="257"/>
    <x v="11"/>
    <x v="11"/>
    <x v="2"/>
    <x v="2"/>
    <x v="4"/>
    <x v="0"/>
    <x v="0"/>
    <x v="0"/>
    <x v="0"/>
    <x v="0"/>
    <x v="0"/>
    <x v="0"/>
    <x v="7"/>
    <x v="7"/>
    <x v="261"/>
    <x v="261"/>
    <x v="3"/>
    <x v="3"/>
    <x v="0"/>
    <x v="1"/>
    <x v="261"/>
    <x v="0"/>
    <x v="0"/>
    <x v="261"/>
    <x v="261"/>
    <x v="261"/>
    <x v="260"/>
    <x v="261"/>
    <x v="261"/>
    <x v="3"/>
    <x v="3"/>
    <x v="1"/>
    <x v="1"/>
    <x v="2"/>
    <x v="1"/>
    <x v="0"/>
  </r>
  <r>
    <x v="262"/>
    <x v="244"/>
    <x v="214"/>
    <x v="251"/>
    <x v="219"/>
    <x v="171"/>
    <x v="3"/>
    <x v="3"/>
    <x v="1"/>
    <x v="1"/>
    <x v="4"/>
    <x v="0"/>
    <x v="18"/>
    <x v="18"/>
    <x v="19"/>
    <x v="19"/>
    <x v="2"/>
    <x v="2"/>
    <x v="11"/>
    <x v="11"/>
    <x v="262"/>
    <x v="262"/>
    <x v="1"/>
    <x v="1"/>
    <x v="0"/>
    <x v="2"/>
    <x v="262"/>
    <x v="1"/>
    <x v="1"/>
    <x v="262"/>
    <x v="262"/>
    <x v="262"/>
    <x v="261"/>
    <x v="262"/>
    <x v="262"/>
    <x v="2"/>
    <x v="2"/>
    <x v="2"/>
    <x v="2"/>
    <x v="4"/>
    <x v="1"/>
    <x v="0"/>
  </r>
  <r>
    <x v="263"/>
    <x v="245"/>
    <x v="215"/>
    <x v="167"/>
    <x v="152"/>
    <x v="258"/>
    <x v="12"/>
    <x v="12"/>
    <x v="1"/>
    <x v="1"/>
    <x v="4"/>
    <x v="0"/>
    <x v="18"/>
    <x v="18"/>
    <x v="19"/>
    <x v="19"/>
    <x v="0"/>
    <x v="0"/>
    <x v="9"/>
    <x v="9"/>
    <x v="263"/>
    <x v="263"/>
    <x v="0"/>
    <x v="0"/>
    <x v="5"/>
    <x v="6"/>
    <x v="263"/>
    <x v="8"/>
    <x v="6"/>
    <x v="263"/>
    <x v="263"/>
    <x v="263"/>
    <x v="262"/>
    <x v="263"/>
    <x v="263"/>
    <x v="2"/>
    <x v="2"/>
    <x v="2"/>
    <x v="2"/>
    <x v="1"/>
    <x v="1"/>
    <x v="0"/>
  </r>
  <r>
    <x v="264"/>
    <x v="246"/>
    <x v="174"/>
    <x v="252"/>
    <x v="183"/>
    <x v="259"/>
    <x v="13"/>
    <x v="13"/>
    <x v="1"/>
    <x v="1"/>
    <x v="1"/>
    <x v="1"/>
    <x v="9"/>
    <x v="9"/>
    <x v="10"/>
    <x v="10"/>
    <x v="2"/>
    <x v="2"/>
    <x v="6"/>
    <x v="6"/>
    <x v="264"/>
    <x v="264"/>
    <x v="3"/>
    <x v="3"/>
    <x v="1"/>
    <x v="2"/>
    <x v="264"/>
    <x v="1"/>
    <x v="1"/>
    <x v="264"/>
    <x v="264"/>
    <x v="264"/>
    <x v="263"/>
    <x v="264"/>
    <x v="264"/>
    <x v="0"/>
    <x v="0"/>
    <x v="0"/>
    <x v="0"/>
    <x v="4"/>
    <x v="0"/>
    <x v="0"/>
  </r>
  <r>
    <x v="265"/>
    <x v="247"/>
    <x v="216"/>
    <x v="253"/>
    <x v="220"/>
    <x v="260"/>
    <x v="8"/>
    <x v="8"/>
    <x v="2"/>
    <x v="2"/>
    <x v="1"/>
    <x v="1"/>
    <x v="9"/>
    <x v="9"/>
    <x v="10"/>
    <x v="10"/>
    <x v="1"/>
    <x v="1"/>
    <x v="10"/>
    <x v="10"/>
    <x v="265"/>
    <x v="265"/>
    <x v="1"/>
    <x v="1"/>
    <x v="9"/>
    <x v="5"/>
    <x v="265"/>
    <x v="4"/>
    <x v="4"/>
    <x v="265"/>
    <x v="265"/>
    <x v="265"/>
    <x v="264"/>
    <x v="265"/>
    <x v="265"/>
    <x v="1"/>
    <x v="1"/>
    <x v="5"/>
    <x v="1"/>
    <x v="3"/>
    <x v="0"/>
    <x v="0"/>
  </r>
  <r>
    <x v="266"/>
    <x v="248"/>
    <x v="217"/>
    <x v="254"/>
    <x v="95"/>
    <x v="261"/>
    <x v="6"/>
    <x v="6"/>
    <x v="3"/>
    <x v="3"/>
    <x v="3"/>
    <x v="3"/>
    <x v="3"/>
    <x v="3"/>
    <x v="3"/>
    <x v="3"/>
    <x v="0"/>
    <x v="0"/>
    <x v="8"/>
    <x v="8"/>
    <x v="266"/>
    <x v="266"/>
    <x v="0"/>
    <x v="0"/>
    <x v="2"/>
    <x v="1"/>
    <x v="266"/>
    <x v="1"/>
    <x v="1"/>
    <x v="266"/>
    <x v="266"/>
    <x v="266"/>
    <x v="265"/>
    <x v="266"/>
    <x v="266"/>
    <x v="0"/>
    <x v="0"/>
    <x v="0"/>
    <x v="0"/>
    <x v="4"/>
    <x v="1"/>
    <x v="0"/>
  </r>
  <r>
    <x v="267"/>
    <x v="249"/>
    <x v="218"/>
    <x v="255"/>
    <x v="221"/>
    <x v="262"/>
    <x v="13"/>
    <x v="13"/>
    <x v="2"/>
    <x v="2"/>
    <x v="1"/>
    <x v="1"/>
    <x v="15"/>
    <x v="15"/>
    <x v="16"/>
    <x v="16"/>
    <x v="1"/>
    <x v="1"/>
    <x v="3"/>
    <x v="3"/>
    <x v="267"/>
    <x v="267"/>
    <x v="2"/>
    <x v="2"/>
    <x v="2"/>
    <x v="2"/>
    <x v="267"/>
    <x v="3"/>
    <x v="3"/>
    <x v="267"/>
    <x v="267"/>
    <x v="267"/>
    <x v="266"/>
    <x v="267"/>
    <x v="267"/>
    <x v="0"/>
    <x v="0"/>
    <x v="0"/>
    <x v="0"/>
    <x v="4"/>
    <x v="1"/>
    <x v="0"/>
  </r>
  <r>
    <x v="268"/>
    <x v="250"/>
    <x v="219"/>
    <x v="256"/>
    <x v="222"/>
    <x v="263"/>
    <x v="10"/>
    <x v="10"/>
    <x v="3"/>
    <x v="3"/>
    <x v="4"/>
    <x v="0"/>
    <x v="7"/>
    <x v="7"/>
    <x v="8"/>
    <x v="8"/>
    <x v="2"/>
    <x v="2"/>
    <x v="5"/>
    <x v="5"/>
    <x v="268"/>
    <x v="268"/>
    <x v="2"/>
    <x v="2"/>
    <x v="6"/>
    <x v="4"/>
    <x v="268"/>
    <x v="3"/>
    <x v="3"/>
    <x v="268"/>
    <x v="268"/>
    <x v="268"/>
    <x v="267"/>
    <x v="268"/>
    <x v="268"/>
    <x v="0"/>
    <x v="0"/>
    <x v="0"/>
    <x v="0"/>
    <x v="1"/>
    <x v="1"/>
    <x v="0"/>
  </r>
  <r>
    <x v="269"/>
    <x v="251"/>
    <x v="220"/>
    <x v="257"/>
    <x v="223"/>
    <x v="264"/>
    <x v="9"/>
    <x v="9"/>
    <x v="1"/>
    <x v="1"/>
    <x v="3"/>
    <x v="3"/>
    <x v="0"/>
    <x v="0"/>
    <x v="7"/>
    <x v="7"/>
    <x v="3"/>
    <x v="1"/>
    <x v="1"/>
    <x v="1"/>
    <x v="269"/>
    <x v="269"/>
    <x v="1"/>
    <x v="1"/>
    <x v="7"/>
    <x v="5"/>
    <x v="269"/>
    <x v="1"/>
    <x v="1"/>
    <x v="269"/>
    <x v="269"/>
    <x v="269"/>
    <x v="268"/>
    <x v="269"/>
    <x v="269"/>
    <x v="0"/>
    <x v="0"/>
    <x v="0"/>
    <x v="0"/>
    <x v="6"/>
    <x v="1"/>
    <x v="0"/>
  </r>
  <r>
    <x v="270"/>
    <x v="222"/>
    <x v="195"/>
    <x v="92"/>
    <x v="86"/>
    <x v="265"/>
    <x v="7"/>
    <x v="7"/>
    <x v="2"/>
    <x v="2"/>
    <x v="4"/>
    <x v="0"/>
    <x v="8"/>
    <x v="8"/>
    <x v="9"/>
    <x v="9"/>
    <x v="2"/>
    <x v="2"/>
    <x v="12"/>
    <x v="12"/>
    <x v="270"/>
    <x v="270"/>
    <x v="1"/>
    <x v="1"/>
    <x v="3"/>
    <x v="1"/>
    <x v="270"/>
    <x v="1"/>
    <x v="1"/>
    <x v="270"/>
    <x v="270"/>
    <x v="270"/>
    <x v="269"/>
    <x v="270"/>
    <x v="270"/>
    <x v="0"/>
    <x v="0"/>
    <x v="0"/>
    <x v="0"/>
    <x v="10"/>
    <x v="0"/>
    <x v="0"/>
  </r>
  <r>
    <x v="271"/>
    <x v="252"/>
    <x v="221"/>
    <x v="258"/>
    <x v="224"/>
    <x v="266"/>
    <x v="7"/>
    <x v="7"/>
    <x v="0"/>
    <x v="0"/>
    <x v="2"/>
    <x v="2"/>
    <x v="2"/>
    <x v="2"/>
    <x v="2"/>
    <x v="2"/>
    <x v="0"/>
    <x v="0"/>
    <x v="9"/>
    <x v="9"/>
    <x v="271"/>
    <x v="271"/>
    <x v="3"/>
    <x v="3"/>
    <x v="5"/>
    <x v="4"/>
    <x v="271"/>
    <x v="1"/>
    <x v="1"/>
    <x v="271"/>
    <x v="271"/>
    <x v="271"/>
    <x v="270"/>
    <x v="271"/>
    <x v="271"/>
    <x v="3"/>
    <x v="3"/>
    <x v="1"/>
    <x v="1"/>
    <x v="8"/>
    <x v="0"/>
    <x v="0"/>
  </r>
  <r>
    <x v="272"/>
    <x v="253"/>
    <x v="222"/>
    <x v="259"/>
    <x v="206"/>
    <x v="267"/>
    <x v="3"/>
    <x v="3"/>
    <x v="0"/>
    <x v="0"/>
    <x v="2"/>
    <x v="2"/>
    <x v="5"/>
    <x v="5"/>
    <x v="5"/>
    <x v="5"/>
    <x v="1"/>
    <x v="1"/>
    <x v="4"/>
    <x v="4"/>
    <x v="272"/>
    <x v="272"/>
    <x v="2"/>
    <x v="2"/>
    <x v="0"/>
    <x v="4"/>
    <x v="272"/>
    <x v="8"/>
    <x v="6"/>
    <x v="272"/>
    <x v="272"/>
    <x v="272"/>
    <x v="271"/>
    <x v="272"/>
    <x v="272"/>
    <x v="0"/>
    <x v="0"/>
    <x v="0"/>
    <x v="0"/>
    <x v="1"/>
    <x v="0"/>
    <x v="0"/>
  </r>
  <r>
    <x v="273"/>
    <x v="254"/>
    <x v="223"/>
    <x v="260"/>
    <x v="133"/>
    <x v="268"/>
    <x v="2"/>
    <x v="2"/>
    <x v="0"/>
    <x v="0"/>
    <x v="1"/>
    <x v="1"/>
    <x v="9"/>
    <x v="9"/>
    <x v="10"/>
    <x v="10"/>
    <x v="0"/>
    <x v="0"/>
    <x v="0"/>
    <x v="0"/>
    <x v="273"/>
    <x v="273"/>
    <x v="0"/>
    <x v="0"/>
    <x v="6"/>
    <x v="6"/>
    <x v="273"/>
    <x v="1"/>
    <x v="1"/>
    <x v="273"/>
    <x v="273"/>
    <x v="273"/>
    <x v="272"/>
    <x v="273"/>
    <x v="273"/>
    <x v="0"/>
    <x v="0"/>
    <x v="2"/>
    <x v="2"/>
    <x v="6"/>
    <x v="1"/>
    <x v="0"/>
  </r>
  <r>
    <x v="274"/>
    <x v="255"/>
    <x v="224"/>
    <x v="261"/>
    <x v="64"/>
    <x v="269"/>
    <x v="12"/>
    <x v="12"/>
    <x v="0"/>
    <x v="0"/>
    <x v="2"/>
    <x v="2"/>
    <x v="13"/>
    <x v="13"/>
    <x v="14"/>
    <x v="14"/>
    <x v="2"/>
    <x v="2"/>
    <x v="6"/>
    <x v="6"/>
    <x v="274"/>
    <x v="274"/>
    <x v="3"/>
    <x v="3"/>
    <x v="2"/>
    <x v="3"/>
    <x v="274"/>
    <x v="4"/>
    <x v="4"/>
    <x v="274"/>
    <x v="274"/>
    <x v="274"/>
    <x v="273"/>
    <x v="274"/>
    <x v="274"/>
    <x v="3"/>
    <x v="3"/>
    <x v="2"/>
    <x v="2"/>
    <x v="5"/>
    <x v="0"/>
    <x v="0"/>
  </r>
  <r>
    <x v="275"/>
    <x v="112"/>
    <x v="109"/>
    <x v="262"/>
    <x v="225"/>
    <x v="270"/>
    <x v="8"/>
    <x v="8"/>
    <x v="1"/>
    <x v="1"/>
    <x v="1"/>
    <x v="1"/>
    <x v="6"/>
    <x v="6"/>
    <x v="6"/>
    <x v="6"/>
    <x v="1"/>
    <x v="1"/>
    <x v="3"/>
    <x v="3"/>
    <x v="275"/>
    <x v="275"/>
    <x v="1"/>
    <x v="1"/>
    <x v="2"/>
    <x v="5"/>
    <x v="275"/>
    <x v="1"/>
    <x v="1"/>
    <x v="275"/>
    <x v="275"/>
    <x v="275"/>
    <x v="274"/>
    <x v="275"/>
    <x v="275"/>
    <x v="0"/>
    <x v="0"/>
    <x v="0"/>
    <x v="0"/>
    <x v="6"/>
    <x v="0"/>
    <x v="0"/>
  </r>
  <r>
    <x v="276"/>
    <x v="183"/>
    <x v="165"/>
    <x v="263"/>
    <x v="226"/>
    <x v="271"/>
    <x v="10"/>
    <x v="10"/>
    <x v="1"/>
    <x v="1"/>
    <x v="5"/>
    <x v="4"/>
    <x v="10"/>
    <x v="10"/>
    <x v="11"/>
    <x v="11"/>
    <x v="1"/>
    <x v="1"/>
    <x v="4"/>
    <x v="4"/>
    <x v="276"/>
    <x v="276"/>
    <x v="0"/>
    <x v="0"/>
    <x v="3"/>
    <x v="3"/>
    <x v="276"/>
    <x v="16"/>
    <x v="1"/>
    <x v="276"/>
    <x v="276"/>
    <x v="276"/>
    <x v="275"/>
    <x v="276"/>
    <x v="276"/>
    <x v="0"/>
    <x v="0"/>
    <x v="0"/>
    <x v="0"/>
    <x v="10"/>
    <x v="0"/>
    <x v="1"/>
  </r>
  <r>
    <x v="277"/>
    <x v="256"/>
    <x v="191"/>
    <x v="264"/>
    <x v="221"/>
    <x v="223"/>
    <x v="2"/>
    <x v="2"/>
    <x v="2"/>
    <x v="2"/>
    <x v="4"/>
    <x v="0"/>
    <x v="16"/>
    <x v="16"/>
    <x v="17"/>
    <x v="17"/>
    <x v="2"/>
    <x v="2"/>
    <x v="5"/>
    <x v="5"/>
    <x v="277"/>
    <x v="277"/>
    <x v="0"/>
    <x v="0"/>
    <x v="6"/>
    <x v="5"/>
    <x v="277"/>
    <x v="4"/>
    <x v="4"/>
    <x v="277"/>
    <x v="277"/>
    <x v="277"/>
    <x v="276"/>
    <x v="277"/>
    <x v="277"/>
    <x v="2"/>
    <x v="2"/>
    <x v="1"/>
    <x v="1"/>
    <x v="2"/>
    <x v="1"/>
    <x v="0"/>
  </r>
  <r>
    <x v="278"/>
    <x v="257"/>
    <x v="225"/>
    <x v="265"/>
    <x v="227"/>
    <x v="272"/>
    <x v="17"/>
    <x v="8"/>
    <x v="1"/>
    <x v="1"/>
    <x v="4"/>
    <x v="0"/>
    <x v="18"/>
    <x v="18"/>
    <x v="19"/>
    <x v="19"/>
    <x v="2"/>
    <x v="2"/>
    <x v="5"/>
    <x v="5"/>
    <x v="278"/>
    <x v="278"/>
    <x v="1"/>
    <x v="1"/>
    <x v="2"/>
    <x v="5"/>
    <x v="278"/>
    <x v="5"/>
    <x v="5"/>
    <x v="278"/>
    <x v="278"/>
    <x v="278"/>
    <x v="277"/>
    <x v="278"/>
    <x v="278"/>
    <x v="0"/>
    <x v="0"/>
    <x v="2"/>
    <x v="2"/>
    <x v="11"/>
    <x v="1"/>
    <x v="0"/>
  </r>
  <r>
    <x v="279"/>
    <x v="258"/>
    <x v="66"/>
    <x v="266"/>
    <x v="228"/>
    <x v="273"/>
    <x v="12"/>
    <x v="12"/>
    <x v="1"/>
    <x v="1"/>
    <x v="3"/>
    <x v="3"/>
    <x v="3"/>
    <x v="3"/>
    <x v="3"/>
    <x v="3"/>
    <x v="0"/>
    <x v="0"/>
    <x v="8"/>
    <x v="8"/>
    <x v="279"/>
    <x v="279"/>
    <x v="2"/>
    <x v="2"/>
    <x v="3"/>
    <x v="5"/>
    <x v="279"/>
    <x v="5"/>
    <x v="5"/>
    <x v="279"/>
    <x v="279"/>
    <x v="279"/>
    <x v="278"/>
    <x v="279"/>
    <x v="279"/>
    <x v="0"/>
    <x v="0"/>
    <x v="0"/>
    <x v="0"/>
    <x v="5"/>
    <x v="0"/>
    <x v="0"/>
  </r>
  <r>
    <x v="280"/>
    <x v="259"/>
    <x v="61"/>
    <x v="267"/>
    <x v="229"/>
    <x v="274"/>
    <x v="7"/>
    <x v="7"/>
    <x v="0"/>
    <x v="0"/>
    <x v="2"/>
    <x v="2"/>
    <x v="11"/>
    <x v="11"/>
    <x v="12"/>
    <x v="12"/>
    <x v="2"/>
    <x v="2"/>
    <x v="6"/>
    <x v="6"/>
    <x v="280"/>
    <x v="280"/>
    <x v="3"/>
    <x v="3"/>
    <x v="4"/>
    <x v="6"/>
    <x v="280"/>
    <x v="1"/>
    <x v="1"/>
    <x v="280"/>
    <x v="280"/>
    <x v="280"/>
    <x v="279"/>
    <x v="280"/>
    <x v="280"/>
    <x v="0"/>
    <x v="0"/>
    <x v="0"/>
    <x v="0"/>
    <x v="8"/>
    <x v="0"/>
    <x v="0"/>
  </r>
  <r>
    <x v="281"/>
    <x v="260"/>
    <x v="226"/>
    <x v="268"/>
    <x v="230"/>
    <x v="275"/>
    <x v="15"/>
    <x v="14"/>
    <x v="0"/>
    <x v="0"/>
    <x v="1"/>
    <x v="1"/>
    <x v="15"/>
    <x v="15"/>
    <x v="16"/>
    <x v="16"/>
    <x v="0"/>
    <x v="0"/>
    <x v="9"/>
    <x v="9"/>
    <x v="281"/>
    <x v="281"/>
    <x v="0"/>
    <x v="0"/>
    <x v="7"/>
    <x v="3"/>
    <x v="281"/>
    <x v="0"/>
    <x v="0"/>
    <x v="281"/>
    <x v="281"/>
    <x v="281"/>
    <x v="280"/>
    <x v="281"/>
    <x v="281"/>
    <x v="0"/>
    <x v="0"/>
    <x v="0"/>
    <x v="0"/>
    <x v="0"/>
    <x v="1"/>
    <x v="0"/>
  </r>
  <r>
    <x v="282"/>
    <x v="261"/>
    <x v="79"/>
    <x v="269"/>
    <x v="231"/>
    <x v="276"/>
    <x v="0"/>
    <x v="0"/>
    <x v="3"/>
    <x v="3"/>
    <x v="1"/>
    <x v="1"/>
    <x v="10"/>
    <x v="10"/>
    <x v="11"/>
    <x v="11"/>
    <x v="1"/>
    <x v="1"/>
    <x v="1"/>
    <x v="1"/>
    <x v="282"/>
    <x v="282"/>
    <x v="0"/>
    <x v="0"/>
    <x v="3"/>
    <x v="7"/>
    <x v="282"/>
    <x v="1"/>
    <x v="1"/>
    <x v="282"/>
    <x v="282"/>
    <x v="282"/>
    <x v="281"/>
    <x v="282"/>
    <x v="282"/>
    <x v="0"/>
    <x v="0"/>
    <x v="0"/>
    <x v="0"/>
    <x v="9"/>
    <x v="0"/>
    <x v="0"/>
  </r>
  <r>
    <x v="283"/>
    <x v="262"/>
    <x v="227"/>
    <x v="270"/>
    <x v="232"/>
    <x v="277"/>
    <x v="5"/>
    <x v="5"/>
    <x v="0"/>
    <x v="0"/>
    <x v="3"/>
    <x v="3"/>
    <x v="3"/>
    <x v="3"/>
    <x v="3"/>
    <x v="3"/>
    <x v="1"/>
    <x v="1"/>
    <x v="3"/>
    <x v="3"/>
    <x v="283"/>
    <x v="283"/>
    <x v="2"/>
    <x v="2"/>
    <x v="2"/>
    <x v="5"/>
    <x v="283"/>
    <x v="1"/>
    <x v="1"/>
    <x v="283"/>
    <x v="283"/>
    <x v="283"/>
    <x v="282"/>
    <x v="283"/>
    <x v="283"/>
    <x v="0"/>
    <x v="0"/>
    <x v="0"/>
    <x v="0"/>
    <x v="11"/>
    <x v="1"/>
    <x v="0"/>
  </r>
  <r>
    <x v="284"/>
    <x v="263"/>
    <x v="228"/>
    <x v="271"/>
    <x v="233"/>
    <x v="278"/>
    <x v="0"/>
    <x v="0"/>
    <x v="0"/>
    <x v="0"/>
    <x v="1"/>
    <x v="1"/>
    <x v="1"/>
    <x v="1"/>
    <x v="1"/>
    <x v="1"/>
    <x v="1"/>
    <x v="1"/>
    <x v="1"/>
    <x v="1"/>
    <x v="284"/>
    <x v="284"/>
    <x v="1"/>
    <x v="1"/>
    <x v="0"/>
    <x v="1"/>
    <x v="284"/>
    <x v="1"/>
    <x v="1"/>
    <x v="284"/>
    <x v="284"/>
    <x v="284"/>
    <x v="283"/>
    <x v="284"/>
    <x v="284"/>
    <x v="0"/>
    <x v="0"/>
    <x v="2"/>
    <x v="2"/>
    <x v="8"/>
    <x v="0"/>
    <x v="0"/>
  </r>
  <r>
    <x v="285"/>
    <x v="264"/>
    <x v="229"/>
    <x v="272"/>
    <x v="234"/>
    <x v="279"/>
    <x v="6"/>
    <x v="6"/>
    <x v="3"/>
    <x v="3"/>
    <x v="4"/>
    <x v="0"/>
    <x v="0"/>
    <x v="0"/>
    <x v="0"/>
    <x v="0"/>
    <x v="0"/>
    <x v="0"/>
    <x v="8"/>
    <x v="8"/>
    <x v="285"/>
    <x v="285"/>
    <x v="3"/>
    <x v="3"/>
    <x v="1"/>
    <x v="6"/>
    <x v="285"/>
    <x v="1"/>
    <x v="1"/>
    <x v="285"/>
    <x v="285"/>
    <x v="285"/>
    <x v="284"/>
    <x v="285"/>
    <x v="285"/>
    <x v="0"/>
    <x v="0"/>
    <x v="0"/>
    <x v="0"/>
    <x v="1"/>
    <x v="1"/>
    <x v="0"/>
  </r>
  <r>
    <x v="286"/>
    <x v="265"/>
    <x v="230"/>
    <x v="273"/>
    <x v="235"/>
    <x v="280"/>
    <x v="8"/>
    <x v="8"/>
    <x v="1"/>
    <x v="1"/>
    <x v="4"/>
    <x v="0"/>
    <x v="18"/>
    <x v="18"/>
    <x v="19"/>
    <x v="19"/>
    <x v="1"/>
    <x v="1"/>
    <x v="3"/>
    <x v="3"/>
    <x v="286"/>
    <x v="286"/>
    <x v="2"/>
    <x v="2"/>
    <x v="4"/>
    <x v="4"/>
    <x v="286"/>
    <x v="8"/>
    <x v="6"/>
    <x v="286"/>
    <x v="286"/>
    <x v="286"/>
    <x v="285"/>
    <x v="286"/>
    <x v="286"/>
    <x v="2"/>
    <x v="2"/>
    <x v="2"/>
    <x v="2"/>
    <x v="6"/>
    <x v="0"/>
    <x v="0"/>
  </r>
  <r>
    <x v="287"/>
    <x v="266"/>
    <x v="84"/>
    <x v="274"/>
    <x v="55"/>
    <x v="281"/>
    <x v="6"/>
    <x v="6"/>
    <x v="1"/>
    <x v="1"/>
    <x v="2"/>
    <x v="2"/>
    <x v="17"/>
    <x v="17"/>
    <x v="18"/>
    <x v="18"/>
    <x v="2"/>
    <x v="2"/>
    <x v="6"/>
    <x v="6"/>
    <x v="287"/>
    <x v="287"/>
    <x v="3"/>
    <x v="3"/>
    <x v="7"/>
    <x v="1"/>
    <x v="287"/>
    <x v="4"/>
    <x v="4"/>
    <x v="287"/>
    <x v="287"/>
    <x v="287"/>
    <x v="286"/>
    <x v="287"/>
    <x v="287"/>
    <x v="0"/>
    <x v="0"/>
    <x v="1"/>
    <x v="1"/>
    <x v="7"/>
    <x v="0"/>
    <x v="0"/>
  </r>
  <r>
    <x v="288"/>
    <x v="267"/>
    <x v="98"/>
    <x v="275"/>
    <x v="236"/>
    <x v="282"/>
    <x v="12"/>
    <x v="12"/>
    <x v="1"/>
    <x v="1"/>
    <x v="1"/>
    <x v="1"/>
    <x v="9"/>
    <x v="9"/>
    <x v="10"/>
    <x v="10"/>
    <x v="0"/>
    <x v="0"/>
    <x v="9"/>
    <x v="9"/>
    <x v="288"/>
    <x v="288"/>
    <x v="1"/>
    <x v="1"/>
    <x v="6"/>
    <x v="7"/>
    <x v="288"/>
    <x v="4"/>
    <x v="4"/>
    <x v="288"/>
    <x v="288"/>
    <x v="288"/>
    <x v="287"/>
    <x v="288"/>
    <x v="288"/>
    <x v="0"/>
    <x v="0"/>
    <x v="0"/>
    <x v="0"/>
    <x v="2"/>
    <x v="0"/>
    <x v="0"/>
  </r>
  <r>
    <x v="289"/>
    <x v="268"/>
    <x v="231"/>
    <x v="276"/>
    <x v="159"/>
    <x v="283"/>
    <x v="0"/>
    <x v="0"/>
    <x v="3"/>
    <x v="3"/>
    <x v="2"/>
    <x v="2"/>
    <x v="17"/>
    <x v="17"/>
    <x v="18"/>
    <x v="18"/>
    <x v="1"/>
    <x v="1"/>
    <x v="10"/>
    <x v="10"/>
    <x v="289"/>
    <x v="289"/>
    <x v="2"/>
    <x v="2"/>
    <x v="9"/>
    <x v="7"/>
    <x v="289"/>
    <x v="5"/>
    <x v="5"/>
    <x v="289"/>
    <x v="289"/>
    <x v="289"/>
    <x v="288"/>
    <x v="289"/>
    <x v="289"/>
    <x v="0"/>
    <x v="0"/>
    <x v="0"/>
    <x v="0"/>
    <x v="2"/>
    <x v="1"/>
    <x v="0"/>
  </r>
  <r>
    <x v="290"/>
    <x v="269"/>
    <x v="67"/>
    <x v="277"/>
    <x v="111"/>
    <x v="284"/>
    <x v="13"/>
    <x v="13"/>
    <x v="3"/>
    <x v="3"/>
    <x v="1"/>
    <x v="1"/>
    <x v="15"/>
    <x v="15"/>
    <x v="16"/>
    <x v="16"/>
    <x v="1"/>
    <x v="1"/>
    <x v="1"/>
    <x v="1"/>
    <x v="290"/>
    <x v="290"/>
    <x v="3"/>
    <x v="3"/>
    <x v="5"/>
    <x v="5"/>
    <x v="290"/>
    <x v="8"/>
    <x v="6"/>
    <x v="290"/>
    <x v="290"/>
    <x v="290"/>
    <x v="289"/>
    <x v="290"/>
    <x v="290"/>
    <x v="0"/>
    <x v="0"/>
    <x v="0"/>
    <x v="0"/>
    <x v="1"/>
    <x v="1"/>
    <x v="0"/>
  </r>
  <r>
    <x v="291"/>
    <x v="270"/>
    <x v="232"/>
    <x v="278"/>
    <x v="228"/>
    <x v="285"/>
    <x v="8"/>
    <x v="8"/>
    <x v="3"/>
    <x v="3"/>
    <x v="4"/>
    <x v="0"/>
    <x v="0"/>
    <x v="0"/>
    <x v="0"/>
    <x v="0"/>
    <x v="0"/>
    <x v="0"/>
    <x v="9"/>
    <x v="9"/>
    <x v="291"/>
    <x v="291"/>
    <x v="3"/>
    <x v="3"/>
    <x v="1"/>
    <x v="2"/>
    <x v="291"/>
    <x v="3"/>
    <x v="3"/>
    <x v="291"/>
    <x v="291"/>
    <x v="291"/>
    <x v="290"/>
    <x v="291"/>
    <x v="291"/>
    <x v="0"/>
    <x v="0"/>
    <x v="0"/>
    <x v="0"/>
    <x v="5"/>
    <x v="0"/>
    <x v="0"/>
  </r>
  <r>
    <x v="292"/>
    <x v="271"/>
    <x v="233"/>
    <x v="279"/>
    <x v="237"/>
    <x v="286"/>
    <x v="15"/>
    <x v="14"/>
    <x v="3"/>
    <x v="3"/>
    <x v="4"/>
    <x v="0"/>
    <x v="16"/>
    <x v="16"/>
    <x v="17"/>
    <x v="17"/>
    <x v="0"/>
    <x v="0"/>
    <x v="2"/>
    <x v="2"/>
    <x v="292"/>
    <x v="292"/>
    <x v="1"/>
    <x v="1"/>
    <x v="4"/>
    <x v="6"/>
    <x v="292"/>
    <x v="1"/>
    <x v="1"/>
    <x v="292"/>
    <x v="292"/>
    <x v="292"/>
    <x v="291"/>
    <x v="292"/>
    <x v="292"/>
    <x v="2"/>
    <x v="2"/>
    <x v="1"/>
    <x v="1"/>
    <x v="6"/>
    <x v="1"/>
    <x v="0"/>
  </r>
  <r>
    <x v="293"/>
    <x v="272"/>
    <x v="234"/>
    <x v="280"/>
    <x v="238"/>
    <x v="287"/>
    <x v="3"/>
    <x v="3"/>
    <x v="3"/>
    <x v="3"/>
    <x v="2"/>
    <x v="2"/>
    <x v="2"/>
    <x v="2"/>
    <x v="2"/>
    <x v="2"/>
    <x v="2"/>
    <x v="2"/>
    <x v="11"/>
    <x v="11"/>
    <x v="293"/>
    <x v="293"/>
    <x v="2"/>
    <x v="2"/>
    <x v="5"/>
    <x v="7"/>
    <x v="293"/>
    <x v="13"/>
    <x v="8"/>
    <x v="293"/>
    <x v="293"/>
    <x v="293"/>
    <x v="292"/>
    <x v="293"/>
    <x v="293"/>
    <x v="0"/>
    <x v="0"/>
    <x v="0"/>
    <x v="0"/>
    <x v="11"/>
    <x v="0"/>
    <x v="0"/>
  </r>
  <r>
    <x v="294"/>
    <x v="273"/>
    <x v="74"/>
    <x v="281"/>
    <x v="239"/>
    <x v="288"/>
    <x v="8"/>
    <x v="8"/>
    <x v="0"/>
    <x v="0"/>
    <x v="1"/>
    <x v="1"/>
    <x v="1"/>
    <x v="1"/>
    <x v="1"/>
    <x v="1"/>
    <x v="2"/>
    <x v="2"/>
    <x v="11"/>
    <x v="11"/>
    <x v="294"/>
    <x v="294"/>
    <x v="0"/>
    <x v="0"/>
    <x v="0"/>
    <x v="3"/>
    <x v="294"/>
    <x v="3"/>
    <x v="3"/>
    <x v="294"/>
    <x v="294"/>
    <x v="294"/>
    <x v="293"/>
    <x v="294"/>
    <x v="294"/>
    <x v="0"/>
    <x v="0"/>
    <x v="2"/>
    <x v="2"/>
    <x v="0"/>
    <x v="1"/>
    <x v="0"/>
  </r>
  <r>
    <x v="295"/>
    <x v="274"/>
    <x v="206"/>
    <x v="282"/>
    <x v="211"/>
    <x v="289"/>
    <x v="7"/>
    <x v="7"/>
    <x v="1"/>
    <x v="1"/>
    <x v="1"/>
    <x v="1"/>
    <x v="10"/>
    <x v="10"/>
    <x v="11"/>
    <x v="11"/>
    <x v="0"/>
    <x v="0"/>
    <x v="9"/>
    <x v="9"/>
    <x v="295"/>
    <x v="295"/>
    <x v="3"/>
    <x v="3"/>
    <x v="4"/>
    <x v="1"/>
    <x v="295"/>
    <x v="8"/>
    <x v="6"/>
    <x v="295"/>
    <x v="295"/>
    <x v="295"/>
    <x v="294"/>
    <x v="295"/>
    <x v="295"/>
    <x v="0"/>
    <x v="0"/>
    <x v="0"/>
    <x v="0"/>
    <x v="2"/>
    <x v="1"/>
    <x v="0"/>
  </r>
  <r>
    <x v="296"/>
    <x v="275"/>
    <x v="235"/>
    <x v="283"/>
    <x v="240"/>
    <x v="290"/>
    <x v="7"/>
    <x v="7"/>
    <x v="3"/>
    <x v="3"/>
    <x v="4"/>
    <x v="0"/>
    <x v="16"/>
    <x v="16"/>
    <x v="17"/>
    <x v="17"/>
    <x v="1"/>
    <x v="1"/>
    <x v="3"/>
    <x v="3"/>
    <x v="296"/>
    <x v="296"/>
    <x v="1"/>
    <x v="1"/>
    <x v="7"/>
    <x v="3"/>
    <x v="296"/>
    <x v="4"/>
    <x v="4"/>
    <x v="296"/>
    <x v="296"/>
    <x v="296"/>
    <x v="295"/>
    <x v="296"/>
    <x v="296"/>
    <x v="0"/>
    <x v="0"/>
    <x v="0"/>
    <x v="0"/>
    <x v="4"/>
    <x v="1"/>
    <x v="0"/>
  </r>
  <r>
    <x v="297"/>
    <x v="276"/>
    <x v="100"/>
    <x v="284"/>
    <x v="241"/>
    <x v="291"/>
    <x v="11"/>
    <x v="11"/>
    <x v="2"/>
    <x v="2"/>
    <x v="2"/>
    <x v="2"/>
    <x v="17"/>
    <x v="17"/>
    <x v="18"/>
    <x v="18"/>
    <x v="2"/>
    <x v="2"/>
    <x v="6"/>
    <x v="6"/>
    <x v="297"/>
    <x v="297"/>
    <x v="1"/>
    <x v="1"/>
    <x v="9"/>
    <x v="3"/>
    <x v="297"/>
    <x v="4"/>
    <x v="4"/>
    <x v="297"/>
    <x v="297"/>
    <x v="297"/>
    <x v="296"/>
    <x v="297"/>
    <x v="297"/>
    <x v="0"/>
    <x v="0"/>
    <x v="0"/>
    <x v="0"/>
    <x v="9"/>
    <x v="0"/>
    <x v="0"/>
  </r>
  <r>
    <x v="298"/>
    <x v="277"/>
    <x v="87"/>
    <x v="285"/>
    <x v="85"/>
    <x v="292"/>
    <x v="2"/>
    <x v="2"/>
    <x v="0"/>
    <x v="0"/>
    <x v="2"/>
    <x v="2"/>
    <x v="13"/>
    <x v="13"/>
    <x v="14"/>
    <x v="14"/>
    <x v="2"/>
    <x v="2"/>
    <x v="6"/>
    <x v="6"/>
    <x v="298"/>
    <x v="298"/>
    <x v="2"/>
    <x v="2"/>
    <x v="4"/>
    <x v="4"/>
    <x v="298"/>
    <x v="0"/>
    <x v="0"/>
    <x v="298"/>
    <x v="298"/>
    <x v="298"/>
    <x v="297"/>
    <x v="298"/>
    <x v="298"/>
    <x v="3"/>
    <x v="3"/>
    <x v="2"/>
    <x v="2"/>
    <x v="10"/>
    <x v="1"/>
    <x v="0"/>
  </r>
  <r>
    <x v="299"/>
    <x v="278"/>
    <x v="236"/>
    <x v="286"/>
    <x v="242"/>
    <x v="293"/>
    <x v="9"/>
    <x v="9"/>
    <x v="1"/>
    <x v="1"/>
    <x v="3"/>
    <x v="3"/>
    <x v="12"/>
    <x v="12"/>
    <x v="13"/>
    <x v="13"/>
    <x v="2"/>
    <x v="2"/>
    <x v="5"/>
    <x v="5"/>
    <x v="299"/>
    <x v="299"/>
    <x v="3"/>
    <x v="3"/>
    <x v="0"/>
    <x v="4"/>
    <x v="299"/>
    <x v="8"/>
    <x v="6"/>
    <x v="299"/>
    <x v="299"/>
    <x v="299"/>
    <x v="298"/>
    <x v="299"/>
    <x v="299"/>
    <x v="0"/>
    <x v="0"/>
    <x v="0"/>
    <x v="0"/>
    <x v="3"/>
    <x v="0"/>
    <x v="0"/>
  </r>
  <r>
    <x v="300"/>
    <x v="279"/>
    <x v="237"/>
    <x v="287"/>
    <x v="243"/>
    <x v="294"/>
    <x v="13"/>
    <x v="13"/>
    <x v="1"/>
    <x v="1"/>
    <x v="4"/>
    <x v="0"/>
    <x v="7"/>
    <x v="7"/>
    <x v="8"/>
    <x v="8"/>
    <x v="2"/>
    <x v="2"/>
    <x v="5"/>
    <x v="5"/>
    <x v="300"/>
    <x v="300"/>
    <x v="5"/>
    <x v="0"/>
    <x v="9"/>
    <x v="6"/>
    <x v="300"/>
    <x v="8"/>
    <x v="6"/>
    <x v="300"/>
    <x v="300"/>
    <x v="300"/>
    <x v="299"/>
    <x v="300"/>
    <x v="300"/>
    <x v="0"/>
    <x v="0"/>
    <x v="0"/>
    <x v="0"/>
    <x v="5"/>
    <x v="0"/>
    <x v="0"/>
  </r>
  <r>
    <x v="301"/>
    <x v="249"/>
    <x v="218"/>
    <x v="288"/>
    <x v="219"/>
    <x v="295"/>
    <x v="2"/>
    <x v="2"/>
    <x v="3"/>
    <x v="3"/>
    <x v="1"/>
    <x v="1"/>
    <x v="9"/>
    <x v="9"/>
    <x v="10"/>
    <x v="10"/>
    <x v="2"/>
    <x v="2"/>
    <x v="11"/>
    <x v="11"/>
    <x v="301"/>
    <x v="301"/>
    <x v="1"/>
    <x v="1"/>
    <x v="5"/>
    <x v="2"/>
    <x v="301"/>
    <x v="5"/>
    <x v="5"/>
    <x v="301"/>
    <x v="301"/>
    <x v="301"/>
    <x v="300"/>
    <x v="301"/>
    <x v="301"/>
    <x v="0"/>
    <x v="0"/>
    <x v="0"/>
    <x v="0"/>
    <x v="4"/>
    <x v="1"/>
    <x v="0"/>
  </r>
  <r>
    <x v="302"/>
    <x v="280"/>
    <x v="191"/>
    <x v="289"/>
    <x v="244"/>
    <x v="296"/>
    <x v="6"/>
    <x v="6"/>
    <x v="0"/>
    <x v="0"/>
    <x v="3"/>
    <x v="3"/>
    <x v="14"/>
    <x v="14"/>
    <x v="15"/>
    <x v="15"/>
    <x v="0"/>
    <x v="0"/>
    <x v="8"/>
    <x v="8"/>
    <x v="302"/>
    <x v="302"/>
    <x v="1"/>
    <x v="1"/>
    <x v="9"/>
    <x v="7"/>
    <x v="302"/>
    <x v="3"/>
    <x v="3"/>
    <x v="302"/>
    <x v="302"/>
    <x v="302"/>
    <x v="301"/>
    <x v="302"/>
    <x v="302"/>
    <x v="0"/>
    <x v="0"/>
    <x v="0"/>
    <x v="0"/>
    <x v="2"/>
    <x v="1"/>
    <x v="0"/>
  </r>
  <r>
    <x v="303"/>
    <x v="281"/>
    <x v="162"/>
    <x v="186"/>
    <x v="166"/>
    <x v="297"/>
    <x v="13"/>
    <x v="13"/>
    <x v="3"/>
    <x v="3"/>
    <x v="3"/>
    <x v="3"/>
    <x v="12"/>
    <x v="12"/>
    <x v="13"/>
    <x v="13"/>
    <x v="1"/>
    <x v="1"/>
    <x v="4"/>
    <x v="4"/>
    <x v="303"/>
    <x v="303"/>
    <x v="3"/>
    <x v="3"/>
    <x v="1"/>
    <x v="7"/>
    <x v="303"/>
    <x v="8"/>
    <x v="6"/>
    <x v="303"/>
    <x v="303"/>
    <x v="303"/>
    <x v="302"/>
    <x v="303"/>
    <x v="303"/>
    <x v="2"/>
    <x v="2"/>
    <x v="2"/>
    <x v="2"/>
    <x v="2"/>
    <x v="0"/>
    <x v="0"/>
  </r>
  <r>
    <x v="304"/>
    <x v="282"/>
    <x v="238"/>
    <x v="290"/>
    <x v="245"/>
    <x v="298"/>
    <x v="0"/>
    <x v="0"/>
    <x v="0"/>
    <x v="0"/>
    <x v="4"/>
    <x v="0"/>
    <x v="7"/>
    <x v="7"/>
    <x v="8"/>
    <x v="8"/>
    <x v="1"/>
    <x v="1"/>
    <x v="3"/>
    <x v="3"/>
    <x v="304"/>
    <x v="304"/>
    <x v="3"/>
    <x v="3"/>
    <x v="2"/>
    <x v="3"/>
    <x v="304"/>
    <x v="8"/>
    <x v="6"/>
    <x v="304"/>
    <x v="304"/>
    <x v="304"/>
    <x v="303"/>
    <x v="304"/>
    <x v="304"/>
    <x v="0"/>
    <x v="0"/>
    <x v="0"/>
    <x v="0"/>
    <x v="11"/>
    <x v="0"/>
    <x v="0"/>
  </r>
  <r>
    <x v="305"/>
    <x v="283"/>
    <x v="239"/>
    <x v="222"/>
    <x v="196"/>
    <x v="299"/>
    <x v="4"/>
    <x v="4"/>
    <x v="0"/>
    <x v="0"/>
    <x v="1"/>
    <x v="1"/>
    <x v="10"/>
    <x v="10"/>
    <x v="11"/>
    <x v="11"/>
    <x v="1"/>
    <x v="1"/>
    <x v="4"/>
    <x v="4"/>
    <x v="305"/>
    <x v="305"/>
    <x v="2"/>
    <x v="2"/>
    <x v="3"/>
    <x v="2"/>
    <x v="305"/>
    <x v="2"/>
    <x v="2"/>
    <x v="305"/>
    <x v="305"/>
    <x v="305"/>
    <x v="304"/>
    <x v="305"/>
    <x v="305"/>
    <x v="0"/>
    <x v="0"/>
    <x v="1"/>
    <x v="1"/>
    <x v="4"/>
    <x v="0"/>
    <x v="0"/>
  </r>
  <r>
    <x v="306"/>
    <x v="284"/>
    <x v="141"/>
    <x v="291"/>
    <x v="246"/>
    <x v="300"/>
    <x v="10"/>
    <x v="10"/>
    <x v="0"/>
    <x v="0"/>
    <x v="4"/>
    <x v="0"/>
    <x v="0"/>
    <x v="0"/>
    <x v="0"/>
    <x v="0"/>
    <x v="2"/>
    <x v="2"/>
    <x v="11"/>
    <x v="11"/>
    <x v="306"/>
    <x v="306"/>
    <x v="0"/>
    <x v="0"/>
    <x v="4"/>
    <x v="2"/>
    <x v="306"/>
    <x v="1"/>
    <x v="1"/>
    <x v="306"/>
    <x v="306"/>
    <x v="306"/>
    <x v="305"/>
    <x v="306"/>
    <x v="306"/>
    <x v="0"/>
    <x v="0"/>
    <x v="0"/>
    <x v="0"/>
    <x v="6"/>
    <x v="1"/>
    <x v="0"/>
  </r>
  <r>
    <x v="307"/>
    <x v="285"/>
    <x v="95"/>
    <x v="292"/>
    <x v="247"/>
    <x v="301"/>
    <x v="4"/>
    <x v="4"/>
    <x v="2"/>
    <x v="2"/>
    <x v="4"/>
    <x v="0"/>
    <x v="8"/>
    <x v="8"/>
    <x v="9"/>
    <x v="9"/>
    <x v="1"/>
    <x v="1"/>
    <x v="1"/>
    <x v="1"/>
    <x v="307"/>
    <x v="307"/>
    <x v="2"/>
    <x v="2"/>
    <x v="2"/>
    <x v="6"/>
    <x v="307"/>
    <x v="0"/>
    <x v="0"/>
    <x v="307"/>
    <x v="307"/>
    <x v="307"/>
    <x v="306"/>
    <x v="307"/>
    <x v="307"/>
    <x v="2"/>
    <x v="2"/>
    <x v="1"/>
    <x v="1"/>
    <x v="0"/>
    <x v="1"/>
    <x v="0"/>
  </r>
  <r>
    <x v="308"/>
    <x v="286"/>
    <x v="240"/>
    <x v="293"/>
    <x v="31"/>
    <x v="302"/>
    <x v="12"/>
    <x v="12"/>
    <x v="0"/>
    <x v="0"/>
    <x v="4"/>
    <x v="0"/>
    <x v="0"/>
    <x v="0"/>
    <x v="0"/>
    <x v="0"/>
    <x v="1"/>
    <x v="1"/>
    <x v="1"/>
    <x v="1"/>
    <x v="308"/>
    <x v="308"/>
    <x v="2"/>
    <x v="2"/>
    <x v="0"/>
    <x v="2"/>
    <x v="308"/>
    <x v="0"/>
    <x v="0"/>
    <x v="308"/>
    <x v="308"/>
    <x v="308"/>
    <x v="307"/>
    <x v="308"/>
    <x v="308"/>
    <x v="0"/>
    <x v="0"/>
    <x v="0"/>
    <x v="0"/>
    <x v="2"/>
    <x v="1"/>
    <x v="0"/>
  </r>
  <r>
    <x v="309"/>
    <x v="287"/>
    <x v="56"/>
    <x v="294"/>
    <x v="248"/>
    <x v="303"/>
    <x v="4"/>
    <x v="4"/>
    <x v="0"/>
    <x v="0"/>
    <x v="2"/>
    <x v="2"/>
    <x v="17"/>
    <x v="17"/>
    <x v="18"/>
    <x v="18"/>
    <x v="1"/>
    <x v="1"/>
    <x v="1"/>
    <x v="1"/>
    <x v="309"/>
    <x v="309"/>
    <x v="2"/>
    <x v="2"/>
    <x v="7"/>
    <x v="4"/>
    <x v="309"/>
    <x v="8"/>
    <x v="6"/>
    <x v="309"/>
    <x v="309"/>
    <x v="309"/>
    <x v="308"/>
    <x v="309"/>
    <x v="309"/>
    <x v="0"/>
    <x v="0"/>
    <x v="1"/>
    <x v="1"/>
    <x v="0"/>
    <x v="0"/>
    <x v="0"/>
  </r>
  <r>
    <x v="310"/>
    <x v="288"/>
    <x v="241"/>
    <x v="295"/>
    <x v="249"/>
    <x v="304"/>
    <x v="12"/>
    <x v="12"/>
    <x v="1"/>
    <x v="1"/>
    <x v="2"/>
    <x v="2"/>
    <x v="17"/>
    <x v="17"/>
    <x v="18"/>
    <x v="18"/>
    <x v="2"/>
    <x v="2"/>
    <x v="12"/>
    <x v="12"/>
    <x v="310"/>
    <x v="310"/>
    <x v="2"/>
    <x v="2"/>
    <x v="5"/>
    <x v="0"/>
    <x v="310"/>
    <x v="1"/>
    <x v="1"/>
    <x v="310"/>
    <x v="310"/>
    <x v="310"/>
    <x v="309"/>
    <x v="310"/>
    <x v="310"/>
    <x v="0"/>
    <x v="0"/>
    <x v="0"/>
    <x v="0"/>
    <x v="0"/>
    <x v="0"/>
    <x v="0"/>
  </r>
  <r>
    <x v="311"/>
    <x v="289"/>
    <x v="242"/>
    <x v="296"/>
    <x v="196"/>
    <x v="305"/>
    <x v="1"/>
    <x v="1"/>
    <x v="2"/>
    <x v="2"/>
    <x v="2"/>
    <x v="2"/>
    <x v="11"/>
    <x v="11"/>
    <x v="12"/>
    <x v="12"/>
    <x v="0"/>
    <x v="0"/>
    <x v="9"/>
    <x v="9"/>
    <x v="311"/>
    <x v="311"/>
    <x v="0"/>
    <x v="0"/>
    <x v="1"/>
    <x v="8"/>
    <x v="311"/>
    <x v="8"/>
    <x v="6"/>
    <x v="311"/>
    <x v="311"/>
    <x v="311"/>
    <x v="310"/>
    <x v="311"/>
    <x v="311"/>
    <x v="0"/>
    <x v="0"/>
    <x v="0"/>
    <x v="0"/>
    <x v="5"/>
    <x v="0"/>
    <x v="0"/>
  </r>
  <r>
    <x v="312"/>
    <x v="290"/>
    <x v="243"/>
    <x v="82"/>
    <x v="76"/>
    <x v="306"/>
    <x v="0"/>
    <x v="0"/>
    <x v="1"/>
    <x v="1"/>
    <x v="1"/>
    <x v="1"/>
    <x v="10"/>
    <x v="10"/>
    <x v="11"/>
    <x v="11"/>
    <x v="2"/>
    <x v="2"/>
    <x v="11"/>
    <x v="11"/>
    <x v="312"/>
    <x v="312"/>
    <x v="3"/>
    <x v="3"/>
    <x v="5"/>
    <x v="0"/>
    <x v="312"/>
    <x v="9"/>
    <x v="1"/>
    <x v="312"/>
    <x v="312"/>
    <x v="312"/>
    <x v="311"/>
    <x v="312"/>
    <x v="312"/>
    <x v="0"/>
    <x v="0"/>
    <x v="1"/>
    <x v="1"/>
    <x v="0"/>
    <x v="0"/>
    <x v="1"/>
  </r>
  <r>
    <x v="313"/>
    <x v="291"/>
    <x v="51"/>
    <x v="297"/>
    <x v="250"/>
    <x v="307"/>
    <x v="9"/>
    <x v="9"/>
    <x v="2"/>
    <x v="2"/>
    <x v="4"/>
    <x v="0"/>
    <x v="8"/>
    <x v="8"/>
    <x v="9"/>
    <x v="9"/>
    <x v="2"/>
    <x v="2"/>
    <x v="11"/>
    <x v="11"/>
    <x v="313"/>
    <x v="313"/>
    <x v="2"/>
    <x v="2"/>
    <x v="3"/>
    <x v="0"/>
    <x v="313"/>
    <x v="3"/>
    <x v="3"/>
    <x v="313"/>
    <x v="313"/>
    <x v="313"/>
    <x v="312"/>
    <x v="313"/>
    <x v="313"/>
    <x v="1"/>
    <x v="1"/>
    <x v="1"/>
    <x v="1"/>
    <x v="4"/>
    <x v="1"/>
    <x v="0"/>
  </r>
  <r>
    <x v="314"/>
    <x v="191"/>
    <x v="171"/>
    <x v="199"/>
    <x v="10"/>
    <x v="308"/>
    <x v="2"/>
    <x v="2"/>
    <x v="2"/>
    <x v="2"/>
    <x v="3"/>
    <x v="3"/>
    <x v="4"/>
    <x v="4"/>
    <x v="4"/>
    <x v="4"/>
    <x v="0"/>
    <x v="0"/>
    <x v="7"/>
    <x v="7"/>
    <x v="314"/>
    <x v="314"/>
    <x v="3"/>
    <x v="3"/>
    <x v="7"/>
    <x v="6"/>
    <x v="314"/>
    <x v="4"/>
    <x v="4"/>
    <x v="314"/>
    <x v="314"/>
    <x v="314"/>
    <x v="313"/>
    <x v="314"/>
    <x v="314"/>
    <x v="3"/>
    <x v="3"/>
    <x v="2"/>
    <x v="2"/>
    <x v="4"/>
    <x v="1"/>
    <x v="0"/>
  </r>
  <r>
    <x v="315"/>
    <x v="292"/>
    <x v="244"/>
    <x v="298"/>
    <x v="249"/>
    <x v="309"/>
    <x v="12"/>
    <x v="12"/>
    <x v="0"/>
    <x v="0"/>
    <x v="4"/>
    <x v="0"/>
    <x v="18"/>
    <x v="18"/>
    <x v="19"/>
    <x v="19"/>
    <x v="0"/>
    <x v="0"/>
    <x v="0"/>
    <x v="0"/>
    <x v="315"/>
    <x v="315"/>
    <x v="3"/>
    <x v="3"/>
    <x v="0"/>
    <x v="6"/>
    <x v="315"/>
    <x v="5"/>
    <x v="5"/>
    <x v="315"/>
    <x v="315"/>
    <x v="315"/>
    <x v="314"/>
    <x v="315"/>
    <x v="315"/>
    <x v="2"/>
    <x v="2"/>
    <x v="2"/>
    <x v="2"/>
    <x v="0"/>
    <x v="0"/>
    <x v="0"/>
  </r>
  <r>
    <x v="316"/>
    <x v="293"/>
    <x v="245"/>
    <x v="299"/>
    <x v="251"/>
    <x v="310"/>
    <x v="0"/>
    <x v="0"/>
    <x v="2"/>
    <x v="2"/>
    <x v="4"/>
    <x v="0"/>
    <x v="7"/>
    <x v="7"/>
    <x v="8"/>
    <x v="8"/>
    <x v="0"/>
    <x v="0"/>
    <x v="7"/>
    <x v="7"/>
    <x v="316"/>
    <x v="316"/>
    <x v="3"/>
    <x v="3"/>
    <x v="7"/>
    <x v="7"/>
    <x v="316"/>
    <x v="0"/>
    <x v="0"/>
    <x v="316"/>
    <x v="316"/>
    <x v="316"/>
    <x v="315"/>
    <x v="316"/>
    <x v="316"/>
    <x v="0"/>
    <x v="0"/>
    <x v="1"/>
    <x v="1"/>
    <x v="6"/>
    <x v="0"/>
    <x v="0"/>
  </r>
  <r>
    <x v="317"/>
    <x v="294"/>
    <x v="4"/>
    <x v="300"/>
    <x v="252"/>
    <x v="311"/>
    <x v="6"/>
    <x v="6"/>
    <x v="2"/>
    <x v="2"/>
    <x v="2"/>
    <x v="2"/>
    <x v="13"/>
    <x v="13"/>
    <x v="14"/>
    <x v="14"/>
    <x v="1"/>
    <x v="1"/>
    <x v="1"/>
    <x v="1"/>
    <x v="317"/>
    <x v="317"/>
    <x v="2"/>
    <x v="2"/>
    <x v="0"/>
    <x v="6"/>
    <x v="317"/>
    <x v="4"/>
    <x v="4"/>
    <x v="317"/>
    <x v="317"/>
    <x v="317"/>
    <x v="316"/>
    <x v="317"/>
    <x v="317"/>
    <x v="0"/>
    <x v="0"/>
    <x v="0"/>
    <x v="0"/>
    <x v="1"/>
    <x v="1"/>
    <x v="0"/>
  </r>
  <r>
    <x v="318"/>
    <x v="295"/>
    <x v="246"/>
    <x v="301"/>
    <x v="253"/>
    <x v="312"/>
    <x v="1"/>
    <x v="1"/>
    <x v="1"/>
    <x v="1"/>
    <x v="2"/>
    <x v="2"/>
    <x v="11"/>
    <x v="11"/>
    <x v="12"/>
    <x v="12"/>
    <x v="2"/>
    <x v="2"/>
    <x v="11"/>
    <x v="11"/>
    <x v="318"/>
    <x v="318"/>
    <x v="3"/>
    <x v="3"/>
    <x v="1"/>
    <x v="1"/>
    <x v="318"/>
    <x v="8"/>
    <x v="6"/>
    <x v="318"/>
    <x v="318"/>
    <x v="318"/>
    <x v="317"/>
    <x v="318"/>
    <x v="318"/>
    <x v="0"/>
    <x v="0"/>
    <x v="0"/>
    <x v="0"/>
    <x v="5"/>
    <x v="0"/>
    <x v="0"/>
  </r>
  <r>
    <x v="319"/>
    <x v="296"/>
    <x v="247"/>
    <x v="302"/>
    <x v="254"/>
    <x v="313"/>
    <x v="13"/>
    <x v="13"/>
    <x v="0"/>
    <x v="0"/>
    <x v="3"/>
    <x v="3"/>
    <x v="12"/>
    <x v="12"/>
    <x v="13"/>
    <x v="13"/>
    <x v="0"/>
    <x v="0"/>
    <x v="9"/>
    <x v="9"/>
    <x v="319"/>
    <x v="319"/>
    <x v="2"/>
    <x v="2"/>
    <x v="5"/>
    <x v="5"/>
    <x v="319"/>
    <x v="1"/>
    <x v="1"/>
    <x v="319"/>
    <x v="319"/>
    <x v="319"/>
    <x v="318"/>
    <x v="319"/>
    <x v="319"/>
    <x v="0"/>
    <x v="0"/>
    <x v="0"/>
    <x v="0"/>
    <x v="1"/>
    <x v="0"/>
    <x v="0"/>
  </r>
  <r>
    <x v="320"/>
    <x v="297"/>
    <x v="248"/>
    <x v="303"/>
    <x v="255"/>
    <x v="314"/>
    <x v="10"/>
    <x v="10"/>
    <x v="3"/>
    <x v="3"/>
    <x v="1"/>
    <x v="1"/>
    <x v="6"/>
    <x v="6"/>
    <x v="6"/>
    <x v="6"/>
    <x v="0"/>
    <x v="0"/>
    <x v="2"/>
    <x v="2"/>
    <x v="320"/>
    <x v="320"/>
    <x v="0"/>
    <x v="0"/>
    <x v="7"/>
    <x v="1"/>
    <x v="320"/>
    <x v="11"/>
    <x v="7"/>
    <x v="320"/>
    <x v="320"/>
    <x v="320"/>
    <x v="319"/>
    <x v="320"/>
    <x v="320"/>
    <x v="2"/>
    <x v="2"/>
    <x v="2"/>
    <x v="2"/>
    <x v="8"/>
    <x v="0"/>
    <x v="0"/>
  </r>
  <r>
    <x v="321"/>
    <x v="298"/>
    <x v="162"/>
    <x v="304"/>
    <x v="256"/>
    <x v="315"/>
    <x v="6"/>
    <x v="6"/>
    <x v="1"/>
    <x v="1"/>
    <x v="3"/>
    <x v="3"/>
    <x v="14"/>
    <x v="14"/>
    <x v="15"/>
    <x v="15"/>
    <x v="2"/>
    <x v="2"/>
    <x v="5"/>
    <x v="5"/>
    <x v="321"/>
    <x v="321"/>
    <x v="1"/>
    <x v="1"/>
    <x v="2"/>
    <x v="2"/>
    <x v="321"/>
    <x v="1"/>
    <x v="1"/>
    <x v="321"/>
    <x v="321"/>
    <x v="321"/>
    <x v="320"/>
    <x v="321"/>
    <x v="321"/>
    <x v="3"/>
    <x v="3"/>
    <x v="1"/>
    <x v="1"/>
    <x v="2"/>
    <x v="0"/>
    <x v="0"/>
  </r>
  <r>
    <x v="322"/>
    <x v="299"/>
    <x v="249"/>
    <x v="305"/>
    <x v="242"/>
    <x v="316"/>
    <x v="2"/>
    <x v="2"/>
    <x v="0"/>
    <x v="0"/>
    <x v="4"/>
    <x v="0"/>
    <x v="8"/>
    <x v="8"/>
    <x v="9"/>
    <x v="9"/>
    <x v="2"/>
    <x v="2"/>
    <x v="11"/>
    <x v="11"/>
    <x v="322"/>
    <x v="322"/>
    <x v="0"/>
    <x v="0"/>
    <x v="6"/>
    <x v="3"/>
    <x v="322"/>
    <x v="4"/>
    <x v="4"/>
    <x v="322"/>
    <x v="322"/>
    <x v="322"/>
    <x v="321"/>
    <x v="322"/>
    <x v="322"/>
    <x v="0"/>
    <x v="0"/>
    <x v="0"/>
    <x v="0"/>
    <x v="3"/>
    <x v="0"/>
    <x v="0"/>
  </r>
  <r>
    <x v="323"/>
    <x v="300"/>
    <x v="250"/>
    <x v="306"/>
    <x v="257"/>
    <x v="317"/>
    <x v="2"/>
    <x v="2"/>
    <x v="1"/>
    <x v="1"/>
    <x v="3"/>
    <x v="3"/>
    <x v="14"/>
    <x v="14"/>
    <x v="15"/>
    <x v="15"/>
    <x v="1"/>
    <x v="1"/>
    <x v="3"/>
    <x v="3"/>
    <x v="21"/>
    <x v="21"/>
    <x v="3"/>
    <x v="3"/>
    <x v="5"/>
    <x v="6"/>
    <x v="323"/>
    <x v="4"/>
    <x v="4"/>
    <x v="323"/>
    <x v="323"/>
    <x v="323"/>
    <x v="322"/>
    <x v="323"/>
    <x v="323"/>
    <x v="0"/>
    <x v="0"/>
    <x v="0"/>
    <x v="0"/>
    <x v="6"/>
    <x v="0"/>
    <x v="0"/>
  </r>
  <r>
    <x v="324"/>
    <x v="301"/>
    <x v="251"/>
    <x v="307"/>
    <x v="205"/>
    <x v="318"/>
    <x v="12"/>
    <x v="12"/>
    <x v="3"/>
    <x v="3"/>
    <x v="2"/>
    <x v="2"/>
    <x v="5"/>
    <x v="5"/>
    <x v="5"/>
    <x v="5"/>
    <x v="0"/>
    <x v="0"/>
    <x v="7"/>
    <x v="7"/>
    <x v="323"/>
    <x v="323"/>
    <x v="1"/>
    <x v="1"/>
    <x v="7"/>
    <x v="5"/>
    <x v="324"/>
    <x v="4"/>
    <x v="4"/>
    <x v="324"/>
    <x v="324"/>
    <x v="324"/>
    <x v="323"/>
    <x v="324"/>
    <x v="324"/>
    <x v="0"/>
    <x v="0"/>
    <x v="2"/>
    <x v="2"/>
    <x v="0"/>
    <x v="1"/>
    <x v="0"/>
  </r>
  <r>
    <x v="325"/>
    <x v="302"/>
    <x v="252"/>
    <x v="308"/>
    <x v="258"/>
    <x v="319"/>
    <x v="11"/>
    <x v="11"/>
    <x v="3"/>
    <x v="3"/>
    <x v="1"/>
    <x v="1"/>
    <x v="6"/>
    <x v="6"/>
    <x v="6"/>
    <x v="6"/>
    <x v="2"/>
    <x v="2"/>
    <x v="6"/>
    <x v="6"/>
    <x v="324"/>
    <x v="324"/>
    <x v="0"/>
    <x v="0"/>
    <x v="0"/>
    <x v="8"/>
    <x v="325"/>
    <x v="4"/>
    <x v="4"/>
    <x v="325"/>
    <x v="325"/>
    <x v="325"/>
    <x v="324"/>
    <x v="325"/>
    <x v="325"/>
    <x v="0"/>
    <x v="0"/>
    <x v="0"/>
    <x v="0"/>
    <x v="7"/>
    <x v="1"/>
    <x v="0"/>
  </r>
  <r>
    <x v="326"/>
    <x v="303"/>
    <x v="164"/>
    <x v="281"/>
    <x v="239"/>
    <x v="320"/>
    <x v="11"/>
    <x v="11"/>
    <x v="2"/>
    <x v="2"/>
    <x v="1"/>
    <x v="1"/>
    <x v="15"/>
    <x v="15"/>
    <x v="16"/>
    <x v="16"/>
    <x v="1"/>
    <x v="1"/>
    <x v="3"/>
    <x v="3"/>
    <x v="325"/>
    <x v="325"/>
    <x v="1"/>
    <x v="1"/>
    <x v="6"/>
    <x v="8"/>
    <x v="326"/>
    <x v="5"/>
    <x v="5"/>
    <x v="326"/>
    <x v="326"/>
    <x v="326"/>
    <x v="325"/>
    <x v="326"/>
    <x v="326"/>
    <x v="0"/>
    <x v="0"/>
    <x v="0"/>
    <x v="0"/>
    <x v="0"/>
    <x v="1"/>
    <x v="0"/>
  </r>
  <r>
    <x v="327"/>
    <x v="304"/>
    <x v="253"/>
    <x v="33"/>
    <x v="0"/>
    <x v="321"/>
    <x v="2"/>
    <x v="2"/>
    <x v="0"/>
    <x v="0"/>
    <x v="3"/>
    <x v="3"/>
    <x v="0"/>
    <x v="0"/>
    <x v="7"/>
    <x v="7"/>
    <x v="2"/>
    <x v="2"/>
    <x v="5"/>
    <x v="5"/>
    <x v="326"/>
    <x v="326"/>
    <x v="0"/>
    <x v="0"/>
    <x v="4"/>
    <x v="1"/>
    <x v="327"/>
    <x v="0"/>
    <x v="0"/>
    <x v="327"/>
    <x v="327"/>
    <x v="327"/>
    <x v="326"/>
    <x v="327"/>
    <x v="327"/>
    <x v="2"/>
    <x v="2"/>
    <x v="1"/>
    <x v="1"/>
    <x v="0"/>
    <x v="0"/>
    <x v="0"/>
  </r>
  <r>
    <x v="328"/>
    <x v="305"/>
    <x v="254"/>
    <x v="264"/>
    <x v="221"/>
    <x v="322"/>
    <x v="13"/>
    <x v="13"/>
    <x v="0"/>
    <x v="0"/>
    <x v="3"/>
    <x v="3"/>
    <x v="3"/>
    <x v="3"/>
    <x v="3"/>
    <x v="3"/>
    <x v="0"/>
    <x v="0"/>
    <x v="8"/>
    <x v="8"/>
    <x v="327"/>
    <x v="327"/>
    <x v="2"/>
    <x v="2"/>
    <x v="0"/>
    <x v="3"/>
    <x v="328"/>
    <x v="1"/>
    <x v="1"/>
    <x v="328"/>
    <x v="328"/>
    <x v="328"/>
    <x v="327"/>
    <x v="328"/>
    <x v="328"/>
    <x v="0"/>
    <x v="0"/>
    <x v="0"/>
    <x v="0"/>
    <x v="4"/>
    <x v="1"/>
    <x v="0"/>
  </r>
  <r>
    <x v="329"/>
    <x v="306"/>
    <x v="255"/>
    <x v="309"/>
    <x v="259"/>
    <x v="323"/>
    <x v="6"/>
    <x v="6"/>
    <x v="1"/>
    <x v="1"/>
    <x v="3"/>
    <x v="3"/>
    <x v="3"/>
    <x v="3"/>
    <x v="3"/>
    <x v="3"/>
    <x v="0"/>
    <x v="0"/>
    <x v="8"/>
    <x v="8"/>
    <x v="328"/>
    <x v="328"/>
    <x v="3"/>
    <x v="3"/>
    <x v="0"/>
    <x v="2"/>
    <x v="329"/>
    <x v="5"/>
    <x v="5"/>
    <x v="329"/>
    <x v="329"/>
    <x v="329"/>
    <x v="328"/>
    <x v="329"/>
    <x v="329"/>
    <x v="0"/>
    <x v="0"/>
    <x v="0"/>
    <x v="0"/>
    <x v="4"/>
    <x v="1"/>
    <x v="0"/>
  </r>
  <r>
    <x v="330"/>
    <x v="196"/>
    <x v="174"/>
    <x v="310"/>
    <x v="260"/>
    <x v="324"/>
    <x v="3"/>
    <x v="3"/>
    <x v="3"/>
    <x v="3"/>
    <x v="4"/>
    <x v="0"/>
    <x v="7"/>
    <x v="7"/>
    <x v="8"/>
    <x v="8"/>
    <x v="2"/>
    <x v="2"/>
    <x v="5"/>
    <x v="5"/>
    <x v="329"/>
    <x v="329"/>
    <x v="1"/>
    <x v="1"/>
    <x v="9"/>
    <x v="5"/>
    <x v="330"/>
    <x v="1"/>
    <x v="1"/>
    <x v="330"/>
    <x v="330"/>
    <x v="330"/>
    <x v="329"/>
    <x v="330"/>
    <x v="330"/>
    <x v="3"/>
    <x v="3"/>
    <x v="1"/>
    <x v="1"/>
    <x v="4"/>
    <x v="0"/>
    <x v="0"/>
  </r>
  <r>
    <x v="331"/>
    <x v="307"/>
    <x v="248"/>
    <x v="311"/>
    <x v="255"/>
    <x v="325"/>
    <x v="11"/>
    <x v="11"/>
    <x v="3"/>
    <x v="3"/>
    <x v="1"/>
    <x v="1"/>
    <x v="1"/>
    <x v="1"/>
    <x v="1"/>
    <x v="1"/>
    <x v="0"/>
    <x v="0"/>
    <x v="9"/>
    <x v="9"/>
    <x v="330"/>
    <x v="330"/>
    <x v="0"/>
    <x v="0"/>
    <x v="7"/>
    <x v="2"/>
    <x v="331"/>
    <x v="1"/>
    <x v="1"/>
    <x v="331"/>
    <x v="331"/>
    <x v="331"/>
    <x v="330"/>
    <x v="331"/>
    <x v="331"/>
    <x v="0"/>
    <x v="0"/>
    <x v="2"/>
    <x v="2"/>
    <x v="8"/>
    <x v="0"/>
    <x v="0"/>
  </r>
  <r>
    <x v="332"/>
    <x v="308"/>
    <x v="256"/>
    <x v="312"/>
    <x v="163"/>
    <x v="326"/>
    <x v="10"/>
    <x v="10"/>
    <x v="0"/>
    <x v="0"/>
    <x v="2"/>
    <x v="2"/>
    <x v="5"/>
    <x v="5"/>
    <x v="5"/>
    <x v="5"/>
    <x v="2"/>
    <x v="2"/>
    <x v="12"/>
    <x v="12"/>
    <x v="331"/>
    <x v="331"/>
    <x v="0"/>
    <x v="0"/>
    <x v="3"/>
    <x v="7"/>
    <x v="332"/>
    <x v="1"/>
    <x v="1"/>
    <x v="332"/>
    <x v="332"/>
    <x v="332"/>
    <x v="331"/>
    <x v="332"/>
    <x v="332"/>
    <x v="0"/>
    <x v="0"/>
    <x v="0"/>
    <x v="0"/>
    <x v="4"/>
    <x v="1"/>
    <x v="0"/>
  </r>
  <r>
    <x v="333"/>
    <x v="309"/>
    <x v="257"/>
    <x v="313"/>
    <x v="159"/>
    <x v="327"/>
    <x v="12"/>
    <x v="12"/>
    <x v="3"/>
    <x v="3"/>
    <x v="5"/>
    <x v="4"/>
    <x v="18"/>
    <x v="18"/>
    <x v="19"/>
    <x v="19"/>
    <x v="2"/>
    <x v="2"/>
    <x v="11"/>
    <x v="11"/>
    <x v="332"/>
    <x v="332"/>
    <x v="2"/>
    <x v="2"/>
    <x v="1"/>
    <x v="7"/>
    <x v="333"/>
    <x v="1"/>
    <x v="1"/>
    <x v="333"/>
    <x v="333"/>
    <x v="333"/>
    <x v="332"/>
    <x v="333"/>
    <x v="333"/>
    <x v="0"/>
    <x v="0"/>
    <x v="0"/>
    <x v="0"/>
    <x v="2"/>
    <x v="1"/>
    <x v="0"/>
  </r>
  <r>
    <x v="334"/>
    <x v="310"/>
    <x v="207"/>
    <x v="314"/>
    <x v="261"/>
    <x v="328"/>
    <x v="4"/>
    <x v="4"/>
    <x v="0"/>
    <x v="0"/>
    <x v="1"/>
    <x v="1"/>
    <x v="15"/>
    <x v="15"/>
    <x v="16"/>
    <x v="16"/>
    <x v="0"/>
    <x v="0"/>
    <x v="8"/>
    <x v="8"/>
    <x v="333"/>
    <x v="333"/>
    <x v="2"/>
    <x v="2"/>
    <x v="1"/>
    <x v="6"/>
    <x v="334"/>
    <x v="3"/>
    <x v="3"/>
    <x v="334"/>
    <x v="334"/>
    <x v="334"/>
    <x v="333"/>
    <x v="334"/>
    <x v="334"/>
    <x v="0"/>
    <x v="0"/>
    <x v="0"/>
    <x v="0"/>
    <x v="7"/>
    <x v="0"/>
    <x v="0"/>
  </r>
  <r>
    <x v="335"/>
    <x v="311"/>
    <x v="258"/>
    <x v="315"/>
    <x v="262"/>
    <x v="329"/>
    <x v="9"/>
    <x v="9"/>
    <x v="3"/>
    <x v="3"/>
    <x v="3"/>
    <x v="3"/>
    <x v="4"/>
    <x v="4"/>
    <x v="4"/>
    <x v="4"/>
    <x v="0"/>
    <x v="0"/>
    <x v="0"/>
    <x v="0"/>
    <x v="334"/>
    <x v="334"/>
    <x v="2"/>
    <x v="2"/>
    <x v="7"/>
    <x v="1"/>
    <x v="335"/>
    <x v="8"/>
    <x v="6"/>
    <x v="335"/>
    <x v="335"/>
    <x v="335"/>
    <x v="334"/>
    <x v="335"/>
    <x v="335"/>
    <x v="0"/>
    <x v="0"/>
    <x v="0"/>
    <x v="0"/>
    <x v="2"/>
    <x v="1"/>
    <x v="0"/>
  </r>
  <r>
    <x v="336"/>
    <x v="312"/>
    <x v="177"/>
    <x v="316"/>
    <x v="263"/>
    <x v="248"/>
    <x v="10"/>
    <x v="10"/>
    <x v="0"/>
    <x v="0"/>
    <x v="4"/>
    <x v="0"/>
    <x v="0"/>
    <x v="0"/>
    <x v="0"/>
    <x v="0"/>
    <x v="2"/>
    <x v="2"/>
    <x v="6"/>
    <x v="6"/>
    <x v="335"/>
    <x v="335"/>
    <x v="2"/>
    <x v="2"/>
    <x v="5"/>
    <x v="0"/>
    <x v="336"/>
    <x v="1"/>
    <x v="1"/>
    <x v="336"/>
    <x v="336"/>
    <x v="336"/>
    <x v="335"/>
    <x v="336"/>
    <x v="336"/>
    <x v="0"/>
    <x v="0"/>
    <x v="0"/>
    <x v="0"/>
    <x v="11"/>
    <x v="0"/>
    <x v="0"/>
  </r>
  <r>
    <x v="337"/>
    <x v="313"/>
    <x v="44"/>
    <x v="317"/>
    <x v="110"/>
    <x v="330"/>
    <x v="4"/>
    <x v="4"/>
    <x v="0"/>
    <x v="0"/>
    <x v="1"/>
    <x v="1"/>
    <x v="10"/>
    <x v="10"/>
    <x v="11"/>
    <x v="11"/>
    <x v="0"/>
    <x v="0"/>
    <x v="7"/>
    <x v="7"/>
    <x v="336"/>
    <x v="336"/>
    <x v="1"/>
    <x v="1"/>
    <x v="0"/>
    <x v="3"/>
    <x v="337"/>
    <x v="1"/>
    <x v="1"/>
    <x v="337"/>
    <x v="337"/>
    <x v="337"/>
    <x v="336"/>
    <x v="337"/>
    <x v="337"/>
    <x v="0"/>
    <x v="0"/>
    <x v="0"/>
    <x v="0"/>
    <x v="1"/>
    <x v="0"/>
    <x v="0"/>
  </r>
  <r>
    <x v="338"/>
    <x v="314"/>
    <x v="228"/>
    <x v="318"/>
    <x v="264"/>
    <x v="331"/>
    <x v="3"/>
    <x v="3"/>
    <x v="1"/>
    <x v="1"/>
    <x v="2"/>
    <x v="2"/>
    <x v="5"/>
    <x v="5"/>
    <x v="5"/>
    <x v="5"/>
    <x v="2"/>
    <x v="2"/>
    <x v="5"/>
    <x v="5"/>
    <x v="337"/>
    <x v="337"/>
    <x v="2"/>
    <x v="2"/>
    <x v="6"/>
    <x v="0"/>
    <x v="338"/>
    <x v="3"/>
    <x v="3"/>
    <x v="338"/>
    <x v="338"/>
    <x v="338"/>
    <x v="337"/>
    <x v="338"/>
    <x v="338"/>
    <x v="0"/>
    <x v="0"/>
    <x v="0"/>
    <x v="0"/>
    <x v="8"/>
    <x v="0"/>
    <x v="0"/>
  </r>
  <r>
    <x v="339"/>
    <x v="158"/>
    <x v="141"/>
    <x v="319"/>
    <x v="265"/>
    <x v="332"/>
    <x v="6"/>
    <x v="6"/>
    <x v="2"/>
    <x v="2"/>
    <x v="1"/>
    <x v="1"/>
    <x v="15"/>
    <x v="15"/>
    <x v="16"/>
    <x v="16"/>
    <x v="1"/>
    <x v="1"/>
    <x v="10"/>
    <x v="10"/>
    <x v="338"/>
    <x v="338"/>
    <x v="3"/>
    <x v="3"/>
    <x v="7"/>
    <x v="0"/>
    <x v="339"/>
    <x v="0"/>
    <x v="0"/>
    <x v="339"/>
    <x v="339"/>
    <x v="339"/>
    <x v="338"/>
    <x v="339"/>
    <x v="339"/>
    <x v="0"/>
    <x v="0"/>
    <x v="0"/>
    <x v="0"/>
    <x v="6"/>
    <x v="1"/>
    <x v="0"/>
  </r>
  <r>
    <x v="340"/>
    <x v="315"/>
    <x v="259"/>
    <x v="320"/>
    <x v="266"/>
    <x v="333"/>
    <x v="6"/>
    <x v="6"/>
    <x v="0"/>
    <x v="0"/>
    <x v="2"/>
    <x v="2"/>
    <x v="11"/>
    <x v="11"/>
    <x v="12"/>
    <x v="12"/>
    <x v="0"/>
    <x v="0"/>
    <x v="9"/>
    <x v="9"/>
    <x v="339"/>
    <x v="339"/>
    <x v="3"/>
    <x v="3"/>
    <x v="9"/>
    <x v="8"/>
    <x v="340"/>
    <x v="8"/>
    <x v="6"/>
    <x v="340"/>
    <x v="340"/>
    <x v="340"/>
    <x v="339"/>
    <x v="340"/>
    <x v="340"/>
    <x v="0"/>
    <x v="0"/>
    <x v="0"/>
    <x v="0"/>
    <x v="10"/>
    <x v="0"/>
    <x v="0"/>
  </r>
  <r>
    <x v="341"/>
    <x v="316"/>
    <x v="260"/>
    <x v="321"/>
    <x v="267"/>
    <x v="334"/>
    <x v="12"/>
    <x v="12"/>
    <x v="3"/>
    <x v="3"/>
    <x v="3"/>
    <x v="3"/>
    <x v="12"/>
    <x v="12"/>
    <x v="13"/>
    <x v="13"/>
    <x v="1"/>
    <x v="1"/>
    <x v="4"/>
    <x v="4"/>
    <x v="340"/>
    <x v="340"/>
    <x v="0"/>
    <x v="0"/>
    <x v="3"/>
    <x v="7"/>
    <x v="341"/>
    <x v="5"/>
    <x v="5"/>
    <x v="341"/>
    <x v="341"/>
    <x v="341"/>
    <x v="340"/>
    <x v="341"/>
    <x v="341"/>
    <x v="0"/>
    <x v="0"/>
    <x v="0"/>
    <x v="0"/>
    <x v="7"/>
    <x v="1"/>
    <x v="0"/>
  </r>
  <r>
    <x v="342"/>
    <x v="317"/>
    <x v="137"/>
    <x v="322"/>
    <x v="131"/>
    <x v="335"/>
    <x v="15"/>
    <x v="14"/>
    <x v="1"/>
    <x v="1"/>
    <x v="1"/>
    <x v="1"/>
    <x v="15"/>
    <x v="15"/>
    <x v="16"/>
    <x v="16"/>
    <x v="0"/>
    <x v="0"/>
    <x v="9"/>
    <x v="9"/>
    <x v="341"/>
    <x v="341"/>
    <x v="2"/>
    <x v="2"/>
    <x v="9"/>
    <x v="0"/>
    <x v="342"/>
    <x v="1"/>
    <x v="1"/>
    <x v="342"/>
    <x v="342"/>
    <x v="342"/>
    <x v="341"/>
    <x v="342"/>
    <x v="342"/>
    <x v="0"/>
    <x v="0"/>
    <x v="0"/>
    <x v="0"/>
    <x v="0"/>
    <x v="1"/>
    <x v="0"/>
  </r>
  <r>
    <x v="343"/>
    <x v="318"/>
    <x v="261"/>
    <x v="216"/>
    <x v="191"/>
    <x v="336"/>
    <x v="10"/>
    <x v="10"/>
    <x v="2"/>
    <x v="2"/>
    <x v="3"/>
    <x v="3"/>
    <x v="4"/>
    <x v="4"/>
    <x v="4"/>
    <x v="4"/>
    <x v="2"/>
    <x v="2"/>
    <x v="12"/>
    <x v="12"/>
    <x v="342"/>
    <x v="342"/>
    <x v="1"/>
    <x v="1"/>
    <x v="1"/>
    <x v="6"/>
    <x v="343"/>
    <x v="8"/>
    <x v="6"/>
    <x v="343"/>
    <x v="343"/>
    <x v="343"/>
    <x v="342"/>
    <x v="343"/>
    <x v="343"/>
    <x v="0"/>
    <x v="0"/>
    <x v="0"/>
    <x v="0"/>
    <x v="9"/>
    <x v="1"/>
    <x v="0"/>
  </r>
  <r>
    <x v="344"/>
    <x v="319"/>
    <x v="262"/>
    <x v="280"/>
    <x v="238"/>
    <x v="337"/>
    <x v="8"/>
    <x v="8"/>
    <x v="0"/>
    <x v="0"/>
    <x v="4"/>
    <x v="0"/>
    <x v="7"/>
    <x v="7"/>
    <x v="8"/>
    <x v="8"/>
    <x v="1"/>
    <x v="1"/>
    <x v="10"/>
    <x v="10"/>
    <x v="343"/>
    <x v="343"/>
    <x v="1"/>
    <x v="1"/>
    <x v="6"/>
    <x v="6"/>
    <x v="344"/>
    <x v="1"/>
    <x v="1"/>
    <x v="344"/>
    <x v="344"/>
    <x v="344"/>
    <x v="343"/>
    <x v="344"/>
    <x v="344"/>
    <x v="2"/>
    <x v="2"/>
    <x v="2"/>
    <x v="2"/>
    <x v="11"/>
    <x v="0"/>
    <x v="0"/>
  </r>
  <r>
    <x v="345"/>
    <x v="320"/>
    <x v="263"/>
    <x v="323"/>
    <x v="268"/>
    <x v="338"/>
    <x v="0"/>
    <x v="0"/>
    <x v="0"/>
    <x v="0"/>
    <x v="3"/>
    <x v="3"/>
    <x v="4"/>
    <x v="4"/>
    <x v="4"/>
    <x v="4"/>
    <x v="1"/>
    <x v="1"/>
    <x v="3"/>
    <x v="3"/>
    <x v="344"/>
    <x v="344"/>
    <x v="0"/>
    <x v="0"/>
    <x v="9"/>
    <x v="7"/>
    <x v="345"/>
    <x v="1"/>
    <x v="1"/>
    <x v="345"/>
    <x v="345"/>
    <x v="345"/>
    <x v="344"/>
    <x v="345"/>
    <x v="345"/>
    <x v="0"/>
    <x v="0"/>
    <x v="0"/>
    <x v="0"/>
    <x v="7"/>
    <x v="0"/>
    <x v="0"/>
  </r>
  <r>
    <x v="346"/>
    <x v="303"/>
    <x v="164"/>
    <x v="324"/>
    <x v="269"/>
    <x v="339"/>
    <x v="9"/>
    <x v="9"/>
    <x v="2"/>
    <x v="2"/>
    <x v="2"/>
    <x v="2"/>
    <x v="13"/>
    <x v="13"/>
    <x v="14"/>
    <x v="14"/>
    <x v="1"/>
    <x v="1"/>
    <x v="4"/>
    <x v="4"/>
    <x v="345"/>
    <x v="345"/>
    <x v="0"/>
    <x v="0"/>
    <x v="0"/>
    <x v="3"/>
    <x v="346"/>
    <x v="0"/>
    <x v="0"/>
    <x v="346"/>
    <x v="346"/>
    <x v="346"/>
    <x v="345"/>
    <x v="346"/>
    <x v="346"/>
    <x v="0"/>
    <x v="0"/>
    <x v="0"/>
    <x v="0"/>
    <x v="0"/>
    <x v="1"/>
    <x v="0"/>
  </r>
  <r>
    <x v="347"/>
    <x v="321"/>
    <x v="264"/>
    <x v="318"/>
    <x v="264"/>
    <x v="340"/>
    <x v="10"/>
    <x v="10"/>
    <x v="1"/>
    <x v="1"/>
    <x v="3"/>
    <x v="3"/>
    <x v="14"/>
    <x v="14"/>
    <x v="15"/>
    <x v="15"/>
    <x v="1"/>
    <x v="1"/>
    <x v="4"/>
    <x v="4"/>
    <x v="346"/>
    <x v="346"/>
    <x v="0"/>
    <x v="0"/>
    <x v="2"/>
    <x v="8"/>
    <x v="347"/>
    <x v="0"/>
    <x v="0"/>
    <x v="347"/>
    <x v="347"/>
    <x v="347"/>
    <x v="346"/>
    <x v="347"/>
    <x v="347"/>
    <x v="1"/>
    <x v="1"/>
    <x v="2"/>
    <x v="2"/>
    <x v="8"/>
    <x v="0"/>
    <x v="0"/>
  </r>
  <r>
    <x v="348"/>
    <x v="230"/>
    <x v="202"/>
    <x v="325"/>
    <x v="89"/>
    <x v="341"/>
    <x v="10"/>
    <x v="10"/>
    <x v="2"/>
    <x v="2"/>
    <x v="2"/>
    <x v="2"/>
    <x v="11"/>
    <x v="11"/>
    <x v="12"/>
    <x v="12"/>
    <x v="2"/>
    <x v="2"/>
    <x v="11"/>
    <x v="11"/>
    <x v="347"/>
    <x v="347"/>
    <x v="1"/>
    <x v="1"/>
    <x v="1"/>
    <x v="6"/>
    <x v="348"/>
    <x v="3"/>
    <x v="3"/>
    <x v="348"/>
    <x v="348"/>
    <x v="348"/>
    <x v="347"/>
    <x v="348"/>
    <x v="348"/>
    <x v="0"/>
    <x v="0"/>
    <x v="0"/>
    <x v="0"/>
    <x v="2"/>
    <x v="0"/>
    <x v="0"/>
  </r>
  <r>
    <x v="349"/>
    <x v="322"/>
    <x v="75"/>
    <x v="326"/>
    <x v="270"/>
    <x v="342"/>
    <x v="15"/>
    <x v="14"/>
    <x v="3"/>
    <x v="3"/>
    <x v="1"/>
    <x v="1"/>
    <x v="15"/>
    <x v="15"/>
    <x v="16"/>
    <x v="16"/>
    <x v="1"/>
    <x v="1"/>
    <x v="3"/>
    <x v="3"/>
    <x v="348"/>
    <x v="348"/>
    <x v="0"/>
    <x v="0"/>
    <x v="7"/>
    <x v="6"/>
    <x v="349"/>
    <x v="3"/>
    <x v="3"/>
    <x v="349"/>
    <x v="349"/>
    <x v="349"/>
    <x v="348"/>
    <x v="349"/>
    <x v="349"/>
    <x v="0"/>
    <x v="0"/>
    <x v="0"/>
    <x v="0"/>
    <x v="7"/>
    <x v="1"/>
    <x v="0"/>
  </r>
  <r>
    <x v="350"/>
    <x v="323"/>
    <x v="17"/>
    <x v="327"/>
    <x v="103"/>
    <x v="343"/>
    <x v="11"/>
    <x v="11"/>
    <x v="1"/>
    <x v="1"/>
    <x v="1"/>
    <x v="1"/>
    <x v="15"/>
    <x v="15"/>
    <x v="16"/>
    <x v="16"/>
    <x v="1"/>
    <x v="1"/>
    <x v="3"/>
    <x v="3"/>
    <x v="349"/>
    <x v="349"/>
    <x v="0"/>
    <x v="0"/>
    <x v="2"/>
    <x v="2"/>
    <x v="350"/>
    <x v="8"/>
    <x v="6"/>
    <x v="350"/>
    <x v="350"/>
    <x v="350"/>
    <x v="349"/>
    <x v="350"/>
    <x v="350"/>
    <x v="1"/>
    <x v="1"/>
    <x v="2"/>
    <x v="2"/>
    <x v="10"/>
    <x v="0"/>
    <x v="0"/>
  </r>
  <r>
    <x v="351"/>
    <x v="324"/>
    <x v="265"/>
    <x v="328"/>
    <x v="271"/>
    <x v="344"/>
    <x v="5"/>
    <x v="5"/>
    <x v="1"/>
    <x v="1"/>
    <x v="2"/>
    <x v="2"/>
    <x v="2"/>
    <x v="2"/>
    <x v="2"/>
    <x v="2"/>
    <x v="0"/>
    <x v="0"/>
    <x v="8"/>
    <x v="8"/>
    <x v="350"/>
    <x v="350"/>
    <x v="2"/>
    <x v="2"/>
    <x v="5"/>
    <x v="3"/>
    <x v="351"/>
    <x v="3"/>
    <x v="3"/>
    <x v="351"/>
    <x v="351"/>
    <x v="351"/>
    <x v="350"/>
    <x v="351"/>
    <x v="351"/>
    <x v="2"/>
    <x v="2"/>
    <x v="1"/>
    <x v="1"/>
    <x v="4"/>
    <x v="1"/>
    <x v="0"/>
  </r>
  <r>
    <x v="352"/>
    <x v="325"/>
    <x v="229"/>
    <x v="256"/>
    <x v="222"/>
    <x v="345"/>
    <x v="13"/>
    <x v="13"/>
    <x v="1"/>
    <x v="1"/>
    <x v="1"/>
    <x v="1"/>
    <x v="10"/>
    <x v="10"/>
    <x v="11"/>
    <x v="11"/>
    <x v="2"/>
    <x v="2"/>
    <x v="6"/>
    <x v="6"/>
    <x v="351"/>
    <x v="351"/>
    <x v="2"/>
    <x v="2"/>
    <x v="7"/>
    <x v="8"/>
    <x v="352"/>
    <x v="3"/>
    <x v="3"/>
    <x v="352"/>
    <x v="352"/>
    <x v="352"/>
    <x v="351"/>
    <x v="352"/>
    <x v="352"/>
    <x v="0"/>
    <x v="0"/>
    <x v="0"/>
    <x v="0"/>
    <x v="1"/>
    <x v="1"/>
    <x v="0"/>
  </r>
  <r>
    <x v="353"/>
    <x v="326"/>
    <x v="266"/>
    <x v="211"/>
    <x v="188"/>
    <x v="346"/>
    <x v="4"/>
    <x v="4"/>
    <x v="0"/>
    <x v="0"/>
    <x v="4"/>
    <x v="0"/>
    <x v="0"/>
    <x v="0"/>
    <x v="0"/>
    <x v="0"/>
    <x v="0"/>
    <x v="0"/>
    <x v="2"/>
    <x v="2"/>
    <x v="352"/>
    <x v="352"/>
    <x v="1"/>
    <x v="1"/>
    <x v="0"/>
    <x v="6"/>
    <x v="353"/>
    <x v="0"/>
    <x v="0"/>
    <x v="353"/>
    <x v="353"/>
    <x v="353"/>
    <x v="352"/>
    <x v="353"/>
    <x v="353"/>
    <x v="0"/>
    <x v="0"/>
    <x v="0"/>
    <x v="0"/>
    <x v="6"/>
    <x v="1"/>
    <x v="0"/>
  </r>
  <r>
    <x v="354"/>
    <x v="14"/>
    <x v="14"/>
    <x v="329"/>
    <x v="272"/>
    <x v="347"/>
    <x v="15"/>
    <x v="14"/>
    <x v="2"/>
    <x v="2"/>
    <x v="4"/>
    <x v="0"/>
    <x v="7"/>
    <x v="7"/>
    <x v="8"/>
    <x v="8"/>
    <x v="1"/>
    <x v="1"/>
    <x v="3"/>
    <x v="3"/>
    <x v="353"/>
    <x v="353"/>
    <x v="3"/>
    <x v="3"/>
    <x v="5"/>
    <x v="3"/>
    <x v="354"/>
    <x v="17"/>
    <x v="1"/>
    <x v="354"/>
    <x v="354"/>
    <x v="354"/>
    <x v="353"/>
    <x v="354"/>
    <x v="354"/>
    <x v="2"/>
    <x v="2"/>
    <x v="1"/>
    <x v="1"/>
    <x v="8"/>
    <x v="0"/>
    <x v="1"/>
  </r>
  <r>
    <x v="355"/>
    <x v="327"/>
    <x v="267"/>
    <x v="330"/>
    <x v="207"/>
    <x v="348"/>
    <x v="8"/>
    <x v="8"/>
    <x v="2"/>
    <x v="2"/>
    <x v="3"/>
    <x v="3"/>
    <x v="0"/>
    <x v="0"/>
    <x v="7"/>
    <x v="7"/>
    <x v="1"/>
    <x v="1"/>
    <x v="1"/>
    <x v="1"/>
    <x v="354"/>
    <x v="354"/>
    <x v="3"/>
    <x v="3"/>
    <x v="8"/>
    <x v="8"/>
    <x v="355"/>
    <x v="1"/>
    <x v="1"/>
    <x v="355"/>
    <x v="355"/>
    <x v="355"/>
    <x v="354"/>
    <x v="355"/>
    <x v="355"/>
    <x v="2"/>
    <x v="2"/>
    <x v="1"/>
    <x v="1"/>
    <x v="4"/>
    <x v="0"/>
    <x v="2"/>
  </r>
  <r>
    <x v="356"/>
    <x v="328"/>
    <x v="104"/>
    <x v="331"/>
    <x v="273"/>
    <x v="349"/>
    <x v="12"/>
    <x v="12"/>
    <x v="3"/>
    <x v="3"/>
    <x v="2"/>
    <x v="2"/>
    <x v="2"/>
    <x v="2"/>
    <x v="2"/>
    <x v="2"/>
    <x v="1"/>
    <x v="1"/>
    <x v="4"/>
    <x v="4"/>
    <x v="355"/>
    <x v="355"/>
    <x v="2"/>
    <x v="2"/>
    <x v="7"/>
    <x v="8"/>
    <x v="356"/>
    <x v="0"/>
    <x v="0"/>
    <x v="356"/>
    <x v="356"/>
    <x v="356"/>
    <x v="355"/>
    <x v="356"/>
    <x v="356"/>
    <x v="2"/>
    <x v="2"/>
    <x v="2"/>
    <x v="2"/>
    <x v="2"/>
    <x v="1"/>
    <x v="0"/>
  </r>
  <r>
    <x v="357"/>
    <x v="329"/>
    <x v="20"/>
    <x v="332"/>
    <x v="274"/>
    <x v="350"/>
    <x v="1"/>
    <x v="1"/>
    <x v="3"/>
    <x v="3"/>
    <x v="2"/>
    <x v="2"/>
    <x v="5"/>
    <x v="5"/>
    <x v="5"/>
    <x v="5"/>
    <x v="2"/>
    <x v="2"/>
    <x v="12"/>
    <x v="12"/>
    <x v="356"/>
    <x v="356"/>
    <x v="0"/>
    <x v="0"/>
    <x v="9"/>
    <x v="0"/>
    <x v="357"/>
    <x v="1"/>
    <x v="1"/>
    <x v="357"/>
    <x v="357"/>
    <x v="357"/>
    <x v="356"/>
    <x v="357"/>
    <x v="357"/>
    <x v="0"/>
    <x v="0"/>
    <x v="1"/>
    <x v="1"/>
    <x v="10"/>
    <x v="1"/>
    <x v="0"/>
  </r>
  <r>
    <x v="358"/>
    <x v="330"/>
    <x v="210"/>
    <x v="333"/>
    <x v="275"/>
    <x v="351"/>
    <x v="5"/>
    <x v="5"/>
    <x v="3"/>
    <x v="3"/>
    <x v="3"/>
    <x v="3"/>
    <x v="12"/>
    <x v="12"/>
    <x v="13"/>
    <x v="13"/>
    <x v="1"/>
    <x v="1"/>
    <x v="10"/>
    <x v="10"/>
    <x v="357"/>
    <x v="357"/>
    <x v="0"/>
    <x v="0"/>
    <x v="12"/>
    <x v="8"/>
    <x v="358"/>
    <x v="5"/>
    <x v="5"/>
    <x v="358"/>
    <x v="358"/>
    <x v="358"/>
    <x v="357"/>
    <x v="358"/>
    <x v="358"/>
    <x v="2"/>
    <x v="2"/>
    <x v="2"/>
    <x v="2"/>
    <x v="1"/>
    <x v="1"/>
    <x v="2"/>
  </r>
  <r>
    <x v="359"/>
    <x v="296"/>
    <x v="247"/>
    <x v="334"/>
    <x v="276"/>
    <x v="352"/>
    <x v="2"/>
    <x v="2"/>
    <x v="0"/>
    <x v="0"/>
    <x v="2"/>
    <x v="2"/>
    <x v="17"/>
    <x v="17"/>
    <x v="18"/>
    <x v="18"/>
    <x v="2"/>
    <x v="2"/>
    <x v="11"/>
    <x v="11"/>
    <x v="358"/>
    <x v="358"/>
    <x v="1"/>
    <x v="1"/>
    <x v="3"/>
    <x v="6"/>
    <x v="359"/>
    <x v="8"/>
    <x v="6"/>
    <x v="359"/>
    <x v="359"/>
    <x v="359"/>
    <x v="358"/>
    <x v="359"/>
    <x v="359"/>
    <x v="0"/>
    <x v="0"/>
    <x v="0"/>
    <x v="0"/>
    <x v="1"/>
    <x v="0"/>
    <x v="0"/>
  </r>
  <r>
    <x v="360"/>
    <x v="331"/>
    <x v="35"/>
    <x v="335"/>
    <x v="277"/>
    <x v="353"/>
    <x v="11"/>
    <x v="11"/>
    <x v="1"/>
    <x v="1"/>
    <x v="3"/>
    <x v="3"/>
    <x v="12"/>
    <x v="12"/>
    <x v="13"/>
    <x v="13"/>
    <x v="1"/>
    <x v="1"/>
    <x v="3"/>
    <x v="3"/>
    <x v="359"/>
    <x v="359"/>
    <x v="3"/>
    <x v="3"/>
    <x v="4"/>
    <x v="4"/>
    <x v="360"/>
    <x v="0"/>
    <x v="0"/>
    <x v="360"/>
    <x v="360"/>
    <x v="360"/>
    <x v="359"/>
    <x v="360"/>
    <x v="360"/>
    <x v="1"/>
    <x v="1"/>
    <x v="1"/>
    <x v="1"/>
    <x v="2"/>
    <x v="0"/>
    <x v="0"/>
  </r>
  <r>
    <x v="361"/>
    <x v="201"/>
    <x v="179"/>
    <x v="336"/>
    <x v="278"/>
    <x v="354"/>
    <x v="12"/>
    <x v="12"/>
    <x v="2"/>
    <x v="2"/>
    <x v="1"/>
    <x v="1"/>
    <x v="1"/>
    <x v="1"/>
    <x v="1"/>
    <x v="1"/>
    <x v="1"/>
    <x v="1"/>
    <x v="4"/>
    <x v="4"/>
    <x v="360"/>
    <x v="360"/>
    <x v="0"/>
    <x v="0"/>
    <x v="3"/>
    <x v="6"/>
    <x v="361"/>
    <x v="5"/>
    <x v="5"/>
    <x v="361"/>
    <x v="361"/>
    <x v="361"/>
    <x v="360"/>
    <x v="361"/>
    <x v="361"/>
    <x v="2"/>
    <x v="2"/>
    <x v="2"/>
    <x v="2"/>
    <x v="5"/>
    <x v="1"/>
    <x v="0"/>
  </r>
  <r>
    <x v="362"/>
    <x v="332"/>
    <x v="199"/>
    <x v="337"/>
    <x v="254"/>
    <x v="355"/>
    <x v="5"/>
    <x v="5"/>
    <x v="0"/>
    <x v="0"/>
    <x v="3"/>
    <x v="3"/>
    <x v="14"/>
    <x v="14"/>
    <x v="15"/>
    <x v="15"/>
    <x v="2"/>
    <x v="2"/>
    <x v="12"/>
    <x v="12"/>
    <x v="361"/>
    <x v="361"/>
    <x v="1"/>
    <x v="1"/>
    <x v="7"/>
    <x v="2"/>
    <x v="362"/>
    <x v="5"/>
    <x v="5"/>
    <x v="362"/>
    <x v="362"/>
    <x v="362"/>
    <x v="361"/>
    <x v="362"/>
    <x v="362"/>
    <x v="0"/>
    <x v="0"/>
    <x v="0"/>
    <x v="0"/>
    <x v="1"/>
    <x v="0"/>
    <x v="0"/>
  </r>
  <r>
    <x v="363"/>
    <x v="333"/>
    <x v="268"/>
    <x v="338"/>
    <x v="71"/>
    <x v="356"/>
    <x v="13"/>
    <x v="13"/>
    <x v="2"/>
    <x v="2"/>
    <x v="1"/>
    <x v="1"/>
    <x v="6"/>
    <x v="6"/>
    <x v="6"/>
    <x v="6"/>
    <x v="1"/>
    <x v="1"/>
    <x v="1"/>
    <x v="1"/>
    <x v="362"/>
    <x v="362"/>
    <x v="0"/>
    <x v="0"/>
    <x v="1"/>
    <x v="8"/>
    <x v="363"/>
    <x v="3"/>
    <x v="3"/>
    <x v="363"/>
    <x v="363"/>
    <x v="363"/>
    <x v="362"/>
    <x v="363"/>
    <x v="363"/>
    <x v="0"/>
    <x v="0"/>
    <x v="0"/>
    <x v="0"/>
    <x v="0"/>
    <x v="1"/>
    <x v="0"/>
  </r>
  <r>
    <x v="364"/>
    <x v="334"/>
    <x v="269"/>
    <x v="339"/>
    <x v="279"/>
    <x v="357"/>
    <x v="10"/>
    <x v="10"/>
    <x v="1"/>
    <x v="1"/>
    <x v="2"/>
    <x v="2"/>
    <x v="5"/>
    <x v="5"/>
    <x v="5"/>
    <x v="5"/>
    <x v="1"/>
    <x v="1"/>
    <x v="4"/>
    <x v="4"/>
    <x v="363"/>
    <x v="363"/>
    <x v="0"/>
    <x v="0"/>
    <x v="4"/>
    <x v="8"/>
    <x v="364"/>
    <x v="1"/>
    <x v="1"/>
    <x v="364"/>
    <x v="364"/>
    <x v="364"/>
    <x v="363"/>
    <x v="364"/>
    <x v="364"/>
    <x v="0"/>
    <x v="0"/>
    <x v="0"/>
    <x v="0"/>
    <x v="11"/>
    <x v="1"/>
    <x v="0"/>
  </r>
  <r>
    <x v="365"/>
    <x v="335"/>
    <x v="270"/>
    <x v="340"/>
    <x v="280"/>
    <x v="358"/>
    <x v="7"/>
    <x v="7"/>
    <x v="2"/>
    <x v="2"/>
    <x v="3"/>
    <x v="3"/>
    <x v="14"/>
    <x v="14"/>
    <x v="15"/>
    <x v="15"/>
    <x v="2"/>
    <x v="2"/>
    <x v="5"/>
    <x v="5"/>
    <x v="364"/>
    <x v="364"/>
    <x v="2"/>
    <x v="2"/>
    <x v="0"/>
    <x v="0"/>
    <x v="365"/>
    <x v="9"/>
    <x v="1"/>
    <x v="365"/>
    <x v="365"/>
    <x v="365"/>
    <x v="364"/>
    <x v="365"/>
    <x v="365"/>
    <x v="0"/>
    <x v="0"/>
    <x v="0"/>
    <x v="0"/>
    <x v="2"/>
    <x v="0"/>
    <x v="1"/>
  </r>
  <r>
    <x v="366"/>
    <x v="336"/>
    <x v="271"/>
    <x v="341"/>
    <x v="281"/>
    <x v="359"/>
    <x v="11"/>
    <x v="11"/>
    <x v="2"/>
    <x v="2"/>
    <x v="4"/>
    <x v="0"/>
    <x v="0"/>
    <x v="0"/>
    <x v="0"/>
    <x v="0"/>
    <x v="1"/>
    <x v="1"/>
    <x v="1"/>
    <x v="1"/>
    <x v="365"/>
    <x v="365"/>
    <x v="1"/>
    <x v="1"/>
    <x v="0"/>
    <x v="7"/>
    <x v="366"/>
    <x v="1"/>
    <x v="1"/>
    <x v="366"/>
    <x v="366"/>
    <x v="366"/>
    <x v="365"/>
    <x v="366"/>
    <x v="366"/>
    <x v="0"/>
    <x v="0"/>
    <x v="0"/>
    <x v="0"/>
    <x v="10"/>
    <x v="1"/>
    <x v="0"/>
  </r>
  <r>
    <x v="367"/>
    <x v="168"/>
    <x v="151"/>
    <x v="342"/>
    <x v="282"/>
    <x v="360"/>
    <x v="12"/>
    <x v="12"/>
    <x v="0"/>
    <x v="0"/>
    <x v="4"/>
    <x v="0"/>
    <x v="18"/>
    <x v="18"/>
    <x v="19"/>
    <x v="19"/>
    <x v="0"/>
    <x v="0"/>
    <x v="2"/>
    <x v="2"/>
    <x v="366"/>
    <x v="366"/>
    <x v="3"/>
    <x v="3"/>
    <x v="3"/>
    <x v="3"/>
    <x v="367"/>
    <x v="4"/>
    <x v="4"/>
    <x v="367"/>
    <x v="367"/>
    <x v="367"/>
    <x v="366"/>
    <x v="367"/>
    <x v="367"/>
    <x v="3"/>
    <x v="3"/>
    <x v="1"/>
    <x v="1"/>
    <x v="11"/>
    <x v="0"/>
    <x v="0"/>
  </r>
  <r>
    <x v="368"/>
    <x v="337"/>
    <x v="197"/>
    <x v="232"/>
    <x v="204"/>
    <x v="361"/>
    <x v="10"/>
    <x v="10"/>
    <x v="3"/>
    <x v="3"/>
    <x v="4"/>
    <x v="0"/>
    <x v="0"/>
    <x v="0"/>
    <x v="0"/>
    <x v="0"/>
    <x v="2"/>
    <x v="2"/>
    <x v="5"/>
    <x v="5"/>
    <x v="367"/>
    <x v="367"/>
    <x v="1"/>
    <x v="1"/>
    <x v="6"/>
    <x v="6"/>
    <x v="368"/>
    <x v="5"/>
    <x v="5"/>
    <x v="368"/>
    <x v="368"/>
    <x v="368"/>
    <x v="367"/>
    <x v="368"/>
    <x v="368"/>
    <x v="1"/>
    <x v="1"/>
    <x v="2"/>
    <x v="2"/>
    <x v="0"/>
    <x v="1"/>
    <x v="0"/>
  </r>
  <r>
    <x v="369"/>
    <x v="277"/>
    <x v="87"/>
    <x v="21"/>
    <x v="21"/>
    <x v="362"/>
    <x v="8"/>
    <x v="8"/>
    <x v="0"/>
    <x v="0"/>
    <x v="4"/>
    <x v="0"/>
    <x v="18"/>
    <x v="18"/>
    <x v="19"/>
    <x v="19"/>
    <x v="0"/>
    <x v="0"/>
    <x v="7"/>
    <x v="7"/>
    <x v="368"/>
    <x v="368"/>
    <x v="3"/>
    <x v="3"/>
    <x v="2"/>
    <x v="6"/>
    <x v="369"/>
    <x v="4"/>
    <x v="4"/>
    <x v="369"/>
    <x v="369"/>
    <x v="369"/>
    <x v="368"/>
    <x v="369"/>
    <x v="369"/>
    <x v="0"/>
    <x v="0"/>
    <x v="0"/>
    <x v="0"/>
    <x v="10"/>
    <x v="1"/>
    <x v="0"/>
  </r>
  <r>
    <x v="370"/>
    <x v="338"/>
    <x v="101"/>
    <x v="343"/>
    <x v="283"/>
    <x v="363"/>
    <x v="4"/>
    <x v="4"/>
    <x v="1"/>
    <x v="1"/>
    <x v="3"/>
    <x v="3"/>
    <x v="0"/>
    <x v="0"/>
    <x v="7"/>
    <x v="7"/>
    <x v="2"/>
    <x v="2"/>
    <x v="6"/>
    <x v="6"/>
    <x v="369"/>
    <x v="369"/>
    <x v="2"/>
    <x v="2"/>
    <x v="0"/>
    <x v="4"/>
    <x v="370"/>
    <x v="0"/>
    <x v="0"/>
    <x v="370"/>
    <x v="370"/>
    <x v="370"/>
    <x v="369"/>
    <x v="370"/>
    <x v="370"/>
    <x v="0"/>
    <x v="0"/>
    <x v="0"/>
    <x v="0"/>
    <x v="1"/>
    <x v="0"/>
    <x v="0"/>
  </r>
  <r>
    <x v="371"/>
    <x v="183"/>
    <x v="165"/>
    <x v="344"/>
    <x v="44"/>
    <x v="364"/>
    <x v="13"/>
    <x v="13"/>
    <x v="3"/>
    <x v="3"/>
    <x v="3"/>
    <x v="3"/>
    <x v="3"/>
    <x v="3"/>
    <x v="3"/>
    <x v="3"/>
    <x v="0"/>
    <x v="0"/>
    <x v="2"/>
    <x v="2"/>
    <x v="370"/>
    <x v="370"/>
    <x v="3"/>
    <x v="3"/>
    <x v="7"/>
    <x v="3"/>
    <x v="371"/>
    <x v="9"/>
    <x v="1"/>
    <x v="371"/>
    <x v="371"/>
    <x v="371"/>
    <x v="370"/>
    <x v="371"/>
    <x v="371"/>
    <x v="1"/>
    <x v="1"/>
    <x v="1"/>
    <x v="1"/>
    <x v="10"/>
    <x v="0"/>
    <x v="1"/>
  </r>
  <r>
    <x v="372"/>
    <x v="339"/>
    <x v="272"/>
    <x v="345"/>
    <x v="148"/>
    <x v="175"/>
    <x v="15"/>
    <x v="14"/>
    <x v="0"/>
    <x v="0"/>
    <x v="1"/>
    <x v="1"/>
    <x v="15"/>
    <x v="15"/>
    <x v="16"/>
    <x v="16"/>
    <x v="1"/>
    <x v="1"/>
    <x v="4"/>
    <x v="4"/>
    <x v="371"/>
    <x v="371"/>
    <x v="1"/>
    <x v="1"/>
    <x v="7"/>
    <x v="8"/>
    <x v="372"/>
    <x v="1"/>
    <x v="1"/>
    <x v="372"/>
    <x v="372"/>
    <x v="372"/>
    <x v="371"/>
    <x v="372"/>
    <x v="372"/>
    <x v="0"/>
    <x v="0"/>
    <x v="0"/>
    <x v="0"/>
    <x v="1"/>
    <x v="1"/>
    <x v="0"/>
  </r>
  <r>
    <x v="373"/>
    <x v="340"/>
    <x v="273"/>
    <x v="346"/>
    <x v="130"/>
    <x v="365"/>
    <x v="11"/>
    <x v="11"/>
    <x v="1"/>
    <x v="1"/>
    <x v="4"/>
    <x v="0"/>
    <x v="8"/>
    <x v="8"/>
    <x v="9"/>
    <x v="9"/>
    <x v="0"/>
    <x v="0"/>
    <x v="8"/>
    <x v="8"/>
    <x v="372"/>
    <x v="372"/>
    <x v="0"/>
    <x v="0"/>
    <x v="6"/>
    <x v="6"/>
    <x v="373"/>
    <x v="1"/>
    <x v="1"/>
    <x v="373"/>
    <x v="373"/>
    <x v="373"/>
    <x v="372"/>
    <x v="373"/>
    <x v="373"/>
    <x v="0"/>
    <x v="0"/>
    <x v="0"/>
    <x v="0"/>
    <x v="5"/>
    <x v="1"/>
    <x v="0"/>
  </r>
  <r>
    <x v="374"/>
    <x v="341"/>
    <x v="71"/>
    <x v="347"/>
    <x v="284"/>
    <x v="366"/>
    <x v="7"/>
    <x v="7"/>
    <x v="1"/>
    <x v="1"/>
    <x v="4"/>
    <x v="0"/>
    <x v="8"/>
    <x v="8"/>
    <x v="9"/>
    <x v="9"/>
    <x v="0"/>
    <x v="0"/>
    <x v="7"/>
    <x v="7"/>
    <x v="373"/>
    <x v="373"/>
    <x v="3"/>
    <x v="3"/>
    <x v="3"/>
    <x v="3"/>
    <x v="374"/>
    <x v="1"/>
    <x v="1"/>
    <x v="374"/>
    <x v="374"/>
    <x v="374"/>
    <x v="373"/>
    <x v="374"/>
    <x v="374"/>
    <x v="0"/>
    <x v="0"/>
    <x v="0"/>
    <x v="0"/>
    <x v="6"/>
    <x v="1"/>
    <x v="0"/>
  </r>
  <r>
    <x v="375"/>
    <x v="342"/>
    <x v="274"/>
    <x v="348"/>
    <x v="216"/>
    <x v="367"/>
    <x v="5"/>
    <x v="5"/>
    <x v="0"/>
    <x v="0"/>
    <x v="4"/>
    <x v="0"/>
    <x v="18"/>
    <x v="18"/>
    <x v="19"/>
    <x v="19"/>
    <x v="1"/>
    <x v="1"/>
    <x v="4"/>
    <x v="4"/>
    <x v="374"/>
    <x v="374"/>
    <x v="1"/>
    <x v="1"/>
    <x v="5"/>
    <x v="1"/>
    <x v="375"/>
    <x v="3"/>
    <x v="3"/>
    <x v="375"/>
    <x v="375"/>
    <x v="375"/>
    <x v="374"/>
    <x v="375"/>
    <x v="375"/>
    <x v="0"/>
    <x v="0"/>
    <x v="0"/>
    <x v="0"/>
    <x v="8"/>
    <x v="0"/>
    <x v="0"/>
  </r>
  <r>
    <x v="376"/>
    <x v="343"/>
    <x v="275"/>
    <x v="329"/>
    <x v="272"/>
    <x v="368"/>
    <x v="2"/>
    <x v="2"/>
    <x v="1"/>
    <x v="1"/>
    <x v="1"/>
    <x v="1"/>
    <x v="9"/>
    <x v="9"/>
    <x v="10"/>
    <x v="10"/>
    <x v="1"/>
    <x v="1"/>
    <x v="4"/>
    <x v="4"/>
    <x v="375"/>
    <x v="375"/>
    <x v="2"/>
    <x v="2"/>
    <x v="7"/>
    <x v="3"/>
    <x v="376"/>
    <x v="0"/>
    <x v="0"/>
    <x v="376"/>
    <x v="376"/>
    <x v="376"/>
    <x v="375"/>
    <x v="376"/>
    <x v="376"/>
    <x v="0"/>
    <x v="0"/>
    <x v="0"/>
    <x v="0"/>
    <x v="8"/>
    <x v="0"/>
    <x v="0"/>
  </r>
  <r>
    <x v="377"/>
    <x v="275"/>
    <x v="235"/>
    <x v="349"/>
    <x v="285"/>
    <x v="369"/>
    <x v="15"/>
    <x v="14"/>
    <x v="1"/>
    <x v="1"/>
    <x v="1"/>
    <x v="1"/>
    <x v="1"/>
    <x v="1"/>
    <x v="1"/>
    <x v="1"/>
    <x v="0"/>
    <x v="0"/>
    <x v="8"/>
    <x v="8"/>
    <x v="376"/>
    <x v="376"/>
    <x v="1"/>
    <x v="1"/>
    <x v="0"/>
    <x v="5"/>
    <x v="377"/>
    <x v="1"/>
    <x v="1"/>
    <x v="377"/>
    <x v="377"/>
    <x v="377"/>
    <x v="376"/>
    <x v="377"/>
    <x v="377"/>
    <x v="0"/>
    <x v="0"/>
    <x v="0"/>
    <x v="0"/>
    <x v="4"/>
    <x v="1"/>
    <x v="0"/>
  </r>
  <r>
    <x v="378"/>
    <x v="344"/>
    <x v="276"/>
    <x v="350"/>
    <x v="286"/>
    <x v="370"/>
    <x v="1"/>
    <x v="1"/>
    <x v="0"/>
    <x v="0"/>
    <x v="3"/>
    <x v="3"/>
    <x v="14"/>
    <x v="14"/>
    <x v="15"/>
    <x v="15"/>
    <x v="2"/>
    <x v="2"/>
    <x v="5"/>
    <x v="5"/>
    <x v="377"/>
    <x v="377"/>
    <x v="3"/>
    <x v="3"/>
    <x v="6"/>
    <x v="7"/>
    <x v="378"/>
    <x v="1"/>
    <x v="1"/>
    <x v="378"/>
    <x v="378"/>
    <x v="378"/>
    <x v="377"/>
    <x v="378"/>
    <x v="378"/>
    <x v="0"/>
    <x v="0"/>
    <x v="0"/>
    <x v="0"/>
    <x v="4"/>
    <x v="1"/>
    <x v="0"/>
  </r>
  <r>
    <x v="379"/>
    <x v="345"/>
    <x v="277"/>
    <x v="351"/>
    <x v="287"/>
    <x v="371"/>
    <x v="1"/>
    <x v="1"/>
    <x v="1"/>
    <x v="1"/>
    <x v="2"/>
    <x v="2"/>
    <x v="13"/>
    <x v="13"/>
    <x v="14"/>
    <x v="14"/>
    <x v="0"/>
    <x v="0"/>
    <x v="0"/>
    <x v="0"/>
    <x v="378"/>
    <x v="378"/>
    <x v="3"/>
    <x v="3"/>
    <x v="5"/>
    <x v="4"/>
    <x v="379"/>
    <x v="9"/>
    <x v="1"/>
    <x v="379"/>
    <x v="379"/>
    <x v="379"/>
    <x v="378"/>
    <x v="379"/>
    <x v="379"/>
    <x v="0"/>
    <x v="0"/>
    <x v="0"/>
    <x v="0"/>
    <x v="7"/>
    <x v="0"/>
    <x v="1"/>
  </r>
  <r>
    <x v="380"/>
    <x v="346"/>
    <x v="224"/>
    <x v="261"/>
    <x v="64"/>
    <x v="372"/>
    <x v="5"/>
    <x v="5"/>
    <x v="0"/>
    <x v="0"/>
    <x v="3"/>
    <x v="3"/>
    <x v="3"/>
    <x v="3"/>
    <x v="3"/>
    <x v="3"/>
    <x v="1"/>
    <x v="1"/>
    <x v="10"/>
    <x v="10"/>
    <x v="379"/>
    <x v="379"/>
    <x v="1"/>
    <x v="1"/>
    <x v="2"/>
    <x v="8"/>
    <x v="380"/>
    <x v="3"/>
    <x v="3"/>
    <x v="380"/>
    <x v="380"/>
    <x v="380"/>
    <x v="379"/>
    <x v="380"/>
    <x v="380"/>
    <x v="0"/>
    <x v="0"/>
    <x v="2"/>
    <x v="2"/>
    <x v="5"/>
    <x v="0"/>
    <x v="0"/>
  </r>
  <r>
    <x v="381"/>
    <x v="347"/>
    <x v="278"/>
    <x v="352"/>
    <x v="288"/>
    <x v="373"/>
    <x v="3"/>
    <x v="3"/>
    <x v="3"/>
    <x v="3"/>
    <x v="4"/>
    <x v="0"/>
    <x v="18"/>
    <x v="18"/>
    <x v="19"/>
    <x v="19"/>
    <x v="0"/>
    <x v="0"/>
    <x v="9"/>
    <x v="9"/>
    <x v="380"/>
    <x v="380"/>
    <x v="3"/>
    <x v="3"/>
    <x v="5"/>
    <x v="2"/>
    <x v="381"/>
    <x v="5"/>
    <x v="5"/>
    <x v="381"/>
    <x v="381"/>
    <x v="381"/>
    <x v="380"/>
    <x v="381"/>
    <x v="381"/>
    <x v="3"/>
    <x v="3"/>
    <x v="1"/>
    <x v="1"/>
    <x v="7"/>
    <x v="1"/>
    <x v="0"/>
  </r>
  <r>
    <x v="382"/>
    <x v="348"/>
    <x v="279"/>
    <x v="90"/>
    <x v="84"/>
    <x v="23"/>
    <x v="3"/>
    <x v="3"/>
    <x v="1"/>
    <x v="1"/>
    <x v="1"/>
    <x v="1"/>
    <x v="9"/>
    <x v="9"/>
    <x v="10"/>
    <x v="10"/>
    <x v="2"/>
    <x v="2"/>
    <x v="11"/>
    <x v="11"/>
    <x v="381"/>
    <x v="381"/>
    <x v="2"/>
    <x v="2"/>
    <x v="5"/>
    <x v="1"/>
    <x v="382"/>
    <x v="0"/>
    <x v="0"/>
    <x v="382"/>
    <x v="382"/>
    <x v="382"/>
    <x v="381"/>
    <x v="382"/>
    <x v="382"/>
    <x v="0"/>
    <x v="0"/>
    <x v="0"/>
    <x v="0"/>
    <x v="11"/>
    <x v="1"/>
    <x v="0"/>
  </r>
  <r>
    <x v="383"/>
    <x v="349"/>
    <x v="189"/>
    <x v="193"/>
    <x v="172"/>
    <x v="374"/>
    <x v="5"/>
    <x v="5"/>
    <x v="2"/>
    <x v="2"/>
    <x v="1"/>
    <x v="1"/>
    <x v="6"/>
    <x v="6"/>
    <x v="6"/>
    <x v="6"/>
    <x v="0"/>
    <x v="0"/>
    <x v="2"/>
    <x v="2"/>
    <x v="382"/>
    <x v="382"/>
    <x v="2"/>
    <x v="2"/>
    <x v="2"/>
    <x v="7"/>
    <x v="383"/>
    <x v="1"/>
    <x v="1"/>
    <x v="383"/>
    <x v="383"/>
    <x v="383"/>
    <x v="382"/>
    <x v="383"/>
    <x v="383"/>
    <x v="0"/>
    <x v="0"/>
    <x v="1"/>
    <x v="1"/>
    <x v="2"/>
    <x v="1"/>
    <x v="0"/>
  </r>
  <r>
    <x v="384"/>
    <x v="350"/>
    <x v="151"/>
    <x v="353"/>
    <x v="289"/>
    <x v="375"/>
    <x v="12"/>
    <x v="12"/>
    <x v="0"/>
    <x v="0"/>
    <x v="1"/>
    <x v="1"/>
    <x v="15"/>
    <x v="15"/>
    <x v="16"/>
    <x v="16"/>
    <x v="2"/>
    <x v="2"/>
    <x v="6"/>
    <x v="6"/>
    <x v="383"/>
    <x v="383"/>
    <x v="3"/>
    <x v="3"/>
    <x v="1"/>
    <x v="7"/>
    <x v="384"/>
    <x v="3"/>
    <x v="3"/>
    <x v="384"/>
    <x v="384"/>
    <x v="384"/>
    <x v="383"/>
    <x v="384"/>
    <x v="384"/>
    <x v="0"/>
    <x v="0"/>
    <x v="2"/>
    <x v="2"/>
    <x v="11"/>
    <x v="0"/>
    <x v="0"/>
  </r>
  <r>
    <x v="385"/>
    <x v="172"/>
    <x v="154"/>
    <x v="354"/>
    <x v="102"/>
    <x v="376"/>
    <x v="3"/>
    <x v="3"/>
    <x v="0"/>
    <x v="0"/>
    <x v="4"/>
    <x v="0"/>
    <x v="16"/>
    <x v="16"/>
    <x v="17"/>
    <x v="17"/>
    <x v="0"/>
    <x v="0"/>
    <x v="7"/>
    <x v="7"/>
    <x v="384"/>
    <x v="384"/>
    <x v="3"/>
    <x v="3"/>
    <x v="0"/>
    <x v="3"/>
    <x v="385"/>
    <x v="8"/>
    <x v="6"/>
    <x v="385"/>
    <x v="385"/>
    <x v="385"/>
    <x v="384"/>
    <x v="385"/>
    <x v="385"/>
    <x v="0"/>
    <x v="0"/>
    <x v="0"/>
    <x v="0"/>
    <x v="2"/>
    <x v="1"/>
    <x v="0"/>
  </r>
  <r>
    <x v="386"/>
    <x v="351"/>
    <x v="280"/>
    <x v="355"/>
    <x v="290"/>
    <x v="377"/>
    <x v="11"/>
    <x v="11"/>
    <x v="0"/>
    <x v="0"/>
    <x v="3"/>
    <x v="3"/>
    <x v="3"/>
    <x v="3"/>
    <x v="3"/>
    <x v="3"/>
    <x v="1"/>
    <x v="1"/>
    <x v="3"/>
    <x v="3"/>
    <x v="385"/>
    <x v="385"/>
    <x v="0"/>
    <x v="0"/>
    <x v="7"/>
    <x v="0"/>
    <x v="386"/>
    <x v="8"/>
    <x v="6"/>
    <x v="386"/>
    <x v="386"/>
    <x v="386"/>
    <x v="385"/>
    <x v="386"/>
    <x v="386"/>
    <x v="0"/>
    <x v="0"/>
    <x v="0"/>
    <x v="0"/>
    <x v="6"/>
    <x v="1"/>
    <x v="0"/>
  </r>
  <r>
    <x v="387"/>
    <x v="352"/>
    <x v="281"/>
    <x v="356"/>
    <x v="29"/>
    <x v="378"/>
    <x v="8"/>
    <x v="8"/>
    <x v="1"/>
    <x v="1"/>
    <x v="3"/>
    <x v="3"/>
    <x v="4"/>
    <x v="4"/>
    <x v="4"/>
    <x v="4"/>
    <x v="1"/>
    <x v="1"/>
    <x v="4"/>
    <x v="4"/>
    <x v="386"/>
    <x v="386"/>
    <x v="3"/>
    <x v="3"/>
    <x v="4"/>
    <x v="8"/>
    <x v="387"/>
    <x v="1"/>
    <x v="1"/>
    <x v="387"/>
    <x v="387"/>
    <x v="387"/>
    <x v="386"/>
    <x v="387"/>
    <x v="387"/>
    <x v="2"/>
    <x v="2"/>
    <x v="1"/>
    <x v="1"/>
    <x v="1"/>
    <x v="1"/>
    <x v="0"/>
  </r>
  <r>
    <x v="388"/>
    <x v="353"/>
    <x v="282"/>
    <x v="357"/>
    <x v="291"/>
    <x v="379"/>
    <x v="2"/>
    <x v="2"/>
    <x v="1"/>
    <x v="1"/>
    <x v="3"/>
    <x v="3"/>
    <x v="12"/>
    <x v="12"/>
    <x v="13"/>
    <x v="13"/>
    <x v="1"/>
    <x v="1"/>
    <x v="4"/>
    <x v="4"/>
    <x v="387"/>
    <x v="387"/>
    <x v="3"/>
    <x v="3"/>
    <x v="1"/>
    <x v="1"/>
    <x v="388"/>
    <x v="1"/>
    <x v="1"/>
    <x v="388"/>
    <x v="388"/>
    <x v="388"/>
    <x v="387"/>
    <x v="388"/>
    <x v="388"/>
    <x v="0"/>
    <x v="0"/>
    <x v="0"/>
    <x v="0"/>
    <x v="4"/>
    <x v="0"/>
    <x v="0"/>
  </r>
  <r>
    <x v="389"/>
    <x v="354"/>
    <x v="232"/>
    <x v="49"/>
    <x v="47"/>
    <x v="380"/>
    <x v="13"/>
    <x v="13"/>
    <x v="2"/>
    <x v="2"/>
    <x v="3"/>
    <x v="3"/>
    <x v="12"/>
    <x v="12"/>
    <x v="13"/>
    <x v="13"/>
    <x v="2"/>
    <x v="2"/>
    <x v="12"/>
    <x v="12"/>
    <x v="388"/>
    <x v="388"/>
    <x v="0"/>
    <x v="0"/>
    <x v="9"/>
    <x v="8"/>
    <x v="389"/>
    <x v="0"/>
    <x v="0"/>
    <x v="389"/>
    <x v="389"/>
    <x v="389"/>
    <x v="388"/>
    <x v="389"/>
    <x v="389"/>
    <x v="2"/>
    <x v="2"/>
    <x v="1"/>
    <x v="1"/>
    <x v="5"/>
    <x v="0"/>
    <x v="0"/>
  </r>
  <r>
    <x v="390"/>
    <x v="355"/>
    <x v="236"/>
    <x v="76"/>
    <x v="70"/>
    <x v="381"/>
    <x v="2"/>
    <x v="2"/>
    <x v="0"/>
    <x v="0"/>
    <x v="3"/>
    <x v="3"/>
    <x v="12"/>
    <x v="12"/>
    <x v="13"/>
    <x v="13"/>
    <x v="1"/>
    <x v="1"/>
    <x v="3"/>
    <x v="3"/>
    <x v="389"/>
    <x v="389"/>
    <x v="3"/>
    <x v="3"/>
    <x v="1"/>
    <x v="2"/>
    <x v="390"/>
    <x v="0"/>
    <x v="0"/>
    <x v="390"/>
    <x v="390"/>
    <x v="390"/>
    <x v="389"/>
    <x v="390"/>
    <x v="390"/>
    <x v="0"/>
    <x v="0"/>
    <x v="0"/>
    <x v="0"/>
    <x v="3"/>
    <x v="0"/>
    <x v="0"/>
  </r>
  <r>
    <x v="391"/>
    <x v="356"/>
    <x v="283"/>
    <x v="358"/>
    <x v="290"/>
    <x v="382"/>
    <x v="13"/>
    <x v="13"/>
    <x v="0"/>
    <x v="0"/>
    <x v="2"/>
    <x v="2"/>
    <x v="11"/>
    <x v="11"/>
    <x v="12"/>
    <x v="12"/>
    <x v="0"/>
    <x v="0"/>
    <x v="8"/>
    <x v="8"/>
    <x v="390"/>
    <x v="390"/>
    <x v="2"/>
    <x v="2"/>
    <x v="6"/>
    <x v="5"/>
    <x v="391"/>
    <x v="1"/>
    <x v="1"/>
    <x v="391"/>
    <x v="391"/>
    <x v="391"/>
    <x v="390"/>
    <x v="391"/>
    <x v="391"/>
    <x v="0"/>
    <x v="0"/>
    <x v="0"/>
    <x v="0"/>
    <x v="6"/>
    <x v="1"/>
    <x v="0"/>
  </r>
  <r>
    <x v="392"/>
    <x v="357"/>
    <x v="284"/>
    <x v="359"/>
    <x v="225"/>
    <x v="383"/>
    <x v="7"/>
    <x v="7"/>
    <x v="1"/>
    <x v="1"/>
    <x v="2"/>
    <x v="2"/>
    <x v="13"/>
    <x v="13"/>
    <x v="14"/>
    <x v="14"/>
    <x v="1"/>
    <x v="1"/>
    <x v="3"/>
    <x v="3"/>
    <x v="391"/>
    <x v="391"/>
    <x v="1"/>
    <x v="1"/>
    <x v="4"/>
    <x v="6"/>
    <x v="392"/>
    <x v="1"/>
    <x v="1"/>
    <x v="392"/>
    <x v="392"/>
    <x v="392"/>
    <x v="391"/>
    <x v="392"/>
    <x v="392"/>
    <x v="0"/>
    <x v="0"/>
    <x v="0"/>
    <x v="0"/>
    <x v="6"/>
    <x v="0"/>
    <x v="0"/>
  </r>
  <r>
    <x v="393"/>
    <x v="358"/>
    <x v="199"/>
    <x v="360"/>
    <x v="292"/>
    <x v="384"/>
    <x v="1"/>
    <x v="1"/>
    <x v="2"/>
    <x v="2"/>
    <x v="4"/>
    <x v="0"/>
    <x v="8"/>
    <x v="8"/>
    <x v="9"/>
    <x v="9"/>
    <x v="0"/>
    <x v="0"/>
    <x v="7"/>
    <x v="7"/>
    <x v="392"/>
    <x v="392"/>
    <x v="1"/>
    <x v="1"/>
    <x v="0"/>
    <x v="7"/>
    <x v="393"/>
    <x v="5"/>
    <x v="5"/>
    <x v="393"/>
    <x v="393"/>
    <x v="393"/>
    <x v="392"/>
    <x v="393"/>
    <x v="393"/>
    <x v="0"/>
    <x v="0"/>
    <x v="0"/>
    <x v="0"/>
    <x v="1"/>
    <x v="0"/>
    <x v="0"/>
  </r>
  <r>
    <x v="394"/>
    <x v="359"/>
    <x v="285"/>
    <x v="361"/>
    <x v="293"/>
    <x v="385"/>
    <x v="15"/>
    <x v="14"/>
    <x v="0"/>
    <x v="0"/>
    <x v="3"/>
    <x v="3"/>
    <x v="3"/>
    <x v="3"/>
    <x v="3"/>
    <x v="3"/>
    <x v="1"/>
    <x v="1"/>
    <x v="3"/>
    <x v="3"/>
    <x v="393"/>
    <x v="393"/>
    <x v="2"/>
    <x v="2"/>
    <x v="3"/>
    <x v="4"/>
    <x v="394"/>
    <x v="1"/>
    <x v="1"/>
    <x v="394"/>
    <x v="394"/>
    <x v="394"/>
    <x v="393"/>
    <x v="394"/>
    <x v="394"/>
    <x v="0"/>
    <x v="0"/>
    <x v="0"/>
    <x v="0"/>
    <x v="5"/>
    <x v="0"/>
    <x v="0"/>
  </r>
  <r>
    <x v="395"/>
    <x v="360"/>
    <x v="286"/>
    <x v="325"/>
    <x v="89"/>
    <x v="386"/>
    <x v="9"/>
    <x v="9"/>
    <x v="3"/>
    <x v="3"/>
    <x v="2"/>
    <x v="2"/>
    <x v="17"/>
    <x v="17"/>
    <x v="18"/>
    <x v="18"/>
    <x v="1"/>
    <x v="1"/>
    <x v="1"/>
    <x v="1"/>
    <x v="394"/>
    <x v="394"/>
    <x v="1"/>
    <x v="1"/>
    <x v="3"/>
    <x v="4"/>
    <x v="395"/>
    <x v="5"/>
    <x v="5"/>
    <x v="395"/>
    <x v="395"/>
    <x v="395"/>
    <x v="394"/>
    <x v="395"/>
    <x v="395"/>
    <x v="0"/>
    <x v="0"/>
    <x v="0"/>
    <x v="0"/>
    <x v="2"/>
    <x v="0"/>
    <x v="0"/>
  </r>
  <r>
    <x v="396"/>
    <x v="361"/>
    <x v="287"/>
    <x v="362"/>
    <x v="294"/>
    <x v="387"/>
    <x v="7"/>
    <x v="7"/>
    <x v="1"/>
    <x v="1"/>
    <x v="2"/>
    <x v="2"/>
    <x v="11"/>
    <x v="11"/>
    <x v="12"/>
    <x v="12"/>
    <x v="2"/>
    <x v="2"/>
    <x v="12"/>
    <x v="12"/>
    <x v="395"/>
    <x v="395"/>
    <x v="3"/>
    <x v="3"/>
    <x v="9"/>
    <x v="7"/>
    <x v="396"/>
    <x v="5"/>
    <x v="5"/>
    <x v="396"/>
    <x v="396"/>
    <x v="396"/>
    <x v="395"/>
    <x v="396"/>
    <x v="396"/>
    <x v="0"/>
    <x v="0"/>
    <x v="0"/>
    <x v="0"/>
    <x v="5"/>
    <x v="1"/>
    <x v="0"/>
  </r>
  <r>
    <x v="397"/>
    <x v="362"/>
    <x v="288"/>
    <x v="363"/>
    <x v="197"/>
    <x v="388"/>
    <x v="11"/>
    <x v="11"/>
    <x v="1"/>
    <x v="1"/>
    <x v="4"/>
    <x v="0"/>
    <x v="8"/>
    <x v="8"/>
    <x v="9"/>
    <x v="9"/>
    <x v="1"/>
    <x v="1"/>
    <x v="1"/>
    <x v="1"/>
    <x v="396"/>
    <x v="396"/>
    <x v="0"/>
    <x v="0"/>
    <x v="3"/>
    <x v="7"/>
    <x v="397"/>
    <x v="1"/>
    <x v="1"/>
    <x v="397"/>
    <x v="397"/>
    <x v="397"/>
    <x v="396"/>
    <x v="397"/>
    <x v="397"/>
    <x v="0"/>
    <x v="0"/>
    <x v="0"/>
    <x v="0"/>
    <x v="2"/>
    <x v="1"/>
    <x v="0"/>
  </r>
  <r>
    <x v="398"/>
    <x v="363"/>
    <x v="43"/>
    <x v="364"/>
    <x v="295"/>
    <x v="389"/>
    <x v="5"/>
    <x v="5"/>
    <x v="10"/>
    <x v="2"/>
    <x v="4"/>
    <x v="0"/>
    <x v="7"/>
    <x v="7"/>
    <x v="8"/>
    <x v="8"/>
    <x v="2"/>
    <x v="2"/>
    <x v="12"/>
    <x v="12"/>
    <x v="397"/>
    <x v="397"/>
    <x v="1"/>
    <x v="1"/>
    <x v="2"/>
    <x v="7"/>
    <x v="398"/>
    <x v="0"/>
    <x v="0"/>
    <x v="398"/>
    <x v="398"/>
    <x v="398"/>
    <x v="397"/>
    <x v="398"/>
    <x v="398"/>
    <x v="0"/>
    <x v="0"/>
    <x v="0"/>
    <x v="0"/>
    <x v="0"/>
    <x v="0"/>
    <x v="0"/>
  </r>
  <r>
    <x v="399"/>
    <x v="364"/>
    <x v="289"/>
    <x v="365"/>
    <x v="296"/>
    <x v="390"/>
    <x v="13"/>
    <x v="13"/>
    <x v="1"/>
    <x v="1"/>
    <x v="2"/>
    <x v="2"/>
    <x v="5"/>
    <x v="5"/>
    <x v="5"/>
    <x v="5"/>
    <x v="0"/>
    <x v="0"/>
    <x v="0"/>
    <x v="0"/>
    <x v="398"/>
    <x v="398"/>
    <x v="1"/>
    <x v="1"/>
    <x v="1"/>
    <x v="5"/>
    <x v="399"/>
    <x v="3"/>
    <x v="3"/>
    <x v="399"/>
    <x v="399"/>
    <x v="399"/>
    <x v="398"/>
    <x v="399"/>
    <x v="399"/>
    <x v="0"/>
    <x v="0"/>
    <x v="0"/>
    <x v="0"/>
    <x v="5"/>
    <x v="1"/>
    <x v="0"/>
  </r>
  <r>
    <x v="400"/>
    <x v="365"/>
    <x v="290"/>
    <x v="366"/>
    <x v="297"/>
    <x v="391"/>
    <x v="11"/>
    <x v="11"/>
    <x v="1"/>
    <x v="1"/>
    <x v="4"/>
    <x v="0"/>
    <x v="8"/>
    <x v="8"/>
    <x v="9"/>
    <x v="9"/>
    <x v="0"/>
    <x v="0"/>
    <x v="0"/>
    <x v="0"/>
    <x v="399"/>
    <x v="399"/>
    <x v="1"/>
    <x v="1"/>
    <x v="1"/>
    <x v="4"/>
    <x v="400"/>
    <x v="18"/>
    <x v="1"/>
    <x v="400"/>
    <x v="400"/>
    <x v="400"/>
    <x v="399"/>
    <x v="400"/>
    <x v="400"/>
    <x v="0"/>
    <x v="0"/>
    <x v="0"/>
    <x v="0"/>
    <x v="2"/>
    <x v="1"/>
    <x v="1"/>
  </r>
  <r>
    <x v="401"/>
    <x v="366"/>
    <x v="291"/>
    <x v="367"/>
    <x v="298"/>
    <x v="392"/>
    <x v="3"/>
    <x v="3"/>
    <x v="1"/>
    <x v="1"/>
    <x v="1"/>
    <x v="1"/>
    <x v="15"/>
    <x v="15"/>
    <x v="16"/>
    <x v="16"/>
    <x v="1"/>
    <x v="1"/>
    <x v="1"/>
    <x v="1"/>
    <x v="400"/>
    <x v="400"/>
    <x v="1"/>
    <x v="1"/>
    <x v="2"/>
    <x v="1"/>
    <x v="401"/>
    <x v="1"/>
    <x v="1"/>
    <x v="401"/>
    <x v="401"/>
    <x v="401"/>
    <x v="400"/>
    <x v="401"/>
    <x v="401"/>
    <x v="0"/>
    <x v="0"/>
    <x v="0"/>
    <x v="0"/>
    <x v="11"/>
    <x v="1"/>
    <x v="0"/>
  </r>
  <r>
    <x v="402"/>
    <x v="367"/>
    <x v="292"/>
    <x v="368"/>
    <x v="299"/>
    <x v="393"/>
    <x v="8"/>
    <x v="8"/>
    <x v="1"/>
    <x v="1"/>
    <x v="2"/>
    <x v="2"/>
    <x v="11"/>
    <x v="11"/>
    <x v="12"/>
    <x v="12"/>
    <x v="1"/>
    <x v="1"/>
    <x v="1"/>
    <x v="1"/>
    <x v="401"/>
    <x v="401"/>
    <x v="4"/>
    <x v="4"/>
    <x v="6"/>
    <x v="1"/>
    <x v="402"/>
    <x v="1"/>
    <x v="1"/>
    <x v="402"/>
    <x v="402"/>
    <x v="402"/>
    <x v="401"/>
    <x v="402"/>
    <x v="402"/>
    <x v="0"/>
    <x v="0"/>
    <x v="0"/>
    <x v="0"/>
    <x v="11"/>
    <x v="0"/>
    <x v="0"/>
  </r>
  <r>
    <x v="403"/>
    <x v="368"/>
    <x v="150"/>
    <x v="369"/>
    <x v="300"/>
    <x v="394"/>
    <x v="3"/>
    <x v="3"/>
    <x v="1"/>
    <x v="1"/>
    <x v="2"/>
    <x v="2"/>
    <x v="13"/>
    <x v="13"/>
    <x v="14"/>
    <x v="14"/>
    <x v="0"/>
    <x v="0"/>
    <x v="0"/>
    <x v="0"/>
    <x v="402"/>
    <x v="402"/>
    <x v="1"/>
    <x v="1"/>
    <x v="5"/>
    <x v="8"/>
    <x v="403"/>
    <x v="5"/>
    <x v="5"/>
    <x v="403"/>
    <x v="403"/>
    <x v="403"/>
    <x v="402"/>
    <x v="403"/>
    <x v="403"/>
    <x v="0"/>
    <x v="0"/>
    <x v="2"/>
    <x v="2"/>
    <x v="7"/>
    <x v="0"/>
    <x v="0"/>
  </r>
  <r>
    <x v="404"/>
    <x v="369"/>
    <x v="116"/>
    <x v="370"/>
    <x v="154"/>
    <x v="395"/>
    <x v="7"/>
    <x v="7"/>
    <x v="2"/>
    <x v="2"/>
    <x v="3"/>
    <x v="3"/>
    <x v="0"/>
    <x v="0"/>
    <x v="7"/>
    <x v="7"/>
    <x v="1"/>
    <x v="1"/>
    <x v="4"/>
    <x v="4"/>
    <x v="403"/>
    <x v="403"/>
    <x v="1"/>
    <x v="1"/>
    <x v="2"/>
    <x v="1"/>
    <x v="404"/>
    <x v="1"/>
    <x v="1"/>
    <x v="404"/>
    <x v="404"/>
    <x v="404"/>
    <x v="403"/>
    <x v="404"/>
    <x v="404"/>
    <x v="0"/>
    <x v="0"/>
    <x v="4"/>
    <x v="0"/>
    <x v="10"/>
    <x v="0"/>
    <x v="0"/>
  </r>
  <r>
    <x v="405"/>
    <x v="370"/>
    <x v="293"/>
    <x v="371"/>
    <x v="301"/>
    <x v="396"/>
    <x v="7"/>
    <x v="7"/>
    <x v="3"/>
    <x v="3"/>
    <x v="3"/>
    <x v="3"/>
    <x v="12"/>
    <x v="12"/>
    <x v="13"/>
    <x v="13"/>
    <x v="1"/>
    <x v="1"/>
    <x v="10"/>
    <x v="10"/>
    <x v="404"/>
    <x v="404"/>
    <x v="4"/>
    <x v="4"/>
    <x v="3"/>
    <x v="4"/>
    <x v="405"/>
    <x v="8"/>
    <x v="6"/>
    <x v="405"/>
    <x v="405"/>
    <x v="405"/>
    <x v="404"/>
    <x v="405"/>
    <x v="405"/>
    <x v="0"/>
    <x v="0"/>
    <x v="0"/>
    <x v="0"/>
    <x v="7"/>
    <x v="0"/>
    <x v="0"/>
  </r>
  <r>
    <x v="406"/>
    <x v="371"/>
    <x v="294"/>
    <x v="372"/>
    <x v="151"/>
    <x v="397"/>
    <x v="15"/>
    <x v="14"/>
    <x v="1"/>
    <x v="1"/>
    <x v="3"/>
    <x v="3"/>
    <x v="14"/>
    <x v="14"/>
    <x v="15"/>
    <x v="15"/>
    <x v="1"/>
    <x v="1"/>
    <x v="3"/>
    <x v="3"/>
    <x v="405"/>
    <x v="405"/>
    <x v="3"/>
    <x v="3"/>
    <x v="6"/>
    <x v="7"/>
    <x v="406"/>
    <x v="3"/>
    <x v="3"/>
    <x v="406"/>
    <x v="406"/>
    <x v="406"/>
    <x v="405"/>
    <x v="406"/>
    <x v="406"/>
    <x v="2"/>
    <x v="2"/>
    <x v="2"/>
    <x v="2"/>
    <x v="6"/>
    <x v="1"/>
    <x v="0"/>
  </r>
  <r>
    <x v="407"/>
    <x v="372"/>
    <x v="267"/>
    <x v="373"/>
    <x v="302"/>
    <x v="398"/>
    <x v="9"/>
    <x v="9"/>
    <x v="2"/>
    <x v="2"/>
    <x v="3"/>
    <x v="3"/>
    <x v="14"/>
    <x v="14"/>
    <x v="15"/>
    <x v="15"/>
    <x v="0"/>
    <x v="0"/>
    <x v="7"/>
    <x v="7"/>
    <x v="406"/>
    <x v="406"/>
    <x v="0"/>
    <x v="0"/>
    <x v="3"/>
    <x v="1"/>
    <x v="407"/>
    <x v="1"/>
    <x v="1"/>
    <x v="407"/>
    <x v="407"/>
    <x v="407"/>
    <x v="406"/>
    <x v="407"/>
    <x v="407"/>
    <x v="0"/>
    <x v="0"/>
    <x v="0"/>
    <x v="0"/>
    <x v="4"/>
    <x v="0"/>
    <x v="0"/>
  </r>
  <r>
    <x v="408"/>
    <x v="231"/>
    <x v="203"/>
    <x v="194"/>
    <x v="173"/>
    <x v="399"/>
    <x v="11"/>
    <x v="11"/>
    <x v="0"/>
    <x v="0"/>
    <x v="3"/>
    <x v="3"/>
    <x v="3"/>
    <x v="3"/>
    <x v="3"/>
    <x v="3"/>
    <x v="1"/>
    <x v="1"/>
    <x v="4"/>
    <x v="4"/>
    <x v="407"/>
    <x v="407"/>
    <x v="2"/>
    <x v="2"/>
    <x v="7"/>
    <x v="2"/>
    <x v="408"/>
    <x v="1"/>
    <x v="1"/>
    <x v="408"/>
    <x v="408"/>
    <x v="408"/>
    <x v="407"/>
    <x v="408"/>
    <x v="408"/>
    <x v="3"/>
    <x v="3"/>
    <x v="2"/>
    <x v="2"/>
    <x v="1"/>
    <x v="1"/>
    <x v="0"/>
  </r>
  <r>
    <x v="409"/>
    <x v="373"/>
    <x v="223"/>
    <x v="134"/>
    <x v="123"/>
    <x v="400"/>
    <x v="0"/>
    <x v="0"/>
    <x v="0"/>
    <x v="0"/>
    <x v="1"/>
    <x v="1"/>
    <x v="10"/>
    <x v="10"/>
    <x v="11"/>
    <x v="11"/>
    <x v="2"/>
    <x v="2"/>
    <x v="5"/>
    <x v="5"/>
    <x v="408"/>
    <x v="408"/>
    <x v="1"/>
    <x v="1"/>
    <x v="7"/>
    <x v="5"/>
    <x v="409"/>
    <x v="3"/>
    <x v="3"/>
    <x v="409"/>
    <x v="409"/>
    <x v="409"/>
    <x v="408"/>
    <x v="409"/>
    <x v="409"/>
    <x v="1"/>
    <x v="1"/>
    <x v="2"/>
    <x v="2"/>
    <x v="6"/>
    <x v="1"/>
    <x v="0"/>
  </r>
  <r>
    <x v="410"/>
    <x v="374"/>
    <x v="295"/>
    <x v="374"/>
    <x v="303"/>
    <x v="401"/>
    <x v="13"/>
    <x v="13"/>
    <x v="0"/>
    <x v="0"/>
    <x v="3"/>
    <x v="3"/>
    <x v="14"/>
    <x v="14"/>
    <x v="15"/>
    <x v="15"/>
    <x v="1"/>
    <x v="1"/>
    <x v="1"/>
    <x v="1"/>
    <x v="409"/>
    <x v="409"/>
    <x v="2"/>
    <x v="2"/>
    <x v="9"/>
    <x v="6"/>
    <x v="410"/>
    <x v="0"/>
    <x v="0"/>
    <x v="410"/>
    <x v="410"/>
    <x v="410"/>
    <x v="409"/>
    <x v="410"/>
    <x v="410"/>
    <x v="0"/>
    <x v="0"/>
    <x v="0"/>
    <x v="0"/>
    <x v="5"/>
    <x v="0"/>
    <x v="0"/>
  </r>
  <r>
    <x v="411"/>
    <x v="375"/>
    <x v="102"/>
    <x v="375"/>
    <x v="304"/>
    <x v="402"/>
    <x v="3"/>
    <x v="3"/>
    <x v="3"/>
    <x v="3"/>
    <x v="3"/>
    <x v="3"/>
    <x v="0"/>
    <x v="0"/>
    <x v="7"/>
    <x v="7"/>
    <x v="1"/>
    <x v="1"/>
    <x v="1"/>
    <x v="1"/>
    <x v="410"/>
    <x v="410"/>
    <x v="2"/>
    <x v="2"/>
    <x v="1"/>
    <x v="5"/>
    <x v="411"/>
    <x v="0"/>
    <x v="0"/>
    <x v="411"/>
    <x v="411"/>
    <x v="411"/>
    <x v="410"/>
    <x v="411"/>
    <x v="411"/>
    <x v="3"/>
    <x v="3"/>
    <x v="2"/>
    <x v="2"/>
    <x v="1"/>
    <x v="1"/>
    <x v="0"/>
  </r>
  <r>
    <x v="412"/>
    <x v="376"/>
    <x v="165"/>
    <x v="147"/>
    <x v="134"/>
    <x v="403"/>
    <x v="2"/>
    <x v="2"/>
    <x v="2"/>
    <x v="2"/>
    <x v="2"/>
    <x v="2"/>
    <x v="11"/>
    <x v="11"/>
    <x v="12"/>
    <x v="12"/>
    <x v="1"/>
    <x v="1"/>
    <x v="4"/>
    <x v="4"/>
    <x v="411"/>
    <x v="411"/>
    <x v="1"/>
    <x v="1"/>
    <x v="9"/>
    <x v="5"/>
    <x v="412"/>
    <x v="3"/>
    <x v="3"/>
    <x v="412"/>
    <x v="412"/>
    <x v="412"/>
    <x v="411"/>
    <x v="412"/>
    <x v="412"/>
    <x v="0"/>
    <x v="0"/>
    <x v="0"/>
    <x v="0"/>
    <x v="10"/>
    <x v="0"/>
    <x v="0"/>
  </r>
  <r>
    <x v="413"/>
    <x v="377"/>
    <x v="27"/>
    <x v="376"/>
    <x v="222"/>
    <x v="404"/>
    <x v="6"/>
    <x v="6"/>
    <x v="3"/>
    <x v="3"/>
    <x v="3"/>
    <x v="3"/>
    <x v="4"/>
    <x v="4"/>
    <x v="4"/>
    <x v="4"/>
    <x v="2"/>
    <x v="2"/>
    <x v="5"/>
    <x v="5"/>
    <x v="412"/>
    <x v="412"/>
    <x v="0"/>
    <x v="0"/>
    <x v="5"/>
    <x v="0"/>
    <x v="413"/>
    <x v="1"/>
    <x v="1"/>
    <x v="413"/>
    <x v="413"/>
    <x v="413"/>
    <x v="412"/>
    <x v="413"/>
    <x v="413"/>
    <x v="2"/>
    <x v="2"/>
    <x v="1"/>
    <x v="1"/>
    <x v="1"/>
    <x v="1"/>
    <x v="0"/>
  </r>
  <r>
    <x v="414"/>
    <x v="378"/>
    <x v="296"/>
    <x v="377"/>
    <x v="305"/>
    <x v="405"/>
    <x v="3"/>
    <x v="3"/>
    <x v="3"/>
    <x v="3"/>
    <x v="1"/>
    <x v="1"/>
    <x v="10"/>
    <x v="10"/>
    <x v="11"/>
    <x v="11"/>
    <x v="0"/>
    <x v="0"/>
    <x v="8"/>
    <x v="8"/>
    <x v="413"/>
    <x v="413"/>
    <x v="2"/>
    <x v="2"/>
    <x v="3"/>
    <x v="2"/>
    <x v="414"/>
    <x v="5"/>
    <x v="5"/>
    <x v="414"/>
    <x v="414"/>
    <x v="414"/>
    <x v="413"/>
    <x v="414"/>
    <x v="414"/>
    <x v="0"/>
    <x v="0"/>
    <x v="0"/>
    <x v="0"/>
    <x v="1"/>
    <x v="0"/>
    <x v="0"/>
  </r>
  <r>
    <x v="415"/>
    <x v="379"/>
    <x v="60"/>
    <x v="378"/>
    <x v="306"/>
    <x v="406"/>
    <x v="10"/>
    <x v="10"/>
    <x v="2"/>
    <x v="2"/>
    <x v="2"/>
    <x v="2"/>
    <x v="11"/>
    <x v="11"/>
    <x v="12"/>
    <x v="12"/>
    <x v="0"/>
    <x v="0"/>
    <x v="8"/>
    <x v="8"/>
    <x v="414"/>
    <x v="414"/>
    <x v="1"/>
    <x v="1"/>
    <x v="7"/>
    <x v="4"/>
    <x v="415"/>
    <x v="4"/>
    <x v="4"/>
    <x v="415"/>
    <x v="415"/>
    <x v="415"/>
    <x v="414"/>
    <x v="415"/>
    <x v="415"/>
    <x v="0"/>
    <x v="0"/>
    <x v="2"/>
    <x v="2"/>
    <x v="10"/>
    <x v="0"/>
    <x v="0"/>
  </r>
  <r>
    <x v="416"/>
    <x v="380"/>
    <x v="297"/>
    <x v="379"/>
    <x v="307"/>
    <x v="407"/>
    <x v="6"/>
    <x v="6"/>
    <x v="0"/>
    <x v="0"/>
    <x v="2"/>
    <x v="2"/>
    <x v="2"/>
    <x v="2"/>
    <x v="2"/>
    <x v="2"/>
    <x v="5"/>
    <x v="1"/>
    <x v="3"/>
    <x v="3"/>
    <x v="415"/>
    <x v="415"/>
    <x v="2"/>
    <x v="2"/>
    <x v="9"/>
    <x v="0"/>
    <x v="416"/>
    <x v="3"/>
    <x v="3"/>
    <x v="416"/>
    <x v="416"/>
    <x v="416"/>
    <x v="415"/>
    <x v="416"/>
    <x v="416"/>
    <x v="0"/>
    <x v="0"/>
    <x v="0"/>
    <x v="0"/>
    <x v="10"/>
    <x v="1"/>
    <x v="0"/>
  </r>
  <r>
    <x v="417"/>
    <x v="381"/>
    <x v="298"/>
    <x v="380"/>
    <x v="33"/>
    <x v="408"/>
    <x v="1"/>
    <x v="1"/>
    <x v="0"/>
    <x v="0"/>
    <x v="3"/>
    <x v="3"/>
    <x v="12"/>
    <x v="12"/>
    <x v="13"/>
    <x v="13"/>
    <x v="0"/>
    <x v="0"/>
    <x v="2"/>
    <x v="2"/>
    <x v="416"/>
    <x v="416"/>
    <x v="2"/>
    <x v="2"/>
    <x v="2"/>
    <x v="3"/>
    <x v="417"/>
    <x v="0"/>
    <x v="0"/>
    <x v="417"/>
    <x v="417"/>
    <x v="417"/>
    <x v="416"/>
    <x v="417"/>
    <x v="417"/>
    <x v="0"/>
    <x v="0"/>
    <x v="0"/>
    <x v="0"/>
    <x v="10"/>
    <x v="1"/>
    <x v="0"/>
  </r>
  <r>
    <x v="418"/>
    <x v="382"/>
    <x v="299"/>
    <x v="381"/>
    <x v="308"/>
    <x v="409"/>
    <x v="11"/>
    <x v="11"/>
    <x v="2"/>
    <x v="2"/>
    <x v="1"/>
    <x v="1"/>
    <x v="1"/>
    <x v="1"/>
    <x v="1"/>
    <x v="1"/>
    <x v="2"/>
    <x v="2"/>
    <x v="6"/>
    <x v="6"/>
    <x v="417"/>
    <x v="417"/>
    <x v="3"/>
    <x v="3"/>
    <x v="9"/>
    <x v="3"/>
    <x v="418"/>
    <x v="1"/>
    <x v="1"/>
    <x v="418"/>
    <x v="418"/>
    <x v="418"/>
    <x v="417"/>
    <x v="418"/>
    <x v="418"/>
    <x v="3"/>
    <x v="3"/>
    <x v="1"/>
    <x v="1"/>
    <x v="3"/>
    <x v="0"/>
    <x v="0"/>
  </r>
  <r>
    <x v="419"/>
    <x v="383"/>
    <x v="300"/>
    <x v="382"/>
    <x v="309"/>
    <x v="410"/>
    <x v="11"/>
    <x v="11"/>
    <x v="3"/>
    <x v="3"/>
    <x v="4"/>
    <x v="0"/>
    <x v="16"/>
    <x v="16"/>
    <x v="17"/>
    <x v="17"/>
    <x v="2"/>
    <x v="2"/>
    <x v="11"/>
    <x v="11"/>
    <x v="418"/>
    <x v="418"/>
    <x v="1"/>
    <x v="1"/>
    <x v="5"/>
    <x v="7"/>
    <x v="419"/>
    <x v="5"/>
    <x v="5"/>
    <x v="419"/>
    <x v="419"/>
    <x v="419"/>
    <x v="418"/>
    <x v="419"/>
    <x v="419"/>
    <x v="0"/>
    <x v="0"/>
    <x v="0"/>
    <x v="0"/>
    <x v="7"/>
    <x v="1"/>
    <x v="0"/>
  </r>
  <r>
    <x v="420"/>
    <x v="165"/>
    <x v="148"/>
    <x v="383"/>
    <x v="310"/>
    <x v="411"/>
    <x v="2"/>
    <x v="2"/>
    <x v="2"/>
    <x v="2"/>
    <x v="2"/>
    <x v="2"/>
    <x v="17"/>
    <x v="17"/>
    <x v="18"/>
    <x v="18"/>
    <x v="2"/>
    <x v="2"/>
    <x v="12"/>
    <x v="12"/>
    <x v="419"/>
    <x v="419"/>
    <x v="3"/>
    <x v="3"/>
    <x v="3"/>
    <x v="7"/>
    <x v="420"/>
    <x v="3"/>
    <x v="3"/>
    <x v="420"/>
    <x v="420"/>
    <x v="420"/>
    <x v="419"/>
    <x v="420"/>
    <x v="420"/>
    <x v="2"/>
    <x v="2"/>
    <x v="1"/>
    <x v="1"/>
    <x v="11"/>
    <x v="1"/>
    <x v="0"/>
  </r>
  <r>
    <x v="421"/>
    <x v="384"/>
    <x v="301"/>
    <x v="384"/>
    <x v="31"/>
    <x v="412"/>
    <x v="12"/>
    <x v="12"/>
    <x v="1"/>
    <x v="1"/>
    <x v="4"/>
    <x v="0"/>
    <x v="18"/>
    <x v="18"/>
    <x v="19"/>
    <x v="19"/>
    <x v="0"/>
    <x v="0"/>
    <x v="9"/>
    <x v="9"/>
    <x v="420"/>
    <x v="420"/>
    <x v="1"/>
    <x v="1"/>
    <x v="1"/>
    <x v="1"/>
    <x v="421"/>
    <x v="0"/>
    <x v="0"/>
    <x v="421"/>
    <x v="421"/>
    <x v="421"/>
    <x v="420"/>
    <x v="421"/>
    <x v="421"/>
    <x v="2"/>
    <x v="2"/>
    <x v="2"/>
    <x v="2"/>
    <x v="2"/>
    <x v="1"/>
    <x v="0"/>
  </r>
  <r>
    <x v="422"/>
    <x v="385"/>
    <x v="302"/>
    <x v="385"/>
    <x v="311"/>
    <x v="413"/>
    <x v="15"/>
    <x v="14"/>
    <x v="0"/>
    <x v="0"/>
    <x v="3"/>
    <x v="3"/>
    <x v="4"/>
    <x v="4"/>
    <x v="4"/>
    <x v="4"/>
    <x v="2"/>
    <x v="2"/>
    <x v="6"/>
    <x v="6"/>
    <x v="421"/>
    <x v="421"/>
    <x v="1"/>
    <x v="1"/>
    <x v="4"/>
    <x v="4"/>
    <x v="422"/>
    <x v="4"/>
    <x v="4"/>
    <x v="422"/>
    <x v="422"/>
    <x v="422"/>
    <x v="421"/>
    <x v="422"/>
    <x v="422"/>
    <x v="0"/>
    <x v="0"/>
    <x v="0"/>
    <x v="0"/>
    <x v="7"/>
    <x v="1"/>
    <x v="0"/>
  </r>
  <r>
    <x v="423"/>
    <x v="386"/>
    <x v="99"/>
    <x v="386"/>
    <x v="209"/>
    <x v="414"/>
    <x v="13"/>
    <x v="13"/>
    <x v="0"/>
    <x v="0"/>
    <x v="2"/>
    <x v="2"/>
    <x v="13"/>
    <x v="13"/>
    <x v="14"/>
    <x v="14"/>
    <x v="2"/>
    <x v="2"/>
    <x v="5"/>
    <x v="5"/>
    <x v="422"/>
    <x v="422"/>
    <x v="2"/>
    <x v="2"/>
    <x v="2"/>
    <x v="6"/>
    <x v="423"/>
    <x v="0"/>
    <x v="0"/>
    <x v="423"/>
    <x v="423"/>
    <x v="423"/>
    <x v="422"/>
    <x v="423"/>
    <x v="423"/>
    <x v="0"/>
    <x v="0"/>
    <x v="0"/>
    <x v="0"/>
    <x v="6"/>
    <x v="0"/>
    <x v="0"/>
  </r>
  <r>
    <x v="424"/>
    <x v="387"/>
    <x v="303"/>
    <x v="387"/>
    <x v="97"/>
    <x v="415"/>
    <x v="6"/>
    <x v="6"/>
    <x v="2"/>
    <x v="2"/>
    <x v="4"/>
    <x v="0"/>
    <x v="7"/>
    <x v="7"/>
    <x v="8"/>
    <x v="8"/>
    <x v="2"/>
    <x v="2"/>
    <x v="11"/>
    <x v="11"/>
    <x v="423"/>
    <x v="423"/>
    <x v="3"/>
    <x v="3"/>
    <x v="4"/>
    <x v="0"/>
    <x v="424"/>
    <x v="1"/>
    <x v="1"/>
    <x v="424"/>
    <x v="424"/>
    <x v="424"/>
    <x v="423"/>
    <x v="424"/>
    <x v="424"/>
    <x v="0"/>
    <x v="0"/>
    <x v="0"/>
    <x v="0"/>
    <x v="2"/>
    <x v="0"/>
    <x v="0"/>
  </r>
  <r>
    <x v="425"/>
    <x v="388"/>
    <x v="304"/>
    <x v="388"/>
    <x v="312"/>
    <x v="416"/>
    <x v="2"/>
    <x v="2"/>
    <x v="3"/>
    <x v="3"/>
    <x v="4"/>
    <x v="0"/>
    <x v="18"/>
    <x v="18"/>
    <x v="19"/>
    <x v="19"/>
    <x v="0"/>
    <x v="0"/>
    <x v="7"/>
    <x v="7"/>
    <x v="424"/>
    <x v="424"/>
    <x v="2"/>
    <x v="2"/>
    <x v="3"/>
    <x v="7"/>
    <x v="425"/>
    <x v="8"/>
    <x v="6"/>
    <x v="425"/>
    <x v="425"/>
    <x v="425"/>
    <x v="424"/>
    <x v="425"/>
    <x v="425"/>
    <x v="1"/>
    <x v="1"/>
    <x v="1"/>
    <x v="1"/>
    <x v="7"/>
    <x v="0"/>
    <x v="0"/>
  </r>
  <r>
    <x v="426"/>
    <x v="389"/>
    <x v="305"/>
    <x v="389"/>
    <x v="80"/>
    <x v="417"/>
    <x v="7"/>
    <x v="7"/>
    <x v="0"/>
    <x v="0"/>
    <x v="4"/>
    <x v="0"/>
    <x v="16"/>
    <x v="16"/>
    <x v="17"/>
    <x v="17"/>
    <x v="2"/>
    <x v="2"/>
    <x v="6"/>
    <x v="6"/>
    <x v="425"/>
    <x v="425"/>
    <x v="1"/>
    <x v="1"/>
    <x v="3"/>
    <x v="0"/>
    <x v="426"/>
    <x v="8"/>
    <x v="6"/>
    <x v="426"/>
    <x v="426"/>
    <x v="426"/>
    <x v="425"/>
    <x v="426"/>
    <x v="426"/>
    <x v="0"/>
    <x v="0"/>
    <x v="0"/>
    <x v="0"/>
    <x v="2"/>
    <x v="0"/>
    <x v="0"/>
  </r>
  <r>
    <x v="427"/>
    <x v="390"/>
    <x v="306"/>
    <x v="390"/>
    <x v="313"/>
    <x v="418"/>
    <x v="2"/>
    <x v="2"/>
    <x v="2"/>
    <x v="2"/>
    <x v="5"/>
    <x v="4"/>
    <x v="15"/>
    <x v="15"/>
    <x v="16"/>
    <x v="16"/>
    <x v="2"/>
    <x v="2"/>
    <x v="5"/>
    <x v="5"/>
    <x v="426"/>
    <x v="426"/>
    <x v="3"/>
    <x v="3"/>
    <x v="7"/>
    <x v="6"/>
    <x v="427"/>
    <x v="1"/>
    <x v="1"/>
    <x v="427"/>
    <x v="427"/>
    <x v="427"/>
    <x v="426"/>
    <x v="427"/>
    <x v="427"/>
    <x v="0"/>
    <x v="0"/>
    <x v="0"/>
    <x v="0"/>
    <x v="5"/>
    <x v="1"/>
    <x v="0"/>
  </r>
  <r>
    <x v="428"/>
    <x v="391"/>
    <x v="307"/>
    <x v="391"/>
    <x v="314"/>
    <x v="419"/>
    <x v="0"/>
    <x v="0"/>
    <x v="1"/>
    <x v="1"/>
    <x v="1"/>
    <x v="1"/>
    <x v="6"/>
    <x v="6"/>
    <x v="6"/>
    <x v="6"/>
    <x v="2"/>
    <x v="2"/>
    <x v="11"/>
    <x v="11"/>
    <x v="427"/>
    <x v="427"/>
    <x v="1"/>
    <x v="1"/>
    <x v="2"/>
    <x v="7"/>
    <x v="428"/>
    <x v="3"/>
    <x v="3"/>
    <x v="428"/>
    <x v="428"/>
    <x v="428"/>
    <x v="427"/>
    <x v="428"/>
    <x v="428"/>
    <x v="2"/>
    <x v="2"/>
    <x v="1"/>
    <x v="1"/>
    <x v="11"/>
    <x v="1"/>
    <x v="0"/>
  </r>
  <r>
    <x v="429"/>
    <x v="392"/>
    <x v="308"/>
    <x v="392"/>
    <x v="84"/>
    <x v="420"/>
    <x v="6"/>
    <x v="6"/>
    <x v="3"/>
    <x v="3"/>
    <x v="4"/>
    <x v="0"/>
    <x v="0"/>
    <x v="0"/>
    <x v="0"/>
    <x v="0"/>
    <x v="2"/>
    <x v="2"/>
    <x v="6"/>
    <x v="6"/>
    <x v="428"/>
    <x v="428"/>
    <x v="1"/>
    <x v="1"/>
    <x v="2"/>
    <x v="0"/>
    <x v="429"/>
    <x v="3"/>
    <x v="3"/>
    <x v="429"/>
    <x v="429"/>
    <x v="429"/>
    <x v="428"/>
    <x v="429"/>
    <x v="429"/>
    <x v="0"/>
    <x v="0"/>
    <x v="0"/>
    <x v="0"/>
    <x v="11"/>
    <x v="1"/>
    <x v="0"/>
  </r>
  <r>
    <x v="430"/>
    <x v="393"/>
    <x v="309"/>
    <x v="393"/>
    <x v="315"/>
    <x v="421"/>
    <x v="6"/>
    <x v="6"/>
    <x v="1"/>
    <x v="1"/>
    <x v="4"/>
    <x v="0"/>
    <x v="16"/>
    <x v="16"/>
    <x v="17"/>
    <x v="17"/>
    <x v="7"/>
    <x v="0"/>
    <x v="0"/>
    <x v="0"/>
    <x v="429"/>
    <x v="429"/>
    <x v="0"/>
    <x v="0"/>
    <x v="4"/>
    <x v="5"/>
    <x v="430"/>
    <x v="4"/>
    <x v="4"/>
    <x v="430"/>
    <x v="430"/>
    <x v="430"/>
    <x v="429"/>
    <x v="430"/>
    <x v="430"/>
    <x v="0"/>
    <x v="0"/>
    <x v="0"/>
    <x v="0"/>
    <x v="1"/>
    <x v="0"/>
    <x v="0"/>
  </r>
  <r>
    <x v="431"/>
    <x v="394"/>
    <x v="310"/>
    <x v="394"/>
    <x v="316"/>
    <x v="422"/>
    <x v="0"/>
    <x v="0"/>
    <x v="3"/>
    <x v="3"/>
    <x v="3"/>
    <x v="3"/>
    <x v="14"/>
    <x v="14"/>
    <x v="15"/>
    <x v="15"/>
    <x v="2"/>
    <x v="2"/>
    <x v="12"/>
    <x v="12"/>
    <x v="430"/>
    <x v="430"/>
    <x v="1"/>
    <x v="1"/>
    <x v="4"/>
    <x v="7"/>
    <x v="431"/>
    <x v="3"/>
    <x v="3"/>
    <x v="431"/>
    <x v="431"/>
    <x v="431"/>
    <x v="430"/>
    <x v="431"/>
    <x v="431"/>
    <x v="0"/>
    <x v="0"/>
    <x v="0"/>
    <x v="0"/>
    <x v="6"/>
    <x v="0"/>
    <x v="0"/>
  </r>
  <r>
    <x v="432"/>
    <x v="395"/>
    <x v="296"/>
    <x v="393"/>
    <x v="315"/>
    <x v="423"/>
    <x v="8"/>
    <x v="8"/>
    <x v="1"/>
    <x v="1"/>
    <x v="3"/>
    <x v="3"/>
    <x v="3"/>
    <x v="3"/>
    <x v="3"/>
    <x v="3"/>
    <x v="1"/>
    <x v="1"/>
    <x v="10"/>
    <x v="10"/>
    <x v="431"/>
    <x v="431"/>
    <x v="3"/>
    <x v="3"/>
    <x v="5"/>
    <x v="3"/>
    <x v="432"/>
    <x v="5"/>
    <x v="5"/>
    <x v="432"/>
    <x v="432"/>
    <x v="432"/>
    <x v="431"/>
    <x v="432"/>
    <x v="432"/>
    <x v="0"/>
    <x v="0"/>
    <x v="0"/>
    <x v="0"/>
    <x v="1"/>
    <x v="0"/>
    <x v="0"/>
  </r>
  <r>
    <x v="433"/>
    <x v="396"/>
    <x v="311"/>
    <x v="395"/>
    <x v="303"/>
    <x v="424"/>
    <x v="8"/>
    <x v="8"/>
    <x v="2"/>
    <x v="2"/>
    <x v="2"/>
    <x v="2"/>
    <x v="13"/>
    <x v="13"/>
    <x v="14"/>
    <x v="14"/>
    <x v="0"/>
    <x v="0"/>
    <x v="2"/>
    <x v="2"/>
    <x v="432"/>
    <x v="432"/>
    <x v="0"/>
    <x v="0"/>
    <x v="3"/>
    <x v="2"/>
    <x v="433"/>
    <x v="1"/>
    <x v="1"/>
    <x v="433"/>
    <x v="433"/>
    <x v="433"/>
    <x v="432"/>
    <x v="433"/>
    <x v="433"/>
    <x v="1"/>
    <x v="1"/>
    <x v="2"/>
    <x v="2"/>
    <x v="5"/>
    <x v="0"/>
    <x v="0"/>
  </r>
  <r>
    <x v="434"/>
    <x v="397"/>
    <x v="126"/>
    <x v="396"/>
    <x v="186"/>
    <x v="425"/>
    <x v="1"/>
    <x v="1"/>
    <x v="3"/>
    <x v="3"/>
    <x v="4"/>
    <x v="0"/>
    <x v="8"/>
    <x v="8"/>
    <x v="9"/>
    <x v="9"/>
    <x v="2"/>
    <x v="2"/>
    <x v="5"/>
    <x v="5"/>
    <x v="433"/>
    <x v="433"/>
    <x v="0"/>
    <x v="0"/>
    <x v="5"/>
    <x v="8"/>
    <x v="434"/>
    <x v="1"/>
    <x v="1"/>
    <x v="434"/>
    <x v="434"/>
    <x v="434"/>
    <x v="433"/>
    <x v="434"/>
    <x v="434"/>
    <x v="0"/>
    <x v="0"/>
    <x v="0"/>
    <x v="0"/>
    <x v="5"/>
    <x v="1"/>
    <x v="0"/>
  </r>
  <r>
    <x v="435"/>
    <x v="398"/>
    <x v="312"/>
    <x v="397"/>
    <x v="317"/>
    <x v="426"/>
    <x v="15"/>
    <x v="14"/>
    <x v="3"/>
    <x v="3"/>
    <x v="4"/>
    <x v="0"/>
    <x v="18"/>
    <x v="18"/>
    <x v="19"/>
    <x v="19"/>
    <x v="2"/>
    <x v="2"/>
    <x v="12"/>
    <x v="12"/>
    <x v="434"/>
    <x v="434"/>
    <x v="3"/>
    <x v="3"/>
    <x v="9"/>
    <x v="5"/>
    <x v="435"/>
    <x v="4"/>
    <x v="4"/>
    <x v="435"/>
    <x v="435"/>
    <x v="435"/>
    <x v="434"/>
    <x v="435"/>
    <x v="435"/>
    <x v="0"/>
    <x v="0"/>
    <x v="1"/>
    <x v="1"/>
    <x v="5"/>
    <x v="1"/>
    <x v="0"/>
  </r>
  <r>
    <x v="436"/>
    <x v="399"/>
    <x v="313"/>
    <x v="398"/>
    <x v="280"/>
    <x v="427"/>
    <x v="6"/>
    <x v="6"/>
    <x v="0"/>
    <x v="0"/>
    <x v="2"/>
    <x v="2"/>
    <x v="13"/>
    <x v="13"/>
    <x v="14"/>
    <x v="14"/>
    <x v="1"/>
    <x v="1"/>
    <x v="3"/>
    <x v="3"/>
    <x v="435"/>
    <x v="435"/>
    <x v="1"/>
    <x v="1"/>
    <x v="1"/>
    <x v="3"/>
    <x v="436"/>
    <x v="5"/>
    <x v="5"/>
    <x v="436"/>
    <x v="436"/>
    <x v="436"/>
    <x v="435"/>
    <x v="436"/>
    <x v="436"/>
    <x v="0"/>
    <x v="0"/>
    <x v="2"/>
    <x v="2"/>
    <x v="2"/>
    <x v="0"/>
    <x v="0"/>
  </r>
  <r>
    <x v="437"/>
    <x v="400"/>
    <x v="109"/>
    <x v="399"/>
    <x v="251"/>
    <x v="428"/>
    <x v="7"/>
    <x v="7"/>
    <x v="1"/>
    <x v="1"/>
    <x v="2"/>
    <x v="2"/>
    <x v="13"/>
    <x v="13"/>
    <x v="14"/>
    <x v="14"/>
    <x v="2"/>
    <x v="2"/>
    <x v="13"/>
    <x v="5"/>
    <x v="436"/>
    <x v="436"/>
    <x v="1"/>
    <x v="1"/>
    <x v="4"/>
    <x v="0"/>
    <x v="437"/>
    <x v="5"/>
    <x v="5"/>
    <x v="437"/>
    <x v="437"/>
    <x v="437"/>
    <x v="436"/>
    <x v="437"/>
    <x v="437"/>
    <x v="3"/>
    <x v="3"/>
    <x v="2"/>
    <x v="2"/>
    <x v="6"/>
    <x v="0"/>
    <x v="0"/>
  </r>
  <r>
    <x v="438"/>
    <x v="401"/>
    <x v="314"/>
    <x v="400"/>
    <x v="318"/>
    <x v="429"/>
    <x v="6"/>
    <x v="6"/>
    <x v="2"/>
    <x v="2"/>
    <x v="1"/>
    <x v="1"/>
    <x v="15"/>
    <x v="15"/>
    <x v="16"/>
    <x v="16"/>
    <x v="2"/>
    <x v="2"/>
    <x v="11"/>
    <x v="11"/>
    <x v="437"/>
    <x v="437"/>
    <x v="3"/>
    <x v="3"/>
    <x v="12"/>
    <x v="5"/>
    <x v="438"/>
    <x v="0"/>
    <x v="0"/>
    <x v="438"/>
    <x v="438"/>
    <x v="438"/>
    <x v="437"/>
    <x v="438"/>
    <x v="438"/>
    <x v="0"/>
    <x v="0"/>
    <x v="0"/>
    <x v="0"/>
    <x v="4"/>
    <x v="1"/>
    <x v="2"/>
  </r>
  <r>
    <x v="439"/>
    <x v="402"/>
    <x v="315"/>
    <x v="401"/>
    <x v="52"/>
    <x v="430"/>
    <x v="10"/>
    <x v="10"/>
    <x v="3"/>
    <x v="3"/>
    <x v="3"/>
    <x v="3"/>
    <x v="14"/>
    <x v="14"/>
    <x v="15"/>
    <x v="15"/>
    <x v="0"/>
    <x v="0"/>
    <x v="8"/>
    <x v="8"/>
    <x v="438"/>
    <x v="438"/>
    <x v="1"/>
    <x v="1"/>
    <x v="4"/>
    <x v="8"/>
    <x v="439"/>
    <x v="1"/>
    <x v="1"/>
    <x v="439"/>
    <x v="439"/>
    <x v="439"/>
    <x v="438"/>
    <x v="439"/>
    <x v="439"/>
    <x v="1"/>
    <x v="1"/>
    <x v="2"/>
    <x v="2"/>
    <x v="2"/>
    <x v="1"/>
    <x v="0"/>
  </r>
  <r>
    <x v="440"/>
    <x v="403"/>
    <x v="155"/>
    <x v="402"/>
    <x v="319"/>
    <x v="54"/>
    <x v="5"/>
    <x v="5"/>
    <x v="2"/>
    <x v="2"/>
    <x v="1"/>
    <x v="1"/>
    <x v="1"/>
    <x v="1"/>
    <x v="1"/>
    <x v="1"/>
    <x v="2"/>
    <x v="2"/>
    <x v="12"/>
    <x v="12"/>
    <x v="439"/>
    <x v="439"/>
    <x v="0"/>
    <x v="0"/>
    <x v="0"/>
    <x v="3"/>
    <x v="440"/>
    <x v="0"/>
    <x v="0"/>
    <x v="440"/>
    <x v="440"/>
    <x v="440"/>
    <x v="439"/>
    <x v="440"/>
    <x v="440"/>
    <x v="0"/>
    <x v="0"/>
    <x v="0"/>
    <x v="0"/>
    <x v="5"/>
    <x v="0"/>
    <x v="0"/>
  </r>
  <r>
    <x v="441"/>
    <x v="404"/>
    <x v="316"/>
    <x v="84"/>
    <x v="78"/>
    <x v="431"/>
    <x v="0"/>
    <x v="0"/>
    <x v="0"/>
    <x v="0"/>
    <x v="1"/>
    <x v="1"/>
    <x v="9"/>
    <x v="9"/>
    <x v="10"/>
    <x v="10"/>
    <x v="1"/>
    <x v="1"/>
    <x v="10"/>
    <x v="10"/>
    <x v="440"/>
    <x v="440"/>
    <x v="3"/>
    <x v="3"/>
    <x v="6"/>
    <x v="3"/>
    <x v="441"/>
    <x v="1"/>
    <x v="1"/>
    <x v="441"/>
    <x v="441"/>
    <x v="441"/>
    <x v="440"/>
    <x v="441"/>
    <x v="441"/>
    <x v="0"/>
    <x v="0"/>
    <x v="1"/>
    <x v="1"/>
    <x v="9"/>
    <x v="0"/>
    <x v="0"/>
  </r>
  <r>
    <x v="442"/>
    <x v="405"/>
    <x v="183"/>
    <x v="403"/>
    <x v="320"/>
    <x v="432"/>
    <x v="10"/>
    <x v="10"/>
    <x v="0"/>
    <x v="0"/>
    <x v="1"/>
    <x v="1"/>
    <x v="15"/>
    <x v="15"/>
    <x v="16"/>
    <x v="16"/>
    <x v="1"/>
    <x v="1"/>
    <x v="1"/>
    <x v="1"/>
    <x v="441"/>
    <x v="441"/>
    <x v="2"/>
    <x v="2"/>
    <x v="2"/>
    <x v="5"/>
    <x v="442"/>
    <x v="1"/>
    <x v="1"/>
    <x v="442"/>
    <x v="442"/>
    <x v="442"/>
    <x v="441"/>
    <x v="442"/>
    <x v="442"/>
    <x v="0"/>
    <x v="0"/>
    <x v="0"/>
    <x v="0"/>
    <x v="10"/>
    <x v="1"/>
    <x v="0"/>
  </r>
  <r>
    <x v="443"/>
    <x v="406"/>
    <x v="317"/>
    <x v="404"/>
    <x v="321"/>
    <x v="433"/>
    <x v="12"/>
    <x v="12"/>
    <x v="3"/>
    <x v="3"/>
    <x v="1"/>
    <x v="1"/>
    <x v="1"/>
    <x v="1"/>
    <x v="1"/>
    <x v="1"/>
    <x v="1"/>
    <x v="1"/>
    <x v="3"/>
    <x v="3"/>
    <x v="442"/>
    <x v="442"/>
    <x v="2"/>
    <x v="2"/>
    <x v="4"/>
    <x v="5"/>
    <x v="443"/>
    <x v="8"/>
    <x v="6"/>
    <x v="443"/>
    <x v="443"/>
    <x v="443"/>
    <x v="442"/>
    <x v="443"/>
    <x v="443"/>
    <x v="0"/>
    <x v="0"/>
    <x v="0"/>
    <x v="0"/>
    <x v="5"/>
    <x v="0"/>
    <x v="0"/>
  </r>
  <r>
    <x v="444"/>
    <x v="407"/>
    <x v="318"/>
    <x v="405"/>
    <x v="322"/>
    <x v="434"/>
    <x v="4"/>
    <x v="4"/>
    <x v="0"/>
    <x v="0"/>
    <x v="1"/>
    <x v="1"/>
    <x v="10"/>
    <x v="10"/>
    <x v="11"/>
    <x v="11"/>
    <x v="2"/>
    <x v="2"/>
    <x v="5"/>
    <x v="5"/>
    <x v="443"/>
    <x v="443"/>
    <x v="1"/>
    <x v="1"/>
    <x v="5"/>
    <x v="6"/>
    <x v="444"/>
    <x v="5"/>
    <x v="5"/>
    <x v="444"/>
    <x v="444"/>
    <x v="444"/>
    <x v="443"/>
    <x v="444"/>
    <x v="444"/>
    <x v="0"/>
    <x v="0"/>
    <x v="0"/>
    <x v="0"/>
    <x v="1"/>
    <x v="1"/>
    <x v="0"/>
  </r>
  <r>
    <x v="445"/>
    <x v="408"/>
    <x v="319"/>
    <x v="406"/>
    <x v="323"/>
    <x v="435"/>
    <x v="3"/>
    <x v="3"/>
    <x v="0"/>
    <x v="0"/>
    <x v="1"/>
    <x v="1"/>
    <x v="10"/>
    <x v="10"/>
    <x v="11"/>
    <x v="11"/>
    <x v="1"/>
    <x v="1"/>
    <x v="10"/>
    <x v="10"/>
    <x v="444"/>
    <x v="444"/>
    <x v="1"/>
    <x v="1"/>
    <x v="10"/>
    <x v="7"/>
    <x v="445"/>
    <x v="0"/>
    <x v="0"/>
    <x v="445"/>
    <x v="445"/>
    <x v="445"/>
    <x v="444"/>
    <x v="445"/>
    <x v="445"/>
    <x v="0"/>
    <x v="0"/>
    <x v="0"/>
    <x v="0"/>
    <x v="4"/>
    <x v="0"/>
    <x v="2"/>
  </r>
  <r>
    <x v="446"/>
    <x v="409"/>
    <x v="320"/>
    <x v="407"/>
    <x v="324"/>
    <x v="436"/>
    <x v="11"/>
    <x v="11"/>
    <x v="3"/>
    <x v="3"/>
    <x v="2"/>
    <x v="2"/>
    <x v="5"/>
    <x v="5"/>
    <x v="5"/>
    <x v="5"/>
    <x v="0"/>
    <x v="0"/>
    <x v="8"/>
    <x v="8"/>
    <x v="445"/>
    <x v="445"/>
    <x v="1"/>
    <x v="1"/>
    <x v="3"/>
    <x v="0"/>
    <x v="446"/>
    <x v="1"/>
    <x v="1"/>
    <x v="446"/>
    <x v="446"/>
    <x v="446"/>
    <x v="445"/>
    <x v="446"/>
    <x v="446"/>
    <x v="0"/>
    <x v="0"/>
    <x v="0"/>
    <x v="0"/>
    <x v="7"/>
    <x v="1"/>
    <x v="0"/>
  </r>
  <r>
    <x v="447"/>
    <x v="352"/>
    <x v="281"/>
    <x v="408"/>
    <x v="152"/>
    <x v="437"/>
    <x v="12"/>
    <x v="12"/>
    <x v="3"/>
    <x v="3"/>
    <x v="2"/>
    <x v="2"/>
    <x v="2"/>
    <x v="2"/>
    <x v="2"/>
    <x v="2"/>
    <x v="1"/>
    <x v="1"/>
    <x v="10"/>
    <x v="10"/>
    <x v="446"/>
    <x v="446"/>
    <x v="3"/>
    <x v="3"/>
    <x v="6"/>
    <x v="3"/>
    <x v="447"/>
    <x v="4"/>
    <x v="4"/>
    <x v="447"/>
    <x v="447"/>
    <x v="447"/>
    <x v="446"/>
    <x v="447"/>
    <x v="447"/>
    <x v="2"/>
    <x v="2"/>
    <x v="2"/>
    <x v="2"/>
    <x v="1"/>
    <x v="1"/>
    <x v="0"/>
  </r>
  <r>
    <x v="448"/>
    <x v="410"/>
    <x v="321"/>
    <x v="409"/>
    <x v="325"/>
    <x v="438"/>
    <x v="1"/>
    <x v="1"/>
    <x v="1"/>
    <x v="1"/>
    <x v="2"/>
    <x v="2"/>
    <x v="5"/>
    <x v="5"/>
    <x v="5"/>
    <x v="5"/>
    <x v="1"/>
    <x v="1"/>
    <x v="4"/>
    <x v="4"/>
    <x v="447"/>
    <x v="447"/>
    <x v="2"/>
    <x v="2"/>
    <x v="4"/>
    <x v="7"/>
    <x v="448"/>
    <x v="4"/>
    <x v="4"/>
    <x v="448"/>
    <x v="448"/>
    <x v="448"/>
    <x v="447"/>
    <x v="448"/>
    <x v="448"/>
    <x v="0"/>
    <x v="0"/>
    <x v="0"/>
    <x v="0"/>
    <x v="10"/>
    <x v="0"/>
    <x v="0"/>
  </r>
  <r>
    <x v="449"/>
    <x v="411"/>
    <x v="286"/>
    <x v="410"/>
    <x v="326"/>
    <x v="404"/>
    <x v="7"/>
    <x v="7"/>
    <x v="2"/>
    <x v="2"/>
    <x v="1"/>
    <x v="1"/>
    <x v="10"/>
    <x v="10"/>
    <x v="11"/>
    <x v="11"/>
    <x v="2"/>
    <x v="2"/>
    <x v="12"/>
    <x v="12"/>
    <x v="448"/>
    <x v="448"/>
    <x v="0"/>
    <x v="0"/>
    <x v="2"/>
    <x v="3"/>
    <x v="449"/>
    <x v="1"/>
    <x v="1"/>
    <x v="449"/>
    <x v="449"/>
    <x v="449"/>
    <x v="448"/>
    <x v="449"/>
    <x v="449"/>
    <x v="0"/>
    <x v="0"/>
    <x v="0"/>
    <x v="0"/>
    <x v="2"/>
    <x v="0"/>
    <x v="0"/>
  </r>
  <r>
    <x v="450"/>
    <x v="412"/>
    <x v="322"/>
    <x v="293"/>
    <x v="31"/>
    <x v="439"/>
    <x v="4"/>
    <x v="4"/>
    <x v="2"/>
    <x v="2"/>
    <x v="4"/>
    <x v="0"/>
    <x v="18"/>
    <x v="18"/>
    <x v="19"/>
    <x v="19"/>
    <x v="1"/>
    <x v="1"/>
    <x v="4"/>
    <x v="4"/>
    <x v="449"/>
    <x v="449"/>
    <x v="3"/>
    <x v="3"/>
    <x v="2"/>
    <x v="6"/>
    <x v="450"/>
    <x v="3"/>
    <x v="3"/>
    <x v="450"/>
    <x v="450"/>
    <x v="450"/>
    <x v="449"/>
    <x v="450"/>
    <x v="450"/>
    <x v="0"/>
    <x v="0"/>
    <x v="0"/>
    <x v="0"/>
    <x v="2"/>
    <x v="1"/>
    <x v="0"/>
  </r>
  <r>
    <x v="451"/>
    <x v="413"/>
    <x v="83"/>
    <x v="411"/>
    <x v="129"/>
    <x v="440"/>
    <x v="12"/>
    <x v="12"/>
    <x v="1"/>
    <x v="1"/>
    <x v="4"/>
    <x v="0"/>
    <x v="16"/>
    <x v="16"/>
    <x v="17"/>
    <x v="17"/>
    <x v="0"/>
    <x v="0"/>
    <x v="0"/>
    <x v="0"/>
    <x v="450"/>
    <x v="450"/>
    <x v="0"/>
    <x v="0"/>
    <x v="7"/>
    <x v="0"/>
    <x v="451"/>
    <x v="4"/>
    <x v="4"/>
    <x v="451"/>
    <x v="451"/>
    <x v="451"/>
    <x v="450"/>
    <x v="451"/>
    <x v="451"/>
    <x v="0"/>
    <x v="0"/>
    <x v="1"/>
    <x v="1"/>
    <x v="11"/>
    <x v="0"/>
    <x v="0"/>
  </r>
  <r>
    <x v="452"/>
    <x v="414"/>
    <x v="323"/>
    <x v="412"/>
    <x v="327"/>
    <x v="441"/>
    <x v="13"/>
    <x v="13"/>
    <x v="3"/>
    <x v="3"/>
    <x v="1"/>
    <x v="1"/>
    <x v="15"/>
    <x v="15"/>
    <x v="16"/>
    <x v="16"/>
    <x v="2"/>
    <x v="2"/>
    <x v="5"/>
    <x v="5"/>
    <x v="451"/>
    <x v="451"/>
    <x v="0"/>
    <x v="0"/>
    <x v="0"/>
    <x v="3"/>
    <x v="452"/>
    <x v="0"/>
    <x v="0"/>
    <x v="452"/>
    <x v="452"/>
    <x v="452"/>
    <x v="451"/>
    <x v="452"/>
    <x v="452"/>
    <x v="0"/>
    <x v="0"/>
    <x v="0"/>
    <x v="0"/>
    <x v="4"/>
    <x v="0"/>
    <x v="0"/>
  </r>
  <r>
    <x v="453"/>
    <x v="415"/>
    <x v="217"/>
    <x v="413"/>
    <x v="328"/>
    <x v="442"/>
    <x v="12"/>
    <x v="12"/>
    <x v="5"/>
    <x v="1"/>
    <x v="3"/>
    <x v="3"/>
    <x v="4"/>
    <x v="4"/>
    <x v="4"/>
    <x v="4"/>
    <x v="0"/>
    <x v="0"/>
    <x v="7"/>
    <x v="7"/>
    <x v="452"/>
    <x v="452"/>
    <x v="1"/>
    <x v="1"/>
    <x v="9"/>
    <x v="8"/>
    <x v="453"/>
    <x v="1"/>
    <x v="1"/>
    <x v="453"/>
    <x v="453"/>
    <x v="453"/>
    <x v="452"/>
    <x v="453"/>
    <x v="453"/>
    <x v="0"/>
    <x v="0"/>
    <x v="0"/>
    <x v="0"/>
    <x v="4"/>
    <x v="1"/>
    <x v="0"/>
  </r>
  <r>
    <x v="454"/>
    <x v="416"/>
    <x v="324"/>
    <x v="414"/>
    <x v="174"/>
    <x v="443"/>
    <x v="5"/>
    <x v="5"/>
    <x v="1"/>
    <x v="1"/>
    <x v="4"/>
    <x v="0"/>
    <x v="0"/>
    <x v="0"/>
    <x v="0"/>
    <x v="0"/>
    <x v="1"/>
    <x v="1"/>
    <x v="3"/>
    <x v="3"/>
    <x v="453"/>
    <x v="453"/>
    <x v="3"/>
    <x v="3"/>
    <x v="1"/>
    <x v="6"/>
    <x v="454"/>
    <x v="4"/>
    <x v="4"/>
    <x v="454"/>
    <x v="454"/>
    <x v="454"/>
    <x v="453"/>
    <x v="454"/>
    <x v="454"/>
    <x v="0"/>
    <x v="0"/>
    <x v="0"/>
    <x v="0"/>
    <x v="11"/>
    <x v="1"/>
    <x v="0"/>
  </r>
  <r>
    <x v="455"/>
    <x v="417"/>
    <x v="325"/>
    <x v="415"/>
    <x v="248"/>
    <x v="444"/>
    <x v="6"/>
    <x v="6"/>
    <x v="1"/>
    <x v="1"/>
    <x v="2"/>
    <x v="2"/>
    <x v="2"/>
    <x v="2"/>
    <x v="2"/>
    <x v="2"/>
    <x v="0"/>
    <x v="0"/>
    <x v="2"/>
    <x v="2"/>
    <x v="454"/>
    <x v="454"/>
    <x v="3"/>
    <x v="3"/>
    <x v="5"/>
    <x v="2"/>
    <x v="455"/>
    <x v="1"/>
    <x v="1"/>
    <x v="455"/>
    <x v="455"/>
    <x v="455"/>
    <x v="454"/>
    <x v="455"/>
    <x v="455"/>
    <x v="0"/>
    <x v="0"/>
    <x v="0"/>
    <x v="0"/>
    <x v="0"/>
    <x v="0"/>
    <x v="0"/>
  </r>
  <r>
    <x v="456"/>
    <x v="386"/>
    <x v="99"/>
    <x v="416"/>
    <x v="329"/>
    <x v="445"/>
    <x v="6"/>
    <x v="6"/>
    <x v="2"/>
    <x v="2"/>
    <x v="4"/>
    <x v="0"/>
    <x v="8"/>
    <x v="8"/>
    <x v="9"/>
    <x v="9"/>
    <x v="2"/>
    <x v="2"/>
    <x v="5"/>
    <x v="5"/>
    <x v="455"/>
    <x v="455"/>
    <x v="1"/>
    <x v="1"/>
    <x v="6"/>
    <x v="8"/>
    <x v="456"/>
    <x v="4"/>
    <x v="4"/>
    <x v="456"/>
    <x v="456"/>
    <x v="456"/>
    <x v="455"/>
    <x v="456"/>
    <x v="456"/>
    <x v="0"/>
    <x v="0"/>
    <x v="2"/>
    <x v="2"/>
    <x v="6"/>
    <x v="0"/>
    <x v="0"/>
  </r>
  <r>
    <x v="457"/>
    <x v="418"/>
    <x v="200"/>
    <x v="417"/>
    <x v="330"/>
    <x v="446"/>
    <x v="1"/>
    <x v="1"/>
    <x v="1"/>
    <x v="1"/>
    <x v="3"/>
    <x v="3"/>
    <x v="14"/>
    <x v="14"/>
    <x v="15"/>
    <x v="15"/>
    <x v="1"/>
    <x v="1"/>
    <x v="1"/>
    <x v="1"/>
    <x v="456"/>
    <x v="456"/>
    <x v="3"/>
    <x v="3"/>
    <x v="6"/>
    <x v="4"/>
    <x v="457"/>
    <x v="1"/>
    <x v="1"/>
    <x v="457"/>
    <x v="457"/>
    <x v="457"/>
    <x v="456"/>
    <x v="457"/>
    <x v="457"/>
    <x v="0"/>
    <x v="0"/>
    <x v="0"/>
    <x v="0"/>
    <x v="4"/>
    <x v="0"/>
    <x v="0"/>
  </r>
  <r>
    <x v="458"/>
    <x v="419"/>
    <x v="310"/>
    <x v="152"/>
    <x v="139"/>
    <x v="447"/>
    <x v="0"/>
    <x v="0"/>
    <x v="2"/>
    <x v="2"/>
    <x v="4"/>
    <x v="0"/>
    <x v="0"/>
    <x v="0"/>
    <x v="0"/>
    <x v="0"/>
    <x v="2"/>
    <x v="2"/>
    <x v="11"/>
    <x v="11"/>
    <x v="457"/>
    <x v="457"/>
    <x v="0"/>
    <x v="0"/>
    <x v="3"/>
    <x v="1"/>
    <x v="458"/>
    <x v="8"/>
    <x v="6"/>
    <x v="458"/>
    <x v="458"/>
    <x v="458"/>
    <x v="457"/>
    <x v="458"/>
    <x v="458"/>
    <x v="0"/>
    <x v="0"/>
    <x v="0"/>
    <x v="0"/>
    <x v="6"/>
    <x v="0"/>
    <x v="0"/>
  </r>
  <r>
    <x v="459"/>
    <x v="420"/>
    <x v="168"/>
    <x v="418"/>
    <x v="293"/>
    <x v="448"/>
    <x v="4"/>
    <x v="4"/>
    <x v="3"/>
    <x v="3"/>
    <x v="3"/>
    <x v="3"/>
    <x v="14"/>
    <x v="14"/>
    <x v="15"/>
    <x v="15"/>
    <x v="0"/>
    <x v="0"/>
    <x v="0"/>
    <x v="0"/>
    <x v="458"/>
    <x v="458"/>
    <x v="2"/>
    <x v="2"/>
    <x v="2"/>
    <x v="1"/>
    <x v="459"/>
    <x v="1"/>
    <x v="1"/>
    <x v="459"/>
    <x v="459"/>
    <x v="459"/>
    <x v="458"/>
    <x v="459"/>
    <x v="459"/>
    <x v="0"/>
    <x v="0"/>
    <x v="0"/>
    <x v="0"/>
    <x v="11"/>
    <x v="0"/>
    <x v="0"/>
  </r>
  <r>
    <x v="460"/>
    <x v="421"/>
    <x v="326"/>
    <x v="419"/>
    <x v="144"/>
    <x v="449"/>
    <x v="10"/>
    <x v="10"/>
    <x v="2"/>
    <x v="2"/>
    <x v="5"/>
    <x v="4"/>
    <x v="0"/>
    <x v="0"/>
    <x v="0"/>
    <x v="0"/>
    <x v="2"/>
    <x v="2"/>
    <x v="6"/>
    <x v="6"/>
    <x v="459"/>
    <x v="459"/>
    <x v="0"/>
    <x v="0"/>
    <x v="0"/>
    <x v="6"/>
    <x v="460"/>
    <x v="5"/>
    <x v="5"/>
    <x v="460"/>
    <x v="460"/>
    <x v="460"/>
    <x v="459"/>
    <x v="460"/>
    <x v="460"/>
    <x v="0"/>
    <x v="0"/>
    <x v="0"/>
    <x v="0"/>
    <x v="7"/>
    <x v="1"/>
    <x v="0"/>
  </r>
  <r>
    <x v="461"/>
    <x v="422"/>
    <x v="327"/>
    <x v="283"/>
    <x v="240"/>
    <x v="450"/>
    <x v="6"/>
    <x v="6"/>
    <x v="2"/>
    <x v="2"/>
    <x v="2"/>
    <x v="2"/>
    <x v="5"/>
    <x v="5"/>
    <x v="5"/>
    <x v="5"/>
    <x v="0"/>
    <x v="0"/>
    <x v="0"/>
    <x v="0"/>
    <x v="460"/>
    <x v="460"/>
    <x v="3"/>
    <x v="3"/>
    <x v="3"/>
    <x v="1"/>
    <x v="461"/>
    <x v="4"/>
    <x v="4"/>
    <x v="461"/>
    <x v="461"/>
    <x v="461"/>
    <x v="460"/>
    <x v="461"/>
    <x v="461"/>
    <x v="0"/>
    <x v="0"/>
    <x v="0"/>
    <x v="0"/>
    <x v="4"/>
    <x v="1"/>
    <x v="0"/>
  </r>
  <r>
    <x v="462"/>
    <x v="370"/>
    <x v="293"/>
    <x v="420"/>
    <x v="331"/>
    <x v="451"/>
    <x v="10"/>
    <x v="10"/>
    <x v="3"/>
    <x v="3"/>
    <x v="4"/>
    <x v="0"/>
    <x v="18"/>
    <x v="18"/>
    <x v="19"/>
    <x v="19"/>
    <x v="0"/>
    <x v="0"/>
    <x v="9"/>
    <x v="9"/>
    <x v="461"/>
    <x v="461"/>
    <x v="2"/>
    <x v="2"/>
    <x v="7"/>
    <x v="7"/>
    <x v="462"/>
    <x v="0"/>
    <x v="0"/>
    <x v="462"/>
    <x v="462"/>
    <x v="462"/>
    <x v="461"/>
    <x v="462"/>
    <x v="462"/>
    <x v="0"/>
    <x v="0"/>
    <x v="0"/>
    <x v="0"/>
    <x v="7"/>
    <x v="0"/>
    <x v="0"/>
  </r>
  <r>
    <x v="463"/>
    <x v="423"/>
    <x v="198"/>
    <x v="421"/>
    <x v="96"/>
    <x v="452"/>
    <x v="3"/>
    <x v="3"/>
    <x v="2"/>
    <x v="2"/>
    <x v="3"/>
    <x v="3"/>
    <x v="4"/>
    <x v="4"/>
    <x v="4"/>
    <x v="4"/>
    <x v="2"/>
    <x v="2"/>
    <x v="11"/>
    <x v="11"/>
    <x v="462"/>
    <x v="462"/>
    <x v="3"/>
    <x v="3"/>
    <x v="3"/>
    <x v="2"/>
    <x v="463"/>
    <x v="0"/>
    <x v="0"/>
    <x v="463"/>
    <x v="463"/>
    <x v="463"/>
    <x v="462"/>
    <x v="463"/>
    <x v="463"/>
    <x v="0"/>
    <x v="0"/>
    <x v="0"/>
    <x v="0"/>
    <x v="6"/>
    <x v="1"/>
    <x v="0"/>
  </r>
  <r>
    <x v="464"/>
    <x v="424"/>
    <x v="328"/>
    <x v="422"/>
    <x v="332"/>
    <x v="453"/>
    <x v="3"/>
    <x v="3"/>
    <x v="2"/>
    <x v="2"/>
    <x v="1"/>
    <x v="1"/>
    <x v="9"/>
    <x v="9"/>
    <x v="10"/>
    <x v="10"/>
    <x v="0"/>
    <x v="0"/>
    <x v="0"/>
    <x v="0"/>
    <x v="463"/>
    <x v="463"/>
    <x v="1"/>
    <x v="1"/>
    <x v="5"/>
    <x v="1"/>
    <x v="464"/>
    <x v="5"/>
    <x v="5"/>
    <x v="464"/>
    <x v="464"/>
    <x v="464"/>
    <x v="463"/>
    <x v="464"/>
    <x v="464"/>
    <x v="2"/>
    <x v="2"/>
    <x v="1"/>
    <x v="1"/>
    <x v="11"/>
    <x v="1"/>
    <x v="0"/>
  </r>
  <r>
    <x v="465"/>
    <x v="425"/>
    <x v="329"/>
    <x v="423"/>
    <x v="333"/>
    <x v="454"/>
    <x v="10"/>
    <x v="10"/>
    <x v="1"/>
    <x v="1"/>
    <x v="3"/>
    <x v="3"/>
    <x v="4"/>
    <x v="4"/>
    <x v="4"/>
    <x v="4"/>
    <x v="0"/>
    <x v="0"/>
    <x v="7"/>
    <x v="7"/>
    <x v="464"/>
    <x v="464"/>
    <x v="3"/>
    <x v="3"/>
    <x v="9"/>
    <x v="7"/>
    <x v="465"/>
    <x v="1"/>
    <x v="1"/>
    <x v="465"/>
    <x v="465"/>
    <x v="465"/>
    <x v="464"/>
    <x v="465"/>
    <x v="465"/>
    <x v="0"/>
    <x v="0"/>
    <x v="0"/>
    <x v="0"/>
    <x v="10"/>
    <x v="0"/>
    <x v="0"/>
  </r>
  <r>
    <x v="466"/>
    <x v="426"/>
    <x v="330"/>
    <x v="424"/>
    <x v="17"/>
    <x v="455"/>
    <x v="1"/>
    <x v="1"/>
    <x v="1"/>
    <x v="1"/>
    <x v="1"/>
    <x v="1"/>
    <x v="9"/>
    <x v="9"/>
    <x v="10"/>
    <x v="10"/>
    <x v="2"/>
    <x v="2"/>
    <x v="5"/>
    <x v="5"/>
    <x v="465"/>
    <x v="465"/>
    <x v="1"/>
    <x v="1"/>
    <x v="5"/>
    <x v="6"/>
    <x v="466"/>
    <x v="0"/>
    <x v="0"/>
    <x v="466"/>
    <x v="466"/>
    <x v="466"/>
    <x v="465"/>
    <x v="466"/>
    <x v="466"/>
    <x v="0"/>
    <x v="0"/>
    <x v="0"/>
    <x v="0"/>
    <x v="10"/>
    <x v="0"/>
    <x v="0"/>
  </r>
  <r>
    <x v="467"/>
    <x v="427"/>
    <x v="331"/>
    <x v="343"/>
    <x v="283"/>
    <x v="456"/>
    <x v="7"/>
    <x v="7"/>
    <x v="2"/>
    <x v="2"/>
    <x v="1"/>
    <x v="1"/>
    <x v="1"/>
    <x v="1"/>
    <x v="1"/>
    <x v="1"/>
    <x v="2"/>
    <x v="2"/>
    <x v="6"/>
    <x v="6"/>
    <x v="466"/>
    <x v="466"/>
    <x v="2"/>
    <x v="2"/>
    <x v="3"/>
    <x v="8"/>
    <x v="467"/>
    <x v="8"/>
    <x v="6"/>
    <x v="467"/>
    <x v="467"/>
    <x v="467"/>
    <x v="466"/>
    <x v="467"/>
    <x v="467"/>
    <x v="1"/>
    <x v="1"/>
    <x v="1"/>
    <x v="1"/>
    <x v="1"/>
    <x v="0"/>
    <x v="0"/>
  </r>
  <r>
    <x v="468"/>
    <x v="428"/>
    <x v="120"/>
    <x v="425"/>
    <x v="334"/>
    <x v="457"/>
    <x v="10"/>
    <x v="10"/>
    <x v="3"/>
    <x v="3"/>
    <x v="1"/>
    <x v="1"/>
    <x v="6"/>
    <x v="6"/>
    <x v="6"/>
    <x v="6"/>
    <x v="0"/>
    <x v="0"/>
    <x v="9"/>
    <x v="9"/>
    <x v="467"/>
    <x v="467"/>
    <x v="0"/>
    <x v="0"/>
    <x v="12"/>
    <x v="1"/>
    <x v="468"/>
    <x v="1"/>
    <x v="1"/>
    <x v="468"/>
    <x v="468"/>
    <x v="468"/>
    <x v="467"/>
    <x v="468"/>
    <x v="468"/>
    <x v="0"/>
    <x v="0"/>
    <x v="0"/>
    <x v="0"/>
    <x v="10"/>
    <x v="1"/>
    <x v="2"/>
  </r>
  <r>
    <x v="469"/>
    <x v="429"/>
    <x v="332"/>
    <x v="426"/>
    <x v="169"/>
    <x v="458"/>
    <x v="7"/>
    <x v="7"/>
    <x v="2"/>
    <x v="2"/>
    <x v="3"/>
    <x v="3"/>
    <x v="14"/>
    <x v="14"/>
    <x v="15"/>
    <x v="15"/>
    <x v="2"/>
    <x v="2"/>
    <x v="6"/>
    <x v="6"/>
    <x v="468"/>
    <x v="468"/>
    <x v="2"/>
    <x v="2"/>
    <x v="0"/>
    <x v="1"/>
    <x v="469"/>
    <x v="8"/>
    <x v="6"/>
    <x v="469"/>
    <x v="469"/>
    <x v="469"/>
    <x v="468"/>
    <x v="469"/>
    <x v="469"/>
    <x v="0"/>
    <x v="0"/>
    <x v="0"/>
    <x v="0"/>
    <x v="10"/>
    <x v="0"/>
    <x v="0"/>
  </r>
  <r>
    <x v="470"/>
    <x v="430"/>
    <x v="333"/>
    <x v="427"/>
    <x v="19"/>
    <x v="459"/>
    <x v="7"/>
    <x v="7"/>
    <x v="0"/>
    <x v="0"/>
    <x v="4"/>
    <x v="0"/>
    <x v="0"/>
    <x v="0"/>
    <x v="0"/>
    <x v="0"/>
    <x v="1"/>
    <x v="1"/>
    <x v="1"/>
    <x v="1"/>
    <x v="469"/>
    <x v="469"/>
    <x v="1"/>
    <x v="1"/>
    <x v="4"/>
    <x v="7"/>
    <x v="470"/>
    <x v="0"/>
    <x v="0"/>
    <x v="470"/>
    <x v="470"/>
    <x v="470"/>
    <x v="469"/>
    <x v="470"/>
    <x v="470"/>
    <x v="0"/>
    <x v="0"/>
    <x v="0"/>
    <x v="0"/>
    <x v="0"/>
    <x v="0"/>
    <x v="0"/>
  </r>
  <r>
    <x v="471"/>
    <x v="431"/>
    <x v="69"/>
    <x v="428"/>
    <x v="54"/>
    <x v="460"/>
    <x v="15"/>
    <x v="14"/>
    <x v="0"/>
    <x v="0"/>
    <x v="2"/>
    <x v="2"/>
    <x v="2"/>
    <x v="2"/>
    <x v="2"/>
    <x v="2"/>
    <x v="0"/>
    <x v="0"/>
    <x v="9"/>
    <x v="9"/>
    <x v="470"/>
    <x v="470"/>
    <x v="3"/>
    <x v="3"/>
    <x v="5"/>
    <x v="1"/>
    <x v="471"/>
    <x v="3"/>
    <x v="3"/>
    <x v="471"/>
    <x v="471"/>
    <x v="471"/>
    <x v="470"/>
    <x v="471"/>
    <x v="471"/>
    <x v="0"/>
    <x v="0"/>
    <x v="0"/>
    <x v="0"/>
    <x v="6"/>
    <x v="0"/>
    <x v="0"/>
  </r>
  <r>
    <x v="472"/>
    <x v="432"/>
    <x v="334"/>
    <x v="429"/>
    <x v="335"/>
    <x v="461"/>
    <x v="12"/>
    <x v="12"/>
    <x v="2"/>
    <x v="2"/>
    <x v="1"/>
    <x v="1"/>
    <x v="1"/>
    <x v="1"/>
    <x v="1"/>
    <x v="1"/>
    <x v="0"/>
    <x v="0"/>
    <x v="8"/>
    <x v="8"/>
    <x v="471"/>
    <x v="471"/>
    <x v="3"/>
    <x v="3"/>
    <x v="1"/>
    <x v="4"/>
    <x v="472"/>
    <x v="1"/>
    <x v="1"/>
    <x v="472"/>
    <x v="472"/>
    <x v="472"/>
    <x v="471"/>
    <x v="472"/>
    <x v="472"/>
    <x v="0"/>
    <x v="0"/>
    <x v="0"/>
    <x v="0"/>
    <x v="11"/>
    <x v="0"/>
    <x v="0"/>
  </r>
  <r>
    <x v="473"/>
    <x v="433"/>
    <x v="335"/>
    <x v="68"/>
    <x v="63"/>
    <x v="462"/>
    <x v="8"/>
    <x v="8"/>
    <x v="0"/>
    <x v="0"/>
    <x v="3"/>
    <x v="3"/>
    <x v="14"/>
    <x v="14"/>
    <x v="15"/>
    <x v="15"/>
    <x v="2"/>
    <x v="2"/>
    <x v="6"/>
    <x v="6"/>
    <x v="472"/>
    <x v="472"/>
    <x v="3"/>
    <x v="3"/>
    <x v="6"/>
    <x v="3"/>
    <x v="473"/>
    <x v="0"/>
    <x v="0"/>
    <x v="473"/>
    <x v="473"/>
    <x v="473"/>
    <x v="472"/>
    <x v="473"/>
    <x v="473"/>
    <x v="0"/>
    <x v="0"/>
    <x v="0"/>
    <x v="0"/>
    <x v="3"/>
    <x v="0"/>
    <x v="0"/>
  </r>
  <r>
    <x v="474"/>
    <x v="434"/>
    <x v="336"/>
    <x v="430"/>
    <x v="336"/>
    <x v="463"/>
    <x v="13"/>
    <x v="13"/>
    <x v="2"/>
    <x v="2"/>
    <x v="4"/>
    <x v="0"/>
    <x v="7"/>
    <x v="7"/>
    <x v="8"/>
    <x v="8"/>
    <x v="1"/>
    <x v="1"/>
    <x v="3"/>
    <x v="3"/>
    <x v="473"/>
    <x v="473"/>
    <x v="3"/>
    <x v="3"/>
    <x v="2"/>
    <x v="1"/>
    <x v="474"/>
    <x v="1"/>
    <x v="1"/>
    <x v="474"/>
    <x v="474"/>
    <x v="474"/>
    <x v="473"/>
    <x v="474"/>
    <x v="474"/>
    <x v="0"/>
    <x v="0"/>
    <x v="0"/>
    <x v="0"/>
    <x v="2"/>
    <x v="0"/>
    <x v="0"/>
  </r>
  <r>
    <x v="475"/>
    <x v="435"/>
    <x v="308"/>
    <x v="431"/>
    <x v="84"/>
    <x v="464"/>
    <x v="5"/>
    <x v="5"/>
    <x v="0"/>
    <x v="0"/>
    <x v="1"/>
    <x v="1"/>
    <x v="6"/>
    <x v="6"/>
    <x v="6"/>
    <x v="6"/>
    <x v="1"/>
    <x v="1"/>
    <x v="4"/>
    <x v="4"/>
    <x v="474"/>
    <x v="474"/>
    <x v="1"/>
    <x v="1"/>
    <x v="2"/>
    <x v="0"/>
    <x v="475"/>
    <x v="3"/>
    <x v="3"/>
    <x v="475"/>
    <x v="475"/>
    <x v="475"/>
    <x v="474"/>
    <x v="475"/>
    <x v="475"/>
    <x v="2"/>
    <x v="2"/>
    <x v="2"/>
    <x v="2"/>
    <x v="11"/>
    <x v="1"/>
    <x v="0"/>
  </r>
  <r>
    <x v="476"/>
    <x v="436"/>
    <x v="337"/>
    <x v="432"/>
    <x v="337"/>
    <x v="465"/>
    <x v="11"/>
    <x v="11"/>
    <x v="1"/>
    <x v="1"/>
    <x v="4"/>
    <x v="0"/>
    <x v="0"/>
    <x v="0"/>
    <x v="0"/>
    <x v="0"/>
    <x v="0"/>
    <x v="0"/>
    <x v="8"/>
    <x v="8"/>
    <x v="475"/>
    <x v="475"/>
    <x v="2"/>
    <x v="2"/>
    <x v="2"/>
    <x v="1"/>
    <x v="476"/>
    <x v="8"/>
    <x v="6"/>
    <x v="476"/>
    <x v="476"/>
    <x v="476"/>
    <x v="475"/>
    <x v="476"/>
    <x v="476"/>
    <x v="0"/>
    <x v="0"/>
    <x v="0"/>
    <x v="0"/>
    <x v="4"/>
    <x v="0"/>
    <x v="0"/>
  </r>
  <r>
    <x v="477"/>
    <x v="437"/>
    <x v="102"/>
    <x v="433"/>
    <x v="304"/>
    <x v="466"/>
    <x v="5"/>
    <x v="5"/>
    <x v="2"/>
    <x v="2"/>
    <x v="3"/>
    <x v="3"/>
    <x v="12"/>
    <x v="12"/>
    <x v="13"/>
    <x v="13"/>
    <x v="1"/>
    <x v="1"/>
    <x v="4"/>
    <x v="4"/>
    <x v="476"/>
    <x v="476"/>
    <x v="3"/>
    <x v="3"/>
    <x v="1"/>
    <x v="3"/>
    <x v="477"/>
    <x v="8"/>
    <x v="6"/>
    <x v="477"/>
    <x v="477"/>
    <x v="477"/>
    <x v="476"/>
    <x v="477"/>
    <x v="477"/>
    <x v="0"/>
    <x v="0"/>
    <x v="1"/>
    <x v="1"/>
    <x v="1"/>
    <x v="1"/>
    <x v="0"/>
  </r>
  <r>
    <x v="478"/>
    <x v="438"/>
    <x v="338"/>
    <x v="434"/>
    <x v="326"/>
    <x v="467"/>
    <x v="1"/>
    <x v="1"/>
    <x v="3"/>
    <x v="3"/>
    <x v="5"/>
    <x v="4"/>
    <x v="8"/>
    <x v="8"/>
    <x v="9"/>
    <x v="9"/>
    <x v="2"/>
    <x v="2"/>
    <x v="12"/>
    <x v="12"/>
    <x v="477"/>
    <x v="477"/>
    <x v="1"/>
    <x v="1"/>
    <x v="5"/>
    <x v="4"/>
    <x v="478"/>
    <x v="8"/>
    <x v="6"/>
    <x v="478"/>
    <x v="478"/>
    <x v="478"/>
    <x v="477"/>
    <x v="478"/>
    <x v="478"/>
    <x v="1"/>
    <x v="1"/>
    <x v="2"/>
    <x v="2"/>
    <x v="2"/>
    <x v="0"/>
    <x v="0"/>
  </r>
  <r>
    <x v="479"/>
    <x v="439"/>
    <x v="339"/>
    <x v="416"/>
    <x v="329"/>
    <x v="468"/>
    <x v="3"/>
    <x v="3"/>
    <x v="2"/>
    <x v="2"/>
    <x v="1"/>
    <x v="1"/>
    <x v="1"/>
    <x v="1"/>
    <x v="1"/>
    <x v="1"/>
    <x v="1"/>
    <x v="1"/>
    <x v="4"/>
    <x v="4"/>
    <x v="478"/>
    <x v="478"/>
    <x v="0"/>
    <x v="0"/>
    <x v="8"/>
    <x v="5"/>
    <x v="479"/>
    <x v="9"/>
    <x v="1"/>
    <x v="479"/>
    <x v="479"/>
    <x v="479"/>
    <x v="478"/>
    <x v="479"/>
    <x v="479"/>
    <x v="0"/>
    <x v="0"/>
    <x v="0"/>
    <x v="0"/>
    <x v="6"/>
    <x v="0"/>
    <x v="2"/>
  </r>
  <r>
    <x v="480"/>
    <x v="54"/>
    <x v="53"/>
    <x v="435"/>
    <x v="124"/>
    <x v="469"/>
    <x v="6"/>
    <x v="6"/>
    <x v="1"/>
    <x v="1"/>
    <x v="2"/>
    <x v="2"/>
    <x v="17"/>
    <x v="17"/>
    <x v="18"/>
    <x v="18"/>
    <x v="0"/>
    <x v="0"/>
    <x v="8"/>
    <x v="8"/>
    <x v="479"/>
    <x v="479"/>
    <x v="4"/>
    <x v="4"/>
    <x v="5"/>
    <x v="8"/>
    <x v="480"/>
    <x v="1"/>
    <x v="1"/>
    <x v="480"/>
    <x v="480"/>
    <x v="480"/>
    <x v="479"/>
    <x v="480"/>
    <x v="480"/>
    <x v="0"/>
    <x v="0"/>
    <x v="0"/>
    <x v="0"/>
    <x v="10"/>
    <x v="1"/>
    <x v="0"/>
  </r>
  <r>
    <x v="481"/>
    <x v="440"/>
    <x v="340"/>
    <x v="436"/>
    <x v="338"/>
    <x v="470"/>
    <x v="2"/>
    <x v="2"/>
    <x v="0"/>
    <x v="0"/>
    <x v="4"/>
    <x v="0"/>
    <x v="8"/>
    <x v="8"/>
    <x v="9"/>
    <x v="9"/>
    <x v="2"/>
    <x v="2"/>
    <x v="12"/>
    <x v="12"/>
    <x v="480"/>
    <x v="480"/>
    <x v="1"/>
    <x v="1"/>
    <x v="9"/>
    <x v="2"/>
    <x v="481"/>
    <x v="15"/>
    <x v="9"/>
    <x v="481"/>
    <x v="481"/>
    <x v="481"/>
    <x v="480"/>
    <x v="481"/>
    <x v="481"/>
    <x v="0"/>
    <x v="0"/>
    <x v="0"/>
    <x v="0"/>
    <x v="2"/>
    <x v="1"/>
    <x v="0"/>
  </r>
  <r>
    <x v="482"/>
    <x v="31"/>
    <x v="11"/>
    <x v="437"/>
    <x v="248"/>
    <x v="471"/>
    <x v="8"/>
    <x v="8"/>
    <x v="0"/>
    <x v="0"/>
    <x v="2"/>
    <x v="2"/>
    <x v="11"/>
    <x v="11"/>
    <x v="12"/>
    <x v="12"/>
    <x v="2"/>
    <x v="2"/>
    <x v="5"/>
    <x v="5"/>
    <x v="481"/>
    <x v="481"/>
    <x v="0"/>
    <x v="0"/>
    <x v="6"/>
    <x v="1"/>
    <x v="482"/>
    <x v="3"/>
    <x v="3"/>
    <x v="482"/>
    <x v="482"/>
    <x v="482"/>
    <x v="481"/>
    <x v="482"/>
    <x v="482"/>
    <x v="0"/>
    <x v="0"/>
    <x v="0"/>
    <x v="0"/>
    <x v="0"/>
    <x v="0"/>
    <x v="0"/>
  </r>
  <r>
    <x v="483"/>
    <x v="441"/>
    <x v="341"/>
    <x v="438"/>
    <x v="224"/>
    <x v="472"/>
    <x v="1"/>
    <x v="1"/>
    <x v="2"/>
    <x v="2"/>
    <x v="1"/>
    <x v="1"/>
    <x v="9"/>
    <x v="9"/>
    <x v="10"/>
    <x v="10"/>
    <x v="2"/>
    <x v="2"/>
    <x v="6"/>
    <x v="6"/>
    <x v="482"/>
    <x v="482"/>
    <x v="3"/>
    <x v="3"/>
    <x v="6"/>
    <x v="5"/>
    <x v="483"/>
    <x v="4"/>
    <x v="4"/>
    <x v="483"/>
    <x v="483"/>
    <x v="483"/>
    <x v="482"/>
    <x v="483"/>
    <x v="483"/>
    <x v="0"/>
    <x v="0"/>
    <x v="0"/>
    <x v="0"/>
    <x v="8"/>
    <x v="0"/>
    <x v="0"/>
  </r>
  <r>
    <x v="484"/>
    <x v="442"/>
    <x v="342"/>
    <x v="439"/>
    <x v="272"/>
    <x v="473"/>
    <x v="1"/>
    <x v="1"/>
    <x v="1"/>
    <x v="1"/>
    <x v="2"/>
    <x v="2"/>
    <x v="5"/>
    <x v="5"/>
    <x v="5"/>
    <x v="5"/>
    <x v="1"/>
    <x v="1"/>
    <x v="3"/>
    <x v="3"/>
    <x v="483"/>
    <x v="483"/>
    <x v="2"/>
    <x v="2"/>
    <x v="4"/>
    <x v="3"/>
    <x v="484"/>
    <x v="3"/>
    <x v="3"/>
    <x v="484"/>
    <x v="484"/>
    <x v="484"/>
    <x v="483"/>
    <x v="484"/>
    <x v="484"/>
    <x v="0"/>
    <x v="0"/>
    <x v="0"/>
    <x v="0"/>
    <x v="8"/>
    <x v="0"/>
    <x v="0"/>
  </r>
  <r>
    <x v="485"/>
    <x v="443"/>
    <x v="343"/>
    <x v="20"/>
    <x v="20"/>
    <x v="474"/>
    <x v="9"/>
    <x v="9"/>
    <x v="2"/>
    <x v="2"/>
    <x v="3"/>
    <x v="3"/>
    <x v="14"/>
    <x v="14"/>
    <x v="15"/>
    <x v="15"/>
    <x v="1"/>
    <x v="1"/>
    <x v="10"/>
    <x v="10"/>
    <x v="484"/>
    <x v="484"/>
    <x v="3"/>
    <x v="3"/>
    <x v="3"/>
    <x v="2"/>
    <x v="485"/>
    <x v="3"/>
    <x v="3"/>
    <x v="485"/>
    <x v="485"/>
    <x v="485"/>
    <x v="484"/>
    <x v="485"/>
    <x v="485"/>
    <x v="0"/>
    <x v="0"/>
    <x v="0"/>
    <x v="0"/>
    <x v="10"/>
    <x v="1"/>
    <x v="0"/>
  </r>
  <r>
    <x v="486"/>
    <x v="444"/>
    <x v="257"/>
    <x v="440"/>
    <x v="339"/>
    <x v="475"/>
    <x v="9"/>
    <x v="9"/>
    <x v="2"/>
    <x v="2"/>
    <x v="3"/>
    <x v="3"/>
    <x v="14"/>
    <x v="14"/>
    <x v="15"/>
    <x v="15"/>
    <x v="1"/>
    <x v="1"/>
    <x v="1"/>
    <x v="1"/>
    <x v="485"/>
    <x v="485"/>
    <x v="3"/>
    <x v="3"/>
    <x v="5"/>
    <x v="1"/>
    <x v="486"/>
    <x v="0"/>
    <x v="0"/>
    <x v="486"/>
    <x v="486"/>
    <x v="486"/>
    <x v="485"/>
    <x v="486"/>
    <x v="486"/>
    <x v="0"/>
    <x v="0"/>
    <x v="0"/>
    <x v="0"/>
    <x v="2"/>
    <x v="1"/>
    <x v="0"/>
  </r>
  <r>
    <x v="487"/>
    <x v="445"/>
    <x v="344"/>
    <x v="441"/>
    <x v="340"/>
    <x v="476"/>
    <x v="9"/>
    <x v="9"/>
    <x v="2"/>
    <x v="2"/>
    <x v="2"/>
    <x v="2"/>
    <x v="2"/>
    <x v="2"/>
    <x v="2"/>
    <x v="2"/>
    <x v="1"/>
    <x v="1"/>
    <x v="3"/>
    <x v="3"/>
    <x v="486"/>
    <x v="486"/>
    <x v="3"/>
    <x v="3"/>
    <x v="2"/>
    <x v="8"/>
    <x v="487"/>
    <x v="1"/>
    <x v="1"/>
    <x v="487"/>
    <x v="487"/>
    <x v="487"/>
    <x v="486"/>
    <x v="487"/>
    <x v="487"/>
    <x v="1"/>
    <x v="1"/>
    <x v="2"/>
    <x v="2"/>
    <x v="2"/>
    <x v="1"/>
    <x v="0"/>
  </r>
  <r>
    <x v="488"/>
    <x v="446"/>
    <x v="192"/>
    <x v="442"/>
    <x v="341"/>
    <x v="477"/>
    <x v="7"/>
    <x v="7"/>
    <x v="1"/>
    <x v="1"/>
    <x v="6"/>
    <x v="0"/>
    <x v="0"/>
    <x v="0"/>
    <x v="0"/>
    <x v="0"/>
    <x v="1"/>
    <x v="1"/>
    <x v="1"/>
    <x v="1"/>
    <x v="487"/>
    <x v="487"/>
    <x v="1"/>
    <x v="1"/>
    <x v="0"/>
    <x v="4"/>
    <x v="488"/>
    <x v="0"/>
    <x v="0"/>
    <x v="488"/>
    <x v="488"/>
    <x v="488"/>
    <x v="487"/>
    <x v="488"/>
    <x v="488"/>
    <x v="0"/>
    <x v="0"/>
    <x v="0"/>
    <x v="0"/>
    <x v="9"/>
    <x v="0"/>
    <x v="0"/>
  </r>
  <r>
    <x v="489"/>
    <x v="55"/>
    <x v="54"/>
    <x v="443"/>
    <x v="30"/>
    <x v="478"/>
    <x v="3"/>
    <x v="3"/>
    <x v="3"/>
    <x v="3"/>
    <x v="1"/>
    <x v="1"/>
    <x v="6"/>
    <x v="6"/>
    <x v="6"/>
    <x v="6"/>
    <x v="2"/>
    <x v="2"/>
    <x v="5"/>
    <x v="5"/>
    <x v="488"/>
    <x v="488"/>
    <x v="0"/>
    <x v="0"/>
    <x v="1"/>
    <x v="5"/>
    <x v="489"/>
    <x v="0"/>
    <x v="0"/>
    <x v="489"/>
    <x v="489"/>
    <x v="489"/>
    <x v="488"/>
    <x v="489"/>
    <x v="489"/>
    <x v="0"/>
    <x v="0"/>
    <x v="0"/>
    <x v="0"/>
    <x v="6"/>
    <x v="0"/>
    <x v="0"/>
  </r>
  <r>
    <x v="490"/>
    <x v="447"/>
    <x v="345"/>
    <x v="444"/>
    <x v="342"/>
    <x v="479"/>
    <x v="7"/>
    <x v="7"/>
    <x v="0"/>
    <x v="0"/>
    <x v="3"/>
    <x v="3"/>
    <x v="0"/>
    <x v="0"/>
    <x v="7"/>
    <x v="7"/>
    <x v="0"/>
    <x v="0"/>
    <x v="9"/>
    <x v="9"/>
    <x v="489"/>
    <x v="489"/>
    <x v="2"/>
    <x v="2"/>
    <x v="4"/>
    <x v="4"/>
    <x v="490"/>
    <x v="4"/>
    <x v="4"/>
    <x v="490"/>
    <x v="490"/>
    <x v="490"/>
    <x v="489"/>
    <x v="490"/>
    <x v="490"/>
    <x v="0"/>
    <x v="0"/>
    <x v="0"/>
    <x v="0"/>
    <x v="7"/>
    <x v="0"/>
    <x v="0"/>
  </r>
  <r>
    <x v="491"/>
    <x v="448"/>
    <x v="184"/>
    <x v="445"/>
    <x v="343"/>
    <x v="480"/>
    <x v="1"/>
    <x v="1"/>
    <x v="2"/>
    <x v="2"/>
    <x v="2"/>
    <x v="2"/>
    <x v="13"/>
    <x v="13"/>
    <x v="14"/>
    <x v="14"/>
    <x v="2"/>
    <x v="2"/>
    <x v="5"/>
    <x v="5"/>
    <x v="490"/>
    <x v="490"/>
    <x v="3"/>
    <x v="3"/>
    <x v="3"/>
    <x v="2"/>
    <x v="491"/>
    <x v="0"/>
    <x v="0"/>
    <x v="491"/>
    <x v="491"/>
    <x v="491"/>
    <x v="490"/>
    <x v="491"/>
    <x v="491"/>
    <x v="0"/>
    <x v="0"/>
    <x v="0"/>
    <x v="0"/>
    <x v="5"/>
    <x v="1"/>
    <x v="0"/>
  </r>
  <r>
    <x v="492"/>
    <x v="449"/>
    <x v="189"/>
    <x v="446"/>
    <x v="344"/>
    <x v="481"/>
    <x v="4"/>
    <x v="4"/>
    <x v="2"/>
    <x v="2"/>
    <x v="2"/>
    <x v="2"/>
    <x v="5"/>
    <x v="5"/>
    <x v="5"/>
    <x v="5"/>
    <x v="0"/>
    <x v="0"/>
    <x v="8"/>
    <x v="8"/>
    <x v="491"/>
    <x v="491"/>
    <x v="0"/>
    <x v="0"/>
    <x v="5"/>
    <x v="7"/>
    <x v="492"/>
    <x v="3"/>
    <x v="3"/>
    <x v="492"/>
    <x v="492"/>
    <x v="492"/>
    <x v="491"/>
    <x v="492"/>
    <x v="492"/>
    <x v="0"/>
    <x v="0"/>
    <x v="0"/>
    <x v="0"/>
    <x v="2"/>
    <x v="1"/>
    <x v="0"/>
  </r>
  <r>
    <x v="493"/>
    <x v="450"/>
    <x v="223"/>
    <x v="447"/>
    <x v="133"/>
    <x v="482"/>
    <x v="15"/>
    <x v="14"/>
    <x v="2"/>
    <x v="2"/>
    <x v="1"/>
    <x v="1"/>
    <x v="1"/>
    <x v="1"/>
    <x v="1"/>
    <x v="1"/>
    <x v="0"/>
    <x v="0"/>
    <x v="0"/>
    <x v="0"/>
    <x v="492"/>
    <x v="492"/>
    <x v="0"/>
    <x v="0"/>
    <x v="6"/>
    <x v="4"/>
    <x v="493"/>
    <x v="5"/>
    <x v="5"/>
    <x v="493"/>
    <x v="493"/>
    <x v="493"/>
    <x v="492"/>
    <x v="493"/>
    <x v="493"/>
    <x v="0"/>
    <x v="0"/>
    <x v="0"/>
    <x v="0"/>
    <x v="6"/>
    <x v="1"/>
    <x v="0"/>
  </r>
  <r>
    <x v="494"/>
    <x v="451"/>
    <x v="216"/>
    <x v="448"/>
    <x v="220"/>
    <x v="483"/>
    <x v="2"/>
    <x v="2"/>
    <x v="0"/>
    <x v="0"/>
    <x v="3"/>
    <x v="3"/>
    <x v="4"/>
    <x v="4"/>
    <x v="4"/>
    <x v="4"/>
    <x v="2"/>
    <x v="2"/>
    <x v="11"/>
    <x v="11"/>
    <x v="493"/>
    <x v="493"/>
    <x v="3"/>
    <x v="3"/>
    <x v="9"/>
    <x v="1"/>
    <x v="494"/>
    <x v="19"/>
    <x v="1"/>
    <x v="494"/>
    <x v="494"/>
    <x v="494"/>
    <x v="493"/>
    <x v="494"/>
    <x v="494"/>
    <x v="3"/>
    <x v="3"/>
    <x v="1"/>
    <x v="1"/>
    <x v="3"/>
    <x v="0"/>
    <x v="1"/>
  </r>
  <r>
    <x v="495"/>
    <x v="408"/>
    <x v="319"/>
    <x v="449"/>
    <x v="16"/>
    <x v="484"/>
    <x v="1"/>
    <x v="1"/>
    <x v="1"/>
    <x v="1"/>
    <x v="1"/>
    <x v="1"/>
    <x v="10"/>
    <x v="10"/>
    <x v="11"/>
    <x v="11"/>
    <x v="2"/>
    <x v="2"/>
    <x v="11"/>
    <x v="11"/>
    <x v="494"/>
    <x v="494"/>
    <x v="0"/>
    <x v="0"/>
    <x v="0"/>
    <x v="2"/>
    <x v="495"/>
    <x v="5"/>
    <x v="5"/>
    <x v="495"/>
    <x v="495"/>
    <x v="495"/>
    <x v="494"/>
    <x v="495"/>
    <x v="495"/>
    <x v="1"/>
    <x v="1"/>
    <x v="2"/>
    <x v="2"/>
    <x v="4"/>
    <x v="0"/>
    <x v="0"/>
  </r>
  <r>
    <x v="496"/>
    <x v="452"/>
    <x v="346"/>
    <x v="450"/>
    <x v="204"/>
    <x v="485"/>
    <x v="15"/>
    <x v="14"/>
    <x v="1"/>
    <x v="1"/>
    <x v="1"/>
    <x v="1"/>
    <x v="15"/>
    <x v="15"/>
    <x v="16"/>
    <x v="16"/>
    <x v="1"/>
    <x v="1"/>
    <x v="4"/>
    <x v="4"/>
    <x v="495"/>
    <x v="495"/>
    <x v="0"/>
    <x v="0"/>
    <x v="7"/>
    <x v="7"/>
    <x v="496"/>
    <x v="8"/>
    <x v="6"/>
    <x v="496"/>
    <x v="496"/>
    <x v="496"/>
    <x v="495"/>
    <x v="496"/>
    <x v="496"/>
    <x v="0"/>
    <x v="0"/>
    <x v="0"/>
    <x v="0"/>
    <x v="0"/>
    <x v="1"/>
    <x v="0"/>
  </r>
  <r>
    <x v="497"/>
    <x v="453"/>
    <x v="296"/>
    <x v="451"/>
    <x v="292"/>
    <x v="486"/>
    <x v="11"/>
    <x v="11"/>
    <x v="1"/>
    <x v="1"/>
    <x v="4"/>
    <x v="0"/>
    <x v="8"/>
    <x v="8"/>
    <x v="9"/>
    <x v="9"/>
    <x v="2"/>
    <x v="2"/>
    <x v="5"/>
    <x v="5"/>
    <x v="496"/>
    <x v="496"/>
    <x v="0"/>
    <x v="0"/>
    <x v="6"/>
    <x v="5"/>
    <x v="497"/>
    <x v="0"/>
    <x v="0"/>
    <x v="497"/>
    <x v="497"/>
    <x v="497"/>
    <x v="496"/>
    <x v="497"/>
    <x v="497"/>
    <x v="0"/>
    <x v="0"/>
    <x v="1"/>
    <x v="1"/>
    <x v="1"/>
    <x v="0"/>
    <x v="0"/>
  </r>
  <r>
    <x v="498"/>
    <x v="454"/>
    <x v="9"/>
    <x v="452"/>
    <x v="88"/>
    <x v="487"/>
    <x v="0"/>
    <x v="0"/>
    <x v="0"/>
    <x v="0"/>
    <x v="4"/>
    <x v="0"/>
    <x v="7"/>
    <x v="7"/>
    <x v="8"/>
    <x v="8"/>
    <x v="1"/>
    <x v="1"/>
    <x v="4"/>
    <x v="4"/>
    <x v="497"/>
    <x v="497"/>
    <x v="1"/>
    <x v="1"/>
    <x v="4"/>
    <x v="7"/>
    <x v="498"/>
    <x v="5"/>
    <x v="5"/>
    <x v="498"/>
    <x v="498"/>
    <x v="498"/>
    <x v="497"/>
    <x v="498"/>
    <x v="498"/>
    <x v="1"/>
    <x v="1"/>
    <x v="1"/>
    <x v="1"/>
    <x v="7"/>
    <x v="1"/>
    <x v="0"/>
  </r>
  <r>
    <x v="499"/>
    <x v="455"/>
    <x v="347"/>
    <x v="267"/>
    <x v="229"/>
    <x v="488"/>
    <x v="9"/>
    <x v="9"/>
    <x v="3"/>
    <x v="3"/>
    <x v="4"/>
    <x v="0"/>
    <x v="8"/>
    <x v="8"/>
    <x v="9"/>
    <x v="9"/>
    <x v="1"/>
    <x v="1"/>
    <x v="4"/>
    <x v="4"/>
    <x v="498"/>
    <x v="498"/>
    <x v="3"/>
    <x v="3"/>
    <x v="5"/>
    <x v="6"/>
    <x v="499"/>
    <x v="9"/>
    <x v="1"/>
    <x v="499"/>
    <x v="499"/>
    <x v="499"/>
    <x v="498"/>
    <x v="499"/>
    <x v="499"/>
    <x v="0"/>
    <x v="0"/>
    <x v="1"/>
    <x v="1"/>
    <x v="8"/>
    <x v="0"/>
    <x v="1"/>
  </r>
  <r>
    <x v="500"/>
    <x v="456"/>
    <x v="348"/>
    <x v="453"/>
    <x v="345"/>
    <x v="489"/>
    <x v="11"/>
    <x v="11"/>
    <x v="0"/>
    <x v="0"/>
    <x v="2"/>
    <x v="2"/>
    <x v="13"/>
    <x v="13"/>
    <x v="14"/>
    <x v="14"/>
    <x v="2"/>
    <x v="2"/>
    <x v="11"/>
    <x v="11"/>
    <x v="499"/>
    <x v="499"/>
    <x v="1"/>
    <x v="1"/>
    <x v="1"/>
    <x v="6"/>
    <x v="500"/>
    <x v="15"/>
    <x v="9"/>
    <x v="500"/>
    <x v="500"/>
    <x v="500"/>
    <x v="499"/>
    <x v="500"/>
    <x v="500"/>
    <x v="0"/>
    <x v="0"/>
    <x v="0"/>
    <x v="0"/>
    <x v="4"/>
    <x v="0"/>
    <x v="0"/>
  </r>
  <r>
    <x v="501"/>
    <x v="457"/>
    <x v="349"/>
    <x v="454"/>
    <x v="346"/>
    <x v="229"/>
    <x v="6"/>
    <x v="6"/>
    <x v="0"/>
    <x v="0"/>
    <x v="1"/>
    <x v="1"/>
    <x v="15"/>
    <x v="15"/>
    <x v="16"/>
    <x v="16"/>
    <x v="0"/>
    <x v="0"/>
    <x v="2"/>
    <x v="2"/>
    <x v="500"/>
    <x v="500"/>
    <x v="0"/>
    <x v="0"/>
    <x v="0"/>
    <x v="3"/>
    <x v="501"/>
    <x v="4"/>
    <x v="4"/>
    <x v="501"/>
    <x v="501"/>
    <x v="501"/>
    <x v="500"/>
    <x v="501"/>
    <x v="501"/>
    <x v="0"/>
    <x v="0"/>
    <x v="0"/>
    <x v="0"/>
    <x v="1"/>
    <x v="0"/>
    <x v="0"/>
  </r>
  <r>
    <x v="502"/>
    <x v="458"/>
    <x v="350"/>
    <x v="455"/>
    <x v="347"/>
    <x v="490"/>
    <x v="8"/>
    <x v="8"/>
    <x v="1"/>
    <x v="1"/>
    <x v="7"/>
    <x v="1"/>
    <x v="1"/>
    <x v="1"/>
    <x v="1"/>
    <x v="1"/>
    <x v="2"/>
    <x v="2"/>
    <x v="6"/>
    <x v="6"/>
    <x v="501"/>
    <x v="501"/>
    <x v="0"/>
    <x v="0"/>
    <x v="9"/>
    <x v="3"/>
    <x v="502"/>
    <x v="8"/>
    <x v="6"/>
    <x v="502"/>
    <x v="502"/>
    <x v="502"/>
    <x v="501"/>
    <x v="502"/>
    <x v="502"/>
    <x v="0"/>
    <x v="0"/>
    <x v="0"/>
    <x v="0"/>
    <x v="5"/>
    <x v="0"/>
    <x v="0"/>
  </r>
  <r>
    <x v="503"/>
    <x v="459"/>
    <x v="351"/>
    <x v="456"/>
    <x v="348"/>
    <x v="491"/>
    <x v="10"/>
    <x v="10"/>
    <x v="0"/>
    <x v="0"/>
    <x v="2"/>
    <x v="2"/>
    <x v="17"/>
    <x v="17"/>
    <x v="18"/>
    <x v="18"/>
    <x v="2"/>
    <x v="2"/>
    <x v="11"/>
    <x v="11"/>
    <x v="502"/>
    <x v="502"/>
    <x v="3"/>
    <x v="3"/>
    <x v="2"/>
    <x v="4"/>
    <x v="503"/>
    <x v="8"/>
    <x v="6"/>
    <x v="503"/>
    <x v="503"/>
    <x v="503"/>
    <x v="502"/>
    <x v="503"/>
    <x v="503"/>
    <x v="0"/>
    <x v="0"/>
    <x v="0"/>
    <x v="0"/>
    <x v="7"/>
    <x v="0"/>
    <x v="0"/>
  </r>
  <r>
    <x v="504"/>
    <x v="460"/>
    <x v="280"/>
    <x v="457"/>
    <x v="349"/>
    <x v="492"/>
    <x v="3"/>
    <x v="3"/>
    <x v="2"/>
    <x v="2"/>
    <x v="3"/>
    <x v="3"/>
    <x v="12"/>
    <x v="12"/>
    <x v="13"/>
    <x v="13"/>
    <x v="0"/>
    <x v="0"/>
    <x v="2"/>
    <x v="2"/>
    <x v="503"/>
    <x v="503"/>
    <x v="3"/>
    <x v="3"/>
    <x v="1"/>
    <x v="2"/>
    <x v="504"/>
    <x v="1"/>
    <x v="1"/>
    <x v="504"/>
    <x v="504"/>
    <x v="504"/>
    <x v="503"/>
    <x v="504"/>
    <x v="504"/>
    <x v="0"/>
    <x v="0"/>
    <x v="0"/>
    <x v="0"/>
    <x v="6"/>
    <x v="1"/>
    <x v="0"/>
  </r>
  <r>
    <x v="505"/>
    <x v="461"/>
    <x v="299"/>
    <x v="458"/>
    <x v="350"/>
    <x v="493"/>
    <x v="6"/>
    <x v="6"/>
    <x v="2"/>
    <x v="2"/>
    <x v="3"/>
    <x v="3"/>
    <x v="4"/>
    <x v="4"/>
    <x v="4"/>
    <x v="4"/>
    <x v="0"/>
    <x v="0"/>
    <x v="2"/>
    <x v="2"/>
    <x v="504"/>
    <x v="504"/>
    <x v="2"/>
    <x v="2"/>
    <x v="1"/>
    <x v="6"/>
    <x v="505"/>
    <x v="0"/>
    <x v="0"/>
    <x v="505"/>
    <x v="505"/>
    <x v="505"/>
    <x v="504"/>
    <x v="505"/>
    <x v="505"/>
    <x v="0"/>
    <x v="0"/>
    <x v="1"/>
    <x v="1"/>
    <x v="3"/>
    <x v="0"/>
    <x v="0"/>
  </r>
  <r>
    <x v="506"/>
    <x v="462"/>
    <x v="352"/>
    <x v="459"/>
    <x v="351"/>
    <x v="494"/>
    <x v="10"/>
    <x v="10"/>
    <x v="1"/>
    <x v="1"/>
    <x v="4"/>
    <x v="0"/>
    <x v="7"/>
    <x v="7"/>
    <x v="8"/>
    <x v="8"/>
    <x v="1"/>
    <x v="1"/>
    <x v="3"/>
    <x v="3"/>
    <x v="505"/>
    <x v="505"/>
    <x v="2"/>
    <x v="2"/>
    <x v="6"/>
    <x v="7"/>
    <x v="506"/>
    <x v="8"/>
    <x v="6"/>
    <x v="506"/>
    <x v="506"/>
    <x v="506"/>
    <x v="505"/>
    <x v="506"/>
    <x v="506"/>
    <x v="1"/>
    <x v="1"/>
    <x v="2"/>
    <x v="2"/>
    <x v="8"/>
    <x v="0"/>
    <x v="0"/>
  </r>
  <r>
    <x v="507"/>
    <x v="463"/>
    <x v="353"/>
    <x v="460"/>
    <x v="294"/>
    <x v="495"/>
    <x v="2"/>
    <x v="2"/>
    <x v="1"/>
    <x v="1"/>
    <x v="4"/>
    <x v="0"/>
    <x v="16"/>
    <x v="16"/>
    <x v="17"/>
    <x v="17"/>
    <x v="0"/>
    <x v="0"/>
    <x v="9"/>
    <x v="9"/>
    <x v="506"/>
    <x v="506"/>
    <x v="1"/>
    <x v="1"/>
    <x v="2"/>
    <x v="2"/>
    <x v="507"/>
    <x v="3"/>
    <x v="3"/>
    <x v="507"/>
    <x v="507"/>
    <x v="507"/>
    <x v="506"/>
    <x v="507"/>
    <x v="507"/>
    <x v="0"/>
    <x v="0"/>
    <x v="0"/>
    <x v="0"/>
    <x v="5"/>
    <x v="1"/>
    <x v="0"/>
  </r>
  <r>
    <x v="508"/>
    <x v="464"/>
    <x v="354"/>
    <x v="461"/>
    <x v="321"/>
    <x v="496"/>
    <x v="2"/>
    <x v="2"/>
    <x v="1"/>
    <x v="1"/>
    <x v="4"/>
    <x v="0"/>
    <x v="16"/>
    <x v="16"/>
    <x v="17"/>
    <x v="17"/>
    <x v="2"/>
    <x v="2"/>
    <x v="12"/>
    <x v="12"/>
    <x v="507"/>
    <x v="507"/>
    <x v="0"/>
    <x v="0"/>
    <x v="2"/>
    <x v="2"/>
    <x v="508"/>
    <x v="1"/>
    <x v="1"/>
    <x v="508"/>
    <x v="508"/>
    <x v="508"/>
    <x v="507"/>
    <x v="508"/>
    <x v="508"/>
    <x v="0"/>
    <x v="0"/>
    <x v="0"/>
    <x v="0"/>
    <x v="11"/>
    <x v="0"/>
    <x v="0"/>
  </r>
  <r>
    <x v="509"/>
    <x v="465"/>
    <x v="255"/>
    <x v="462"/>
    <x v="352"/>
    <x v="497"/>
    <x v="6"/>
    <x v="6"/>
    <x v="0"/>
    <x v="0"/>
    <x v="3"/>
    <x v="3"/>
    <x v="12"/>
    <x v="12"/>
    <x v="13"/>
    <x v="13"/>
    <x v="2"/>
    <x v="2"/>
    <x v="12"/>
    <x v="12"/>
    <x v="508"/>
    <x v="508"/>
    <x v="1"/>
    <x v="1"/>
    <x v="7"/>
    <x v="0"/>
    <x v="509"/>
    <x v="0"/>
    <x v="0"/>
    <x v="509"/>
    <x v="509"/>
    <x v="509"/>
    <x v="508"/>
    <x v="509"/>
    <x v="509"/>
    <x v="0"/>
    <x v="0"/>
    <x v="0"/>
    <x v="0"/>
    <x v="4"/>
    <x v="1"/>
    <x v="0"/>
  </r>
  <r>
    <x v="510"/>
    <x v="105"/>
    <x v="103"/>
    <x v="463"/>
    <x v="200"/>
    <x v="498"/>
    <x v="18"/>
    <x v="10"/>
    <x v="0"/>
    <x v="0"/>
    <x v="2"/>
    <x v="2"/>
    <x v="11"/>
    <x v="11"/>
    <x v="12"/>
    <x v="12"/>
    <x v="0"/>
    <x v="0"/>
    <x v="8"/>
    <x v="8"/>
    <x v="509"/>
    <x v="509"/>
    <x v="0"/>
    <x v="0"/>
    <x v="4"/>
    <x v="7"/>
    <x v="510"/>
    <x v="1"/>
    <x v="1"/>
    <x v="510"/>
    <x v="510"/>
    <x v="510"/>
    <x v="509"/>
    <x v="510"/>
    <x v="510"/>
    <x v="0"/>
    <x v="0"/>
    <x v="0"/>
    <x v="0"/>
    <x v="9"/>
    <x v="0"/>
    <x v="0"/>
  </r>
  <r>
    <x v="511"/>
    <x v="466"/>
    <x v="355"/>
    <x v="464"/>
    <x v="353"/>
    <x v="499"/>
    <x v="11"/>
    <x v="11"/>
    <x v="0"/>
    <x v="0"/>
    <x v="3"/>
    <x v="3"/>
    <x v="4"/>
    <x v="4"/>
    <x v="4"/>
    <x v="4"/>
    <x v="1"/>
    <x v="1"/>
    <x v="10"/>
    <x v="10"/>
    <x v="510"/>
    <x v="510"/>
    <x v="3"/>
    <x v="3"/>
    <x v="4"/>
    <x v="6"/>
    <x v="511"/>
    <x v="3"/>
    <x v="3"/>
    <x v="511"/>
    <x v="511"/>
    <x v="511"/>
    <x v="510"/>
    <x v="511"/>
    <x v="511"/>
    <x v="0"/>
    <x v="0"/>
    <x v="0"/>
    <x v="0"/>
    <x v="9"/>
    <x v="0"/>
    <x v="0"/>
  </r>
  <r>
    <x v="512"/>
    <x v="132"/>
    <x v="86"/>
    <x v="465"/>
    <x v="237"/>
    <x v="373"/>
    <x v="2"/>
    <x v="2"/>
    <x v="2"/>
    <x v="2"/>
    <x v="2"/>
    <x v="2"/>
    <x v="13"/>
    <x v="13"/>
    <x v="14"/>
    <x v="14"/>
    <x v="0"/>
    <x v="0"/>
    <x v="7"/>
    <x v="7"/>
    <x v="511"/>
    <x v="511"/>
    <x v="0"/>
    <x v="0"/>
    <x v="3"/>
    <x v="7"/>
    <x v="512"/>
    <x v="3"/>
    <x v="3"/>
    <x v="512"/>
    <x v="512"/>
    <x v="512"/>
    <x v="511"/>
    <x v="512"/>
    <x v="512"/>
    <x v="0"/>
    <x v="0"/>
    <x v="0"/>
    <x v="0"/>
    <x v="11"/>
    <x v="1"/>
    <x v="0"/>
  </r>
  <r>
    <x v="513"/>
    <x v="185"/>
    <x v="104"/>
    <x v="446"/>
    <x v="344"/>
    <x v="500"/>
    <x v="10"/>
    <x v="10"/>
    <x v="2"/>
    <x v="2"/>
    <x v="2"/>
    <x v="2"/>
    <x v="13"/>
    <x v="13"/>
    <x v="14"/>
    <x v="14"/>
    <x v="2"/>
    <x v="2"/>
    <x v="14"/>
    <x v="5"/>
    <x v="512"/>
    <x v="512"/>
    <x v="2"/>
    <x v="2"/>
    <x v="1"/>
    <x v="3"/>
    <x v="513"/>
    <x v="8"/>
    <x v="6"/>
    <x v="513"/>
    <x v="513"/>
    <x v="513"/>
    <x v="512"/>
    <x v="513"/>
    <x v="513"/>
    <x v="0"/>
    <x v="0"/>
    <x v="0"/>
    <x v="0"/>
    <x v="2"/>
    <x v="1"/>
    <x v="0"/>
  </r>
  <r>
    <x v="514"/>
    <x v="467"/>
    <x v="356"/>
    <x v="448"/>
    <x v="220"/>
    <x v="501"/>
    <x v="0"/>
    <x v="0"/>
    <x v="3"/>
    <x v="3"/>
    <x v="2"/>
    <x v="2"/>
    <x v="13"/>
    <x v="13"/>
    <x v="14"/>
    <x v="14"/>
    <x v="2"/>
    <x v="2"/>
    <x v="5"/>
    <x v="5"/>
    <x v="513"/>
    <x v="513"/>
    <x v="3"/>
    <x v="3"/>
    <x v="5"/>
    <x v="3"/>
    <x v="514"/>
    <x v="8"/>
    <x v="6"/>
    <x v="514"/>
    <x v="514"/>
    <x v="514"/>
    <x v="513"/>
    <x v="514"/>
    <x v="514"/>
    <x v="0"/>
    <x v="0"/>
    <x v="0"/>
    <x v="0"/>
    <x v="3"/>
    <x v="0"/>
    <x v="0"/>
  </r>
  <r>
    <x v="515"/>
    <x v="397"/>
    <x v="126"/>
    <x v="466"/>
    <x v="354"/>
    <x v="502"/>
    <x v="9"/>
    <x v="9"/>
    <x v="2"/>
    <x v="2"/>
    <x v="4"/>
    <x v="0"/>
    <x v="18"/>
    <x v="18"/>
    <x v="19"/>
    <x v="19"/>
    <x v="0"/>
    <x v="0"/>
    <x v="0"/>
    <x v="0"/>
    <x v="514"/>
    <x v="514"/>
    <x v="3"/>
    <x v="3"/>
    <x v="6"/>
    <x v="5"/>
    <x v="515"/>
    <x v="20"/>
    <x v="1"/>
    <x v="515"/>
    <x v="515"/>
    <x v="515"/>
    <x v="514"/>
    <x v="515"/>
    <x v="515"/>
    <x v="0"/>
    <x v="0"/>
    <x v="0"/>
    <x v="0"/>
    <x v="5"/>
    <x v="1"/>
    <x v="1"/>
  </r>
  <r>
    <x v="516"/>
    <x v="468"/>
    <x v="351"/>
    <x v="467"/>
    <x v="300"/>
    <x v="503"/>
    <x v="15"/>
    <x v="14"/>
    <x v="3"/>
    <x v="3"/>
    <x v="4"/>
    <x v="0"/>
    <x v="18"/>
    <x v="18"/>
    <x v="19"/>
    <x v="19"/>
    <x v="2"/>
    <x v="2"/>
    <x v="6"/>
    <x v="6"/>
    <x v="515"/>
    <x v="515"/>
    <x v="3"/>
    <x v="3"/>
    <x v="0"/>
    <x v="5"/>
    <x v="516"/>
    <x v="1"/>
    <x v="1"/>
    <x v="516"/>
    <x v="516"/>
    <x v="516"/>
    <x v="515"/>
    <x v="516"/>
    <x v="516"/>
    <x v="3"/>
    <x v="3"/>
    <x v="2"/>
    <x v="2"/>
    <x v="7"/>
    <x v="0"/>
    <x v="0"/>
  </r>
  <r>
    <x v="517"/>
    <x v="469"/>
    <x v="327"/>
    <x v="328"/>
    <x v="271"/>
    <x v="504"/>
    <x v="9"/>
    <x v="9"/>
    <x v="0"/>
    <x v="0"/>
    <x v="1"/>
    <x v="1"/>
    <x v="1"/>
    <x v="1"/>
    <x v="1"/>
    <x v="1"/>
    <x v="1"/>
    <x v="1"/>
    <x v="3"/>
    <x v="3"/>
    <x v="516"/>
    <x v="516"/>
    <x v="0"/>
    <x v="0"/>
    <x v="7"/>
    <x v="4"/>
    <x v="517"/>
    <x v="0"/>
    <x v="0"/>
    <x v="517"/>
    <x v="517"/>
    <x v="517"/>
    <x v="516"/>
    <x v="517"/>
    <x v="517"/>
    <x v="1"/>
    <x v="1"/>
    <x v="2"/>
    <x v="2"/>
    <x v="4"/>
    <x v="1"/>
    <x v="0"/>
  </r>
  <r>
    <x v="518"/>
    <x v="470"/>
    <x v="357"/>
    <x v="468"/>
    <x v="177"/>
    <x v="505"/>
    <x v="13"/>
    <x v="13"/>
    <x v="2"/>
    <x v="2"/>
    <x v="1"/>
    <x v="1"/>
    <x v="1"/>
    <x v="1"/>
    <x v="1"/>
    <x v="1"/>
    <x v="1"/>
    <x v="1"/>
    <x v="1"/>
    <x v="1"/>
    <x v="517"/>
    <x v="517"/>
    <x v="2"/>
    <x v="2"/>
    <x v="10"/>
    <x v="4"/>
    <x v="518"/>
    <x v="3"/>
    <x v="3"/>
    <x v="518"/>
    <x v="518"/>
    <x v="518"/>
    <x v="517"/>
    <x v="518"/>
    <x v="518"/>
    <x v="0"/>
    <x v="0"/>
    <x v="1"/>
    <x v="1"/>
    <x v="5"/>
    <x v="1"/>
    <x v="2"/>
  </r>
  <r>
    <x v="519"/>
    <x v="471"/>
    <x v="358"/>
    <x v="469"/>
    <x v="355"/>
    <x v="506"/>
    <x v="8"/>
    <x v="8"/>
    <x v="0"/>
    <x v="0"/>
    <x v="4"/>
    <x v="0"/>
    <x v="8"/>
    <x v="8"/>
    <x v="9"/>
    <x v="9"/>
    <x v="1"/>
    <x v="1"/>
    <x v="1"/>
    <x v="1"/>
    <x v="518"/>
    <x v="518"/>
    <x v="3"/>
    <x v="3"/>
    <x v="5"/>
    <x v="2"/>
    <x v="519"/>
    <x v="0"/>
    <x v="0"/>
    <x v="519"/>
    <x v="519"/>
    <x v="519"/>
    <x v="518"/>
    <x v="519"/>
    <x v="519"/>
    <x v="2"/>
    <x v="2"/>
    <x v="1"/>
    <x v="1"/>
    <x v="0"/>
    <x v="1"/>
    <x v="0"/>
  </r>
  <r>
    <x v="520"/>
    <x v="472"/>
    <x v="359"/>
    <x v="470"/>
    <x v="11"/>
    <x v="507"/>
    <x v="10"/>
    <x v="10"/>
    <x v="3"/>
    <x v="3"/>
    <x v="2"/>
    <x v="2"/>
    <x v="11"/>
    <x v="11"/>
    <x v="12"/>
    <x v="12"/>
    <x v="2"/>
    <x v="2"/>
    <x v="12"/>
    <x v="12"/>
    <x v="519"/>
    <x v="519"/>
    <x v="1"/>
    <x v="1"/>
    <x v="2"/>
    <x v="5"/>
    <x v="520"/>
    <x v="5"/>
    <x v="5"/>
    <x v="520"/>
    <x v="520"/>
    <x v="520"/>
    <x v="519"/>
    <x v="520"/>
    <x v="520"/>
    <x v="0"/>
    <x v="0"/>
    <x v="0"/>
    <x v="0"/>
    <x v="0"/>
    <x v="0"/>
    <x v="0"/>
  </r>
  <r>
    <x v="521"/>
    <x v="473"/>
    <x v="360"/>
    <x v="471"/>
    <x v="356"/>
    <x v="508"/>
    <x v="13"/>
    <x v="13"/>
    <x v="0"/>
    <x v="0"/>
    <x v="4"/>
    <x v="0"/>
    <x v="7"/>
    <x v="7"/>
    <x v="8"/>
    <x v="8"/>
    <x v="0"/>
    <x v="0"/>
    <x v="7"/>
    <x v="7"/>
    <x v="520"/>
    <x v="520"/>
    <x v="0"/>
    <x v="0"/>
    <x v="2"/>
    <x v="3"/>
    <x v="521"/>
    <x v="5"/>
    <x v="5"/>
    <x v="521"/>
    <x v="521"/>
    <x v="521"/>
    <x v="520"/>
    <x v="521"/>
    <x v="521"/>
    <x v="0"/>
    <x v="0"/>
    <x v="0"/>
    <x v="0"/>
    <x v="11"/>
    <x v="1"/>
    <x v="0"/>
  </r>
  <r>
    <x v="522"/>
    <x v="474"/>
    <x v="233"/>
    <x v="431"/>
    <x v="84"/>
    <x v="509"/>
    <x v="6"/>
    <x v="6"/>
    <x v="1"/>
    <x v="1"/>
    <x v="1"/>
    <x v="1"/>
    <x v="15"/>
    <x v="15"/>
    <x v="16"/>
    <x v="16"/>
    <x v="2"/>
    <x v="2"/>
    <x v="11"/>
    <x v="11"/>
    <x v="521"/>
    <x v="521"/>
    <x v="2"/>
    <x v="2"/>
    <x v="9"/>
    <x v="6"/>
    <x v="522"/>
    <x v="1"/>
    <x v="1"/>
    <x v="522"/>
    <x v="522"/>
    <x v="522"/>
    <x v="521"/>
    <x v="522"/>
    <x v="522"/>
    <x v="0"/>
    <x v="0"/>
    <x v="0"/>
    <x v="0"/>
    <x v="6"/>
    <x v="1"/>
    <x v="0"/>
  </r>
  <r>
    <x v="523"/>
    <x v="475"/>
    <x v="155"/>
    <x v="472"/>
    <x v="357"/>
    <x v="510"/>
    <x v="15"/>
    <x v="14"/>
    <x v="3"/>
    <x v="3"/>
    <x v="3"/>
    <x v="3"/>
    <x v="14"/>
    <x v="14"/>
    <x v="15"/>
    <x v="15"/>
    <x v="0"/>
    <x v="0"/>
    <x v="0"/>
    <x v="0"/>
    <x v="522"/>
    <x v="522"/>
    <x v="0"/>
    <x v="0"/>
    <x v="3"/>
    <x v="7"/>
    <x v="523"/>
    <x v="1"/>
    <x v="1"/>
    <x v="523"/>
    <x v="523"/>
    <x v="523"/>
    <x v="522"/>
    <x v="523"/>
    <x v="523"/>
    <x v="0"/>
    <x v="0"/>
    <x v="2"/>
    <x v="2"/>
    <x v="5"/>
    <x v="0"/>
    <x v="0"/>
  </r>
  <r>
    <x v="524"/>
    <x v="476"/>
    <x v="112"/>
    <x v="473"/>
    <x v="358"/>
    <x v="511"/>
    <x v="4"/>
    <x v="4"/>
    <x v="2"/>
    <x v="2"/>
    <x v="3"/>
    <x v="3"/>
    <x v="12"/>
    <x v="12"/>
    <x v="13"/>
    <x v="13"/>
    <x v="1"/>
    <x v="1"/>
    <x v="4"/>
    <x v="4"/>
    <x v="523"/>
    <x v="523"/>
    <x v="2"/>
    <x v="2"/>
    <x v="3"/>
    <x v="6"/>
    <x v="524"/>
    <x v="8"/>
    <x v="6"/>
    <x v="524"/>
    <x v="524"/>
    <x v="524"/>
    <x v="523"/>
    <x v="524"/>
    <x v="524"/>
    <x v="0"/>
    <x v="0"/>
    <x v="0"/>
    <x v="0"/>
    <x v="3"/>
    <x v="0"/>
    <x v="0"/>
  </r>
  <r>
    <x v="525"/>
    <x v="477"/>
    <x v="361"/>
    <x v="474"/>
    <x v="359"/>
    <x v="512"/>
    <x v="8"/>
    <x v="8"/>
    <x v="3"/>
    <x v="3"/>
    <x v="1"/>
    <x v="1"/>
    <x v="6"/>
    <x v="6"/>
    <x v="6"/>
    <x v="6"/>
    <x v="1"/>
    <x v="1"/>
    <x v="4"/>
    <x v="4"/>
    <x v="524"/>
    <x v="524"/>
    <x v="3"/>
    <x v="3"/>
    <x v="6"/>
    <x v="8"/>
    <x v="525"/>
    <x v="8"/>
    <x v="6"/>
    <x v="525"/>
    <x v="525"/>
    <x v="525"/>
    <x v="524"/>
    <x v="525"/>
    <x v="525"/>
    <x v="0"/>
    <x v="0"/>
    <x v="0"/>
    <x v="0"/>
    <x v="9"/>
    <x v="0"/>
    <x v="0"/>
  </r>
  <r>
    <x v="526"/>
    <x v="478"/>
    <x v="362"/>
    <x v="475"/>
    <x v="72"/>
    <x v="513"/>
    <x v="8"/>
    <x v="8"/>
    <x v="0"/>
    <x v="0"/>
    <x v="1"/>
    <x v="1"/>
    <x v="1"/>
    <x v="1"/>
    <x v="1"/>
    <x v="1"/>
    <x v="1"/>
    <x v="1"/>
    <x v="1"/>
    <x v="1"/>
    <x v="525"/>
    <x v="525"/>
    <x v="0"/>
    <x v="0"/>
    <x v="4"/>
    <x v="2"/>
    <x v="526"/>
    <x v="9"/>
    <x v="1"/>
    <x v="526"/>
    <x v="526"/>
    <x v="526"/>
    <x v="525"/>
    <x v="526"/>
    <x v="526"/>
    <x v="0"/>
    <x v="0"/>
    <x v="0"/>
    <x v="0"/>
    <x v="0"/>
    <x v="1"/>
    <x v="1"/>
  </r>
  <r>
    <x v="527"/>
    <x v="479"/>
    <x v="363"/>
    <x v="476"/>
    <x v="27"/>
    <x v="514"/>
    <x v="7"/>
    <x v="7"/>
    <x v="3"/>
    <x v="3"/>
    <x v="4"/>
    <x v="0"/>
    <x v="16"/>
    <x v="16"/>
    <x v="17"/>
    <x v="17"/>
    <x v="0"/>
    <x v="0"/>
    <x v="0"/>
    <x v="0"/>
    <x v="526"/>
    <x v="526"/>
    <x v="2"/>
    <x v="2"/>
    <x v="5"/>
    <x v="8"/>
    <x v="527"/>
    <x v="4"/>
    <x v="4"/>
    <x v="527"/>
    <x v="527"/>
    <x v="527"/>
    <x v="526"/>
    <x v="527"/>
    <x v="527"/>
    <x v="0"/>
    <x v="0"/>
    <x v="0"/>
    <x v="0"/>
    <x v="9"/>
    <x v="1"/>
    <x v="0"/>
  </r>
  <r>
    <x v="528"/>
    <x v="480"/>
    <x v="364"/>
    <x v="477"/>
    <x v="360"/>
    <x v="515"/>
    <x v="13"/>
    <x v="13"/>
    <x v="0"/>
    <x v="0"/>
    <x v="2"/>
    <x v="2"/>
    <x v="17"/>
    <x v="17"/>
    <x v="18"/>
    <x v="18"/>
    <x v="0"/>
    <x v="0"/>
    <x v="9"/>
    <x v="9"/>
    <x v="527"/>
    <x v="527"/>
    <x v="3"/>
    <x v="3"/>
    <x v="7"/>
    <x v="6"/>
    <x v="528"/>
    <x v="5"/>
    <x v="5"/>
    <x v="528"/>
    <x v="528"/>
    <x v="528"/>
    <x v="527"/>
    <x v="528"/>
    <x v="528"/>
    <x v="2"/>
    <x v="2"/>
    <x v="2"/>
    <x v="2"/>
    <x v="9"/>
    <x v="0"/>
    <x v="0"/>
  </r>
  <r>
    <x v="529"/>
    <x v="481"/>
    <x v="365"/>
    <x v="478"/>
    <x v="361"/>
    <x v="203"/>
    <x v="0"/>
    <x v="0"/>
    <x v="0"/>
    <x v="0"/>
    <x v="1"/>
    <x v="1"/>
    <x v="15"/>
    <x v="15"/>
    <x v="16"/>
    <x v="16"/>
    <x v="1"/>
    <x v="1"/>
    <x v="10"/>
    <x v="10"/>
    <x v="528"/>
    <x v="528"/>
    <x v="0"/>
    <x v="0"/>
    <x v="7"/>
    <x v="6"/>
    <x v="529"/>
    <x v="1"/>
    <x v="1"/>
    <x v="529"/>
    <x v="529"/>
    <x v="529"/>
    <x v="528"/>
    <x v="529"/>
    <x v="529"/>
    <x v="0"/>
    <x v="0"/>
    <x v="0"/>
    <x v="0"/>
    <x v="6"/>
    <x v="0"/>
    <x v="0"/>
  </r>
  <r>
    <x v="530"/>
    <x v="482"/>
    <x v="51"/>
    <x v="479"/>
    <x v="219"/>
    <x v="516"/>
    <x v="9"/>
    <x v="9"/>
    <x v="3"/>
    <x v="3"/>
    <x v="2"/>
    <x v="2"/>
    <x v="17"/>
    <x v="17"/>
    <x v="18"/>
    <x v="18"/>
    <x v="0"/>
    <x v="0"/>
    <x v="9"/>
    <x v="9"/>
    <x v="529"/>
    <x v="529"/>
    <x v="3"/>
    <x v="3"/>
    <x v="7"/>
    <x v="6"/>
    <x v="530"/>
    <x v="5"/>
    <x v="5"/>
    <x v="530"/>
    <x v="530"/>
    <x v="530"/>
    <x v="529"/>
    <x v="530"/>
    <x v="530"/>
    <x v="0"/>
    <x v="0"/>
    <x v="0"/>
    <x v="0"/>
    <x v="4"/>
    <x v="1"/>
    <x v="0"/>
  </r>
  <r>
    <x v="531"/>
    <x v="483"/>
    <x v="366"/>
    <x v="480"/>
    <x v="362"/>
    <x v="517"/>
    <x v="13"/>
    <x v="13"/>
    <x v="1"/>
    <x v="1"/>
    <x v="3"/>
    <x v="3"/>
    <x v="3"/>
    <x v="3"/>
    <x v="3"/>
    <x v="3"/>
    <x v="0"/>
    <x v="0"/>
    <x v="8"/>
    <x v="8"/>
    <x v="530"/>
    <x v="530"/>
    <x v="4"/>
    <x v="4"/>
    <x v="2"/>
    <x v="5"/>
    <x v="531"/>
    <x v="8"/>
    <x v="6"/>
    <x v="531"/>
    <x v="531"/>
    <x v="531"/>
    <x v="530"/>
    <x v="531"/>
    <x v="531"/>
    <x v="0"/>
    <x v="0"/>
    <x v="0"/>
    <x v="0"/>
    <x v="1"/>
    <x v="0"/>
    <x v="0"/>
  </r>
  <r>
    <x v="532"/>
    <x v="484"/>
    <x v="367"/>
    <x v="481"/>
    <x v="363"/>
    <x v="518"/>
    <x v="8"/>
    <x v="8"/>
    <x v="2"/>
    <x v="2"/>
    <x v="1"/>
    <x v="1"/>
    <x v="10"/>
    <x v="10"/>
    <x v="11"/>
    <x v="11"/>
    <x v="1"/>
    <x v="1"/>
    <x v="1"/>
    <x v="1"/>
    <x v="531"/>
    <x v="531"/>
    <x v="0"/>
    <x v="0"/>
    <x v="1"/>
    <x v="6"/>
    <x v="532"/>
    <x v="5"/>
    <x v="5"/>
    <x v="532"/>
    <x v="532"/>
    <x v="532"/>
    <x v="531"/>
    <x v="532"/>
    <x v="532"/>
    <x v="3"/>
    <x v="3"/>
    <x v="1"/>
    <x v="1"/>
    <x v="9"/>
    <x v="1"/>
    <x v="0"/>
  </r>
  <r>
    <x v="533"/>
    <x v="485"/>
    <x v="368"/>
    <x v="482"/>
    <x v="364"/>
    <x v="519"/>
    <x v="2"/>
    <x v="2"/>
    <x v="3"/>
    <x v="3"/>
    <x v="4"/>
    <x v="0"/>
    <x v="0"/>
    <x v="0"/>
    <x v="0"/>
    <x v="0"/>
    <x v="1"/>
    <x v="1"/>
    <x v="1"/>
    <x v="1"/>
    <x v="532"/>
    <x v="532"/>
    <x v="1"/>
    <x v="1"/>
    <x v="2"/>
    <x v="3"/>
    <x v="533"/>
    <x v="3"/>
    <x v="3"/>
    <x v="533"/>
    <x v="533"/>
    <x v="533"/>
    <x v="532"/>
    <x v="533"/>
    <x v="533"/>
    <x v="0"/>
    <x v="0"/>
    <x v="0"/>
    <x v="0"/>
    <x v="1"/>
    <x v="0"/>
    <x v="0"/>
  </r>
  <r>
    <x v="534"/>
    <x v="486"/>
    <x v="369"/>
    <x v="483"/>
    <x v="318"/>
    <x v="520"/>
    <x v="12"/>
    <x v="12"/>
    <x v="3"/>
    <x v="3"/>
    <x v="1"/>
    <x v="1"/>
    <x v="9"/>
    <x v="9"/>
    <x v="10"/>
    <x v="10"/>
    <x v="2"/>
    <x v="2"/>
    <x v="5"/>
    <x v="5"/>
    <x v="533"/>
    <x v="533"/>
    <x v="0"/>
    <x v="0"/>
    <x v="9"/>
    <x v="2"/>
    <x v="534"/>
    <x v="8"/>
    <x v="6"/>
    <x v="534"/>
    <x v="534"/>
    <x v="534"/>
    <x v="533"/>
    <x v="534"/>
    <x v="534"/>
    <x v="2"/>
    <x v="2"/>
    <x v="2"/>
    <x v="2"/>
    <x v="5"/>
    <x v="1"/>
    <x v="0"/>
  </r>
  <r>
    <x v="535"/>
    <x v="487"/>
    <x v="370"/>
    <x v="484"/>
    <x v="183"/>
    <x v="521"/>
    <x v="13"/>
    <x v="13"/>
    <x v="1"/>
    <x v="1"/>
    <x v="3"/>
    <x v="3"/>
    <x v="3"/>
    <x v="3"/>
    <x v="3"/>
    <x v="3"/>
    <x v="2"/>
    <x v="2"/>
    <x v="6"/>
    <x v="6"/>
    <x v="534"/>
    <x v="534"/>
    <x v="2"/>
    <x v="2"/>
    <x v="7"/>
    <x v="1"/>
    <x v="535"/>
    <x v="0"/>
    <x v="0"/>
    <x v="535"/>
    <x v="535"/>
    <x v="535"/>
    <x v="534"/>
    <x v="535"/>
    <x v="535"/>
    <x v="0"/>
    <x v="0"/>
    <x v="0"/>
    <x v="0"/>
    <x v="4"/>
    <x v="0"/>
    <x v="0"/>
  </r>
  <r>
    <x v="536"/>
    <x v="488"/>
    <x v="6"/>
    <x v="485"/>
    <x v="365"/>
    <x v="522"/>
    <x v="4"/>
    <x v="4"/>
    <x v="1"/>
    <x v="1"/>
    <x v="3"/>
    <x v="3"/>
    <x v="0"/>
    <x v="0"/>
    <x v="7"/>
    <x v="7"/>
    <x v="1"/>
    <x v="1"/>
    <x v="4"/>
    <x v="4"/>
    <x v="535"/>
    <x v="535"/>
    <x v="2"/>
    <x v="2"/>
    <x v="2"/>
    <x v="4"/>
    <x v="536"/>
    <x v="3"/>
    <x v="3"/>
    <x v="536"/>
    <x v="536"/>
    <x v="536"/>
    <x v="535"/>
    <x v="536"/>
    <x v="536"/>
    <x v="3"/>
    <x v="3"/>
    <x v="1"/>
    <x v="1"/>
    <x v="5"/>
    <x v="1"/>
    <x v="0"/>
  </r>
  <r>
    <x v="537"/>
    <x v="376"/>
    <x v="165"/>
    <x v="486"/>
    <x v="134"/>
    <x v="523"/>
    <x v="4"/>
    <x v="4"/>
    <x v="1"/>
    <x v="1"/>
    <x v="4"/>
    <x v="0"/>
    <x v="16"/>
    <x v="16"/>
    <x v="17"/>
    <x v="17"/>
    <x v="0"/>
    <x v="0"/>
    <x v="2"/>
    <x v="2"/>
    <x v="536"/>
    <x v="536"/>
    <x v="1"/>
    <x v="1"/>
    <x v="9"/>
    <x v="1"/>
    <x v="537"/>
    <x v="5"/>
    <x v="5"/>
    <x v="537"/>
    <x v="537"/>
    <x v="537"/>
    <x v="536"/>
    <x v="537"/>
    <x v="537"/>
    <x v="3"/>
    <x v="3"/>
    <x v="1"/>
    <x v="1"/>
    <x v="10"/>
    <x v="0"/>
    <x v="0"/>
  </r>
  <r>
    <x v="538"/>
    <x v="489"/>
    <x v="107"/>
    <x v="487"/>
    <x v="366"/>
    <x v="524"/>
    <x v="13"/>
    <x v="13"/>
    <x v="1"/>
    <x v="1"/>
    <x v="1"/>
    <x v="1"/>
    <x v="15"/>
    <x v="15"/>
    <x v="16"/>
    <x v="16"/>
    <x v="1"/>
    <x v="1"/>
    <x v="1"/>
    <x v="1"/>
    <x v="537"/>
    <x v="537"/>
    <x v="0"/>
    <x v="0"/>
    <x v="0"/>
    <x v="6"/>
    <x v="538"/>
    <x v="4"/>
    <x v="4"/>
    <x v="538"/>
    <x v="538"/>
    <x v="538"/>
    <x v="537"/>
    <x v="538"/>
    <x v="538"/>
    <x v="0"/>
    <x v="0"/>
    <x v="0"/>
    <x v="0"/>
    <x v="7"/>
    <x v="0"/>
    <x v="0"/>
  </r>
  <r>
    <x v="539"/>
    <x v="490"/>
    <x v="346"/>
    <x v="488"/>
    <x v="195"/>
    <x v="525"/>
    <x v="1"/>
    <x v="1"/>
    <x v="1"/>
    <x v="1"/>
    <x v="2"/>
    <x v="2"/>
    <x v="17"/>
    <x v="17"/>
    <x v="18"/>
    <x v="18"/>
    <x v="1"/>
    <x v="1"/>
    <x v="4"/>
    <x v="4"/>
    <x v="538"/>
    <x v="538"/>
    <x v="3"/>
    <x v="3"/>
    <x v="6"/>
    <x v="1"/>
    <x v="539"/>
    <x v="8"/>
    <x v="6"/>
    <x v="539"/>
    <x v="539"/>
    <x v="539"/>
    <x v="538"/>
    <x v="539"/>
    <x v="539"/>
    <x v="0"/>
    <x v="0"/>
    <x v="1"/>
    <x v="1"/>
    <x v="0"/>
    <x v="1"/>
    <x v="0"/>
  </r>
  <r>
    <x v="540"/>
    <x v="491"/>
    <x v="371"/>
    <x v="489"/>
    <x v="367"/>
    <x v="526"/>
    <x v="15"/>
    <x v="14"/>
    <x v="0"/>
    <x v="0"/>
    <x v="3"/>
    <x v="3"/>
    <x v="12"/>
    <x v="12"/>
    <x v="13"/>
    <x v="13"/>
    <x v="1"/>
    <x v="1"/>
    <x v="3"/>
    <x v="3"/>
    <x v="539"/>
    <x v="539"/>
    <x v="3"/>
    <x v="3"/>
    <x v="8"/>
    <x v="4"/>
    <x v="540"/>
    <x v="0"/>
    <x v="0"/>
    <x v="540"/>
    <x v="540"/>
    <x v="540"/>
    <x v="539"/>
    <x v="540"/>
    <x v="540"/>
    <x v="0"/>
    <x v="0"/>
    <x v="0"/>
    <x v="0"/>
    <x v="6"/>
    <x v="0"/>
    <x v="2"/>
  </r>
  <r>
    <x v="541"/>
    <x v="492"/>
    <x v="73"/>
    <x v="490"/>
    <x v="368"/>
    <x v="527"/>
    <x v="11"/>
    <x v="11"/>
    <x v="0"/>
    <x v="0"/>
    <x v="3"/>
    <x v="3"/>
    <x v="3"/>
    <x v="3"/>
    <x v="3"/>
    <x v="3"/>
    <x v="2"/>
    <x v="2"/>
    <x v="6"/>
    <x v="6"/>
    <x v="540"/>
    <x v="540"/>
    <x v="1"/>
    <x v="1"/>
    <x v="3"/>
    <x v="1"/>
    <x v="541"/>
    <x v="1"/>
    <x v="1"/>
    <x v="541"/>
    <x v="541"/>
    <x v="541"/>
    <x v="540"/>
    <x v="541"/>
    <x v="541"/>
    <x v="0"/>
    <x v="0"/>
    <x v="2"/>
    <x v="2"/>
    <x v="0"/>
    <x v="1"/>
    <x v="0"/>
  </r>
  <r>
    <x v="542"/>
    <x v="493"/>
    <x v="372"/>
    <x v="491"/>
    <x v="287"/>
    <x v="528"/>
    <x v="9"/>
    <x v="9"/>
    <x v="3"/>
    <x v="3"/>
    <x v="2"/>
    <x v="2"/>
    <x v="13"/>
    <x v="13"/>
    <x v="14"/>
    <x v="14"/>
    <x v="1"/>
    <x v="1"/>
    <x v="10"/>
    <x v="10"/>
    <x v="541"/>
    <x v="541"/>
    <x v="0"/>
    <x v="0"/>
    <x v="0"/>
    <x v="1"/>
    <x v="542"/>
    <x v="0"/>
    <x v="0"/>
    <x v="542"/>
    <x v="542"/>
    <x v="542"/>
    <x v="541"/>
    <x v="542"/>
    <x v="542"/>
    <x v="0"/>
    <x v="0"/>
    <x v="1"/>
    <x v="1"/>
    <x v="7"/>
    <x v="0"/>
    <x v="0"/>
  </r>
  <r>
    <x v="543"/>
    <x v="494"/>
    <x v="373"/>
    <x v="492"/>
    <x v="161"/>
    <x v="529"/>
    <x v="1"/>
    <x v="1"/>
    <x v="0"/>
    <x v="0"/>
    <x v="1"/>
    <x v="1"/>
    <x v="9"/>
    <x v="9"/>
    <x v="10"/>
    <x v="10"/>
    <x v="2"/>
    <x v="2"/>
    <x v="6"/>
    <x v="6"/>
    <x v="542"/>
    <x v="542"/>
    <x v="1"/>
    <x v="1"/>
    <x v="0"/>
    <x v="5"/>
    <x v="543"/>
    <x v="4"/>
    <x v="4"/>
    <x v="543"/>
    <x v="543"/>
    <x v="543"/>
    <x v="542"/>
    <x v="543"/>
    <x v="543"/>
    <x v="0"/>
    <x v="0"/>
    <x v="0"/>
    <x v="0"/>
    <x v="0"/>
    <x v="0"/>
    <x v="0"/>
  </r>
  <r>
    <x v="544"/>
    <x v="495"/>
    <x v="298"/>
    <x v="380"/>
    <x v="33"/>
    <x v="530"/>
    <x v="4"/>
    <x v="4"/>
    <x v="0"/>
    <x v="0"/>
    <x v="2"/>
    <x v="2"/>
    <x v="13"/>
    <x v="13"/>
    <x v="14"/>
    <x v="14"/>
    <x v="0"/>
    <x v="0"/>
    <x v="2"/>
    <x v="2"/>
    <x v="543"/>
    <x v="543"/>
    <x v="1"/>
    <x v="1"/>
    <x v="2"/>
    <x v="0"/>
    <x v="544"/>
    <x v="3"/>
    <x v="3"/>
    <x v="544"/>
    <x v="544"/>
    <x v="544"/>
    <x v="543"/>
    <x v="544"/>
    <x v="544"/>
    <x v="0"/>
    <x v="0"/>
    <x v="1"/>
    <x v="1"/>
    <x v="10"/>
    <x v="1"/>
    <x v="0"/>
  </r>
  <r>
    <x v="545"/>
    <x v="496"/>
    <x v="374"/>
    <x v="493"/>
    <x v="369"/>
    <x v="531"/>
    <x v="15"/>
    <x v="14"/>
    <x v="1"/>
    <x v="1"/>
    <x v="1"/>
    <x v="1"/>
    <x v="15"/>
    <x v="15"/>
    <x v="16"/>
    <x v="16"/>
    <x v="0"/>
    <x v="0"/>
    <x v="8"/>
    <x v="8"/>
    <x v="544"/>
    <x v="544"/>
    <x v="1"/>
    <x v="1"/>
    <x v="4"/>
    <x v="4"/>
    <x v="545"/>
    <x v="4"/>
    <x v="4"/>
    <x v="545"/>
    <x v="545"/>
    <x v="545"/>
    <x v="544"/>
    <x v="545"/>
    <x v="545"/>
    <x v="0"/>
    <x v="0"/>
    <x v="0"/>
    <x v="0"/>
    <x v="4"/>
    <x v="0"/>
    <x v="0"/>
  </r>
  <r>
    <x v="546"/>
    <x v="497"/>
    <x v="375"/>
    <x v="494"/>
    <x v="370"/>
    <x v="532"/>
    <x v="3"/>
    <x v="3"/>
    <x v="2"/>
    <x v="2"/>
    <x v="3"/>
    <x v="3"/>
    <x v="12"/>
    <x v="12"/>
    <x v="13"/>
    <x v="13"/>
    <x v="0"/>
    <x v="0"/>
    <x v="0"/>
    <x v="0"/>
    <x v="545"/>
    <x v="545"/>
    <x v="2"/>
    <x v="2"/>
    <x v="9"/>
    <x v="8"/>
    <x v="546"/>
    <x v="4"/>
    <x v="4"/>
    <x v="546"/>
    <x v="546"/>
    <x v="546"/>
    <x v="545"/>
    <x v="546"/>
    <x v="546"/>
    <x v="0"/>
    <x v="0"/>
    <x v="0"/>
    <x v="0"/>
    <x v="1"/>
    <x v="1"/>
    <x v="0"/>
  </r>
  <r>
    <x v="547"/>
    <x v="498"/>
    <x v="174"/>
    <x v="495"/>
    <x v="371"/>
    <x v="533"/>
    <x v="6"/>
    <x v="6"/>
    <x v="1"/>
    <x v="1"/>
    <x v="4"/>
    <x v="0"/>
    <x v="8"/>
    <x v="8"/>
    <x v="9"/>
    <x v="9"/>
    <x v="2"/>
    <x v="2"/>
    <x v="6"/>
    <x v="6"/>
    <x v="546"/>
    <x v="546"/>
    <x v="3"/>
    <x v="3"/>
    <x v="2"/>
    <x v="6"/>
    <x v="547"/>
    <x v="8"/>
    <x v="6"/>
    <x v="547"/>
    <x v="547"/>
    <x v="547"/>
    <x v="546"/>
    <x v="547"/>
    <x v="547"/>
    <x v="0"/>
    <x v="0"/>
    <x v="0"/>
    <x v="0"/>
    <x v="4"/>
    <x v="0"/>
    <x v="0"/>
  </r>
  <r>
    <x v="548"/>
    <x v="499"/>
    <x v="32"/>
    <x v="496"/>
    <x v="34"/>
    <x v="534"/>
    <x v="12"/>
    <x v="12"/>
    <x v="2"/>
    <x v="2"/>
    <x v="1"/>
    <x v="1"/>
    <x v="9"/>
    <x v="9"/>
    <x v="10"/>
    <x v="10"/>
    <x v="1"/>
    <x v="1"/>
    <x v="10"/>
    <x v="10"/>
    <x v="547"/>
    <x v="547"/>
    <x v="1"/>
    <x v="1"/>
    <x v="6"/>
    <x v="5"/>
    <x v="548"/>
    <x v="1"/>
    <x v="1"/>
    <x v="548"/>
    <x v="548"/>
    <x v="548"/>
    <x v="547"/>
    <x v="548"/>
    <x v="548"/>
    <x v="2"/>
    <x v="2"/>
    <x v="1"/>
    <x v="1"/>
    <x v="4"/>
    <x v="0"/>
    <x v="0"/>
  </r>
  <r>
    <x v="549"/>
    <x v="500"/>
    <x v="376"/>
    <x v="497"/>
    <x v="372"/>
    <x v="535"/>
    <x v="1"/>
    <x v="1"/>
    <x v="2"/>
    <x v="2"/>
    <x v="2"/>
    <x v="2"/>
    <x v="2"/>
    <x v="2"/>
    <x v="2"/>
    <x v="2"/>
    <x v="0"/>
    <x v="0"/>
    <x v="2"/>
    <x v="2"/>
    <x v="548"/>
    <x v="548"/>
    <x v="0"/>
    <x v="0"/>
    <x v="7"/>
    <x v="1"/>
    <x v="549"/>
    <x v="8"/>
    <x v="6"/>
    <x v="549"/>
    <x v="549"/>
    <x v="549"/>
    <x v="548"/>
    <x v="549"/>
    <x v="549"/>
    <x v="0"/>
    <x v="0"/>
    <x v="0"/>
    <x v="0"/>
    <x v="9"/>
    <x v="1"/>
    <x v="0"/>
  </r>
  <r>
    <x v="550"/>
    <x v="84"/>
    <x v="82"/>
    <x v="498"/>
    <x v="373"/>
    <x v="536"/>
    <x v="1"/>
    <x v="1"/>
    <x v="3"/>
    <x v="3"/>
    <x v="1"/>
    <x v="1"/>
    <x v="1"/>
    <x v="1"/>
    <x v="1"/>
    <x v="1"/>
    <x v="2"/>
    <x v="2"/>
    <x v="5"/>
    <x v="5"/>
    <x v="549"/>
    <x v="549"/>
    <x v="3"/>
    <x v="3"/>
    <x v="9"/>
    <x v="3"/>
    <x v="550"/>
    <x v="0"/>
    <x v="0"/>
    <x v="550"/>
    <x v="550"/>
    <x v="550"/>
    <x v="549"/>
    <x v="550"/>
    <x v="550"/>
    <x v="0"/>
    <x v="0"/>
    <x v="0"/>
    <x v="0"/>
    <x v="1"/>
    <x v="0"/>
    <x v="0"/>
  </r>
  <r>
    <x v="551"/>
    <x v="501"/>
    <x v="377"/>
    <x v="499"/>
    <x v="209"/>
    <x v="537"/>
    <x v="11"/>
    <x v="11"/>
    <x v="0"/>
    <x v="0"/>
    <x v="1"/>
    <x v="1"/>
    <x v="15"/>
    <x v="15"/>
    <x v="16"/>
    <x v="16"/>
    <x v="1"/>
    <x v="1"/>
    <x v="4"/>
    <x v="4"/>
    <x v="550"/>
    <x v="550"/>
    <x v="0"/>
    <x v="0"/>
    <x v="6"/>
    <x v="1"/>
    <x v="551"/>
    <x v="4"/>
    <x v="4"/>
    <x v="551"/>
    <x v="551"/>
    <x v="551"/>
    <x v="550"/>
    <x v="551"/>
    <x v="551"/>
    <x v="0"/>
    <x v="0"/>
    <x v="0"/>
    <x v="0"/>
    <x v="6"/>
    <x v="0"/>
    <x v="0"/>
  </r>
  <r>
    <x v="552"/>
    <x v="21"/>
    <x v="21"/>
    <x v="500"/>
    <x v="21"/>
    <x v="538"/>
    <x v="4"/>
    <x v="4"/>
    <x v="2"/>
    <x v="2"/>
    <x v="1"/>
    <x v="1"/>
    <x v="6"/>
    <x v="6"/>
    <x v="6"/>
    <x v="6"/>
    <x v="2"/>
    <x v="2"/>
    <x v="6"/>
    <x v="6"/>
    <x v="551"/>
    <x v="551"/>
    <x v="3"/>
    <x v="3"/>
    <x v="0"/>
    <x v="0"/>
    <x v="552"/>
    <x v="11"/>
    <x v="7"/>
    <x v="552"/>
    <x v="552"/>
    <x v="552"/>
    <x v="551"/>
    <x v="552"/>
    <x v="552"/>
    <x v="0"/>
    <x v="0"/>
    <x v="0"/>
    <x v="0"/>
    <x v="10"/>
    <x v="1"/>
    <x v="0"/>
  </r>
  <r>
    <x v="553"/>
    <x v="502"/>
    <x v="378"/>
    <x v="501"/>
    <x v="374"/>
    <x v="539"/>
    <x v="10"/>
    <x v="10"/>
    <x v="1"/>
    <x v="1"/>
    <x v="3"/>
    <x v="3"/>
    <x v="12"/>
    <x v="12"/>
    <x v="13"/>
    <x v="13"/>
    <x v="0"/>
    <x v="0"/>
    <x v="8"/>
    <x v="8"/>
    <x v="552"/>
    <x v="552"/>
    <x v="2"/>
    <x v="2"/>
    <x v="4"/>
    <x v="6"/>
    <x v="553"/>
    <x v="3"/>
    <x v="3"/>
    <x v="553"/>
    <x v="553"/>
    <x v="553"/>
    <x v="552"/>
    <x v="553"/>
    <x v="553"/>
    <x v="0"/>
    <x v="0"/>
    <x v="0"/>
    <x v="0"/>
    <x v="5"/>
    <x v="1"/>
    <x v="0"/>
  </r>
  <r>
    <x v="554"/>
    <x v="503"/>
    <x v="379"/>
    <x v="502"/>
    <x v="359"/>
    <x v="540"/>
    <x v="3"/>
    <x v="3"/>
    <x v="0"/>
    <x v="0"/>
    <x v="5"/>
    <x v="4"/>
    <x v="15"/>
    <x v="15"/>
    <x v="16"/>
    <x v="16"/>
    <x v="1"/>
    <x v="1"/>
    <x v="3"/>
    <x v="3"/>
    <x v="553"/>
    <x v="553"/>
    <x v="3"/>
    <x v="3"/>
    <x v="1"/>
    <x v="2"/>
    <x v="554"/>
    <x v="5"/>
    <x v="5"/>
    <x v="554"/>
    <x v="554"/>
    <x v="554"/>
    <x v="553"/>
    <x v="554"/>
    <x v="554"/>
    <x v="0"/>
    <x v="0"/>
    <x v="0"/>
    <x v="0"/>
    <x v="9"/>
    <x v="0"/>
    <x v="0"/>
  </r>
  <r>
    <x v="555"/>
    <x v="504"/>
    <x v="209"/>
    <x v="503"/>
    <x v="214"/>
    <x v="541"/>
    <x v="4"/>
    <x v="4"/>
    <x v="1"/>
    <x v="1"/>
    <x v="2"/>
    <x v="2"/>
    <x v="2"/>
    <x v="2"/>
    <x v="2"/>
    <x v="2"/>
    <x v="0"/>
    <x v="0"/>
    <x v="8"/>
    <x v="8"/>
    <x v="554"/>
    <x v="554"/>
    <x v="3"/>
    <x v="3"/>
    <x v="0"/>
    <x v="3"/>
    <x v="555"/>
    <x v="5"/>
    <x v="5"/>
    <x v="555"/>
    <x v="555"/>
    <x v="555"/>
    <x v="554"/>
    <x v="555"/>
    <x v="555"/>
    <x v="0"/>
    <x v="0"/>
    <x v="0"/>
    <x v="0"/>
    <x v="6"/>
    <x v="1"/>
    <x v="0"/>
  </r>
  <r>
    <x v="556"/>
    <x v="281"/>
    <x v="162"/>
    <x v="387"/>
    <x v="97"/>
    <x v="542"/>
    <x v="6"/>
    <x v="6"/>
    <x v="0"/>
    <x v="0"/>
    <x v="4"/>
    <x v="0"/>
    <x v="16"/>
    <x v="16"/>
    <x v="17"/>
    <x v="17"/>
    <x v="1"/>
    <x v="1"/>
    <x v="1"/>
    <x v="1"/>
    <x v="555"/>
    <x v="555"/>
    <x v="2"/>
    <x v="2"/>
    <x v="0"/>
    <x v="5"/>
    <x v="556"/>
    <x v="1"/>
    <x v="1"/>
    <x v="556"/>
    <x v="556"/>
    <x v="556"/>
    <x v="555"/>
    <x v="556"/>
    <x v="556"/>
    <x v="0"/>
    <x v="0"/>
    <x v="2"/>
    <x v="2"/>
    <x v="2"/>
    <x v="0"/>
    <x v="0"/>
  </r>
  <r>
    <x v="557"/>
    <x v="505"/>
    <x v="16"/>
    <x v="504"/>
    <x v="337"/>
    <x v="543"/>
    <x v="5"/>
    <x v="5"/>
    <x v="3"/>
    <x v="3"/>
    <x v="4"/>
    <x v="0"/>
    <x v="16"/>
    <x v="16"/>
    <x v="17"/>
    <x v="17"/>
    <x v="2"/>
    <x v="2"/>
    <x v="11"/>
    <x v="11"/>
    <x v="556"/>
    <x v="556"/>
    <x v="2"/>
    <x v="2"/>
    <x v="0"/>
    <x v="6"/>
    <x v="557"/>
    <x v="5"/>
    <x v="5"/>
    <x v="557"/>
    <x v="557"/>
    <x v="557"/>
    <x v="556"/>
    <x v="557"/>
    <x v="557"/>
    <x v="0"/>
    <x v="0"/>
    <x v="1"/>
    <x v="1"/>
    <x v="4"/>
    <x v="0"/>
    <x v="0"/>
  </r>
  <r>
    <x v="558"/>
    <x v="506"/>
    <x v="380"/>
    <x v="505"/>
    <x v="252"/>
    <x v="544"/>
    <x v="7"/>
    <x v="7"/>
    <x v="2"/>
    <x v="2"/>
    <x v="4"/>
    <x v="0"/>
    <x v="7"/>
    <x v="7"/>
    <x v="8"/>
    <x v="8"/>
    <x v="2"/>
    <x v="2"/>
    <x v="12"/>
    <x v="12"/>
    <x v="557"/>
    <x v="557"/>
    <x v="2"/>
    <x v="2"/>
    <x v="6"/>
    <x v="0"/>
    <x v="558"/>
    <x v="0"/>
    <x v="0"/>
    <x v="558"/>
    <x v="558"/>
    <x v="558"/>
    <x v="557"/>
    <x v="558"/>
    <x v="558"/>
    <x v="0"/>
    <x v="0"/>
    <x v="0"/>
    <x v="0"/>
    <x v="7"/>
    <x v="1"/>
    <x v="0"/>
  </r>
  <r>
    <x v="559"/>
    <x v="421"/>
    <x v="326"/>
    <x v="506"/>
    <x v="375"/>
    <x v="545"/>
    <x v="13"/>
    <x v="13"/>
    <x v="2"/>
    <x v="2"/>
    <x v="1"/>
    <x v="1"/>
    <x v="9"/>
    <x v="9"/>
    <x v="10"/>
    <x v="10"/>
    <x v="2"/>
    <x v="2"/>
    <x v="6"/>
    <x v="6"/>
    <x v="558"/>
    <x v="558"/>
    <x v="0"/>
    <x v="0"/>
    <x v="2"/>
    <x v="8"/>
    <x v="559"/>
    <x v="8"/>
    <x v="6"/>
    <x v="559"/>
    <x v="559"/>
    <x v="559"/>
    <x v="558"/>
    <x v="559"/>
    <x v="559"/>
    <x v="0"/>
    <x v="0"/>
    <x v="2"/>
    <x v="2"/>
    <x v="7"/>
    <x v="1"/>
    <x v="0"/>
  </r>
  <r>
    <x v="560"/>
    <x v="507"/>
    <x v="381"/>
    <x v="507"/>
    <x v="376"/>
    <x v="546"/>
    <x v="3"/>
    <x v="3"/>
    <x v="0"/>
    <x v="0"/>
    <x v="3"/>
    <x v="3"/>
    <x v="14"/>
    <x v="14"/>
    <x v="15"/>
    <x v="15"/>
    <x v="0"/>
    <x v="0"/>
    <x v="8"/>
    <x v="8"/>
    <x v="559"/>
    <x v="559"/>
    <x v="3"/>
    <x v="3"/>
    <x v="0"/>
    <x v="2"/>
    <x v="560"/>
    <x v="1"/>
    <x v="1"/>
    <x v="560"/>
    <x v="560"/>
    <x v="560"/>
    <x v="559"/>
    <x v="560"/>
    <x v="560"/>
    <x v="0"/>
    <x v="0"/>
    <x v="1"/>
    <x v="1"/>
    <x v="10"/>
    <x v="0"/>
    <x v="0"/>
  </r>
  <r>
    <x v="561"/>
    <x v="508"/>
    <x v="118"/>
    <x v="508"/>
    <x v="115"/>
    <x v="547"/>
    <x v="7"/>
    <x v="7"/>
    <x v="0"/>
    <x v="0"/>
    <x v="4"/>
    <x v="0"/>
    <x v="7"/>
    <x v="7"/>
    <x v="8"/>
    <x v="8"/>
    <x v="2"/>
    <x v="2"/>
    <x v="6"/>
    <x v="6"/>
    <x v="560"/>
    <x v="560"/>
    <x v="2"/>
    <x v="2"/>
    <x v="5"/>
    <x v="2"/>
    <x v="561"/>
    <x v="1"/>
    <x v="1"/>
    <x v="561"/>
    <x v="561"/>
    <x v="561"/>
    <x v="560"/>
    <x v="561"/>
    <x v="561"/>
    <x v="2"/>
    <x v="2"/>
    <x v="2"/>
    <x v="2"/>
    <x v="0"/>
    <x v="1"/>
    <x v="0"/>
  </r>
  <r>
    <x v="562"/>
    <x v="509"/>
    <x v="323"/>
    <x v="509"/>
    <x v="327"/>
    <x v="548"/>
    <x v="0"/>
    <x v="0"/>
    <x v="0"/>
    <x v="0"/>
    <x v="4"/>
    <x v="0"/>
    <x v="7"/>
    <x v="7"/>
    <x v="8"/>
    <x v="8"/>
    <x v="0"/>
    <x v="0"/>
    <x v="9"/>
    <x v="9"/>
    <x v="561"/>
    <x v="561"/>
    <x v="1"/>
    <x v="1"/>
    <x v="0"/>
    <x v="4"/>
    <x v="562"/>
    <x v="0"/>
    <x v="0"/>
    <x v="562"/>
    <x v="562"/>
    <x v="562"/>
    <x v="561"/>
    <x v="562"/>
    <x v="562"/>
    <x v="3"/>
    <x v="3"/>
    <x v="2"/>
    <x v="2"/>
    <x v="4"/>
    <x v="0"/>
    <x v="0"/>
  </r>
  <r>
    <x v="563"/>
    <x v="510"/>
    <x v="382"/>
    <x v="510"/>
    <x v="377"/>
    <x v="549"/>
    <x v="3"/>
    <x v="3"/>
    <x v="2"/>
    <x v="2"/>
    <x v="3"/>
    <x v="3"/>
    <x v="14"/>
    <x v="14"/>
    <x v="15"/>
    <x v="15"/>
    <x v="1"/>
    <x v="1"/>
    <x v="1"/>
    <x v="1"/>
    <x v="562"/>
    <x v="562"/>
    <x v="3"/>
    <x v="3"/>
    <x v="0"/>
    <x v="6"/>
    <x v="563"/>
    <x v="0"/>
    <x v="0"/>
    <x v="563"/>
    <x v="563"/>
    <x v="563"/>
    <x v="562"/>
    <x v="563"/>
    <x v="563"/>
    <x v="2"/>
    <x v="2"/>
    <x v="1"/>
    <x v="1"/>
    <x v="4"/>
    <x v="0"/>
    <x v="0"/>
  </r>
  <r>
    <x v="564"/>
    <x v="66"/>
    <x v="65"/>
    <x v="511"/>
    <x v="350"/>
    <x v="550"/>
    <x v="11"/>
    <x v="11"/>
    <x v="2"/>
    <x v="2"/>
    <x v="2"/>
    <x v="2"/>
    <x v="5"/>
    <x v="5"/>
    <x v="5"/>
    <x v="5"/>
    <x v="1"/>
    <x v="1"/>
    <x v="1"/>
    <x v="1"/>
    <x v="563"/>
    <x v="563"/>
    <x v="2"/>
    <x v="2"/>
    <x v="5"/>
    <x v="7"/>
    <x v="564"/>
    <x v="0"/>
    <x v="0"/>
    <x v="564"/>
    <x v="564"/>
    <x v="564"/>
    <x v="563"/>
    <x v="564"/>
    <x v="564"/>
    <x v="0"/>
    <x v="0"/>
    <x v="0"/>
    <x v="0"/>
    <x v="3"/>
    <x v="0"/>
    <x v="0"/>
  </r>
  <r>
    <x v="565"/>
    <x v="511"/>
    <x v="383"/>
    <x v="29"/>
    <x v="29"/>
    <x v="551"/>
    <x v="1"/>
    <x v="1"/>
    <x v="2"/>
    <x v="2"/>
    <x v="4"/>
    <x v="0"/>
    <x v="18"/>
    <x v="18"/>
    <x v="19"/>
    <x v="19"/>
    <x v="2"/>
    <x v="2"/>
    <x v="11"/>
    <x v="11"/>
    <x v="564"/>
    <x v="564"/>
    <x v="3"/>
    <x v="3"/>
    <x v="0"/>
    <x v="3"/>
    <x v="565"/>
    <x v="0"/>
    <x v="0"/>
    <x v="565"/>
    <x v="565"/>
    <x v="565"/>
    <x v="564"/>
    <x v="565"/>
    <x v="565"/>
    <x v="1"/>
    <x v="1"/>
    <x v="1"/>
    <x v="1"/>
    <x v="1"/>
    <x v="1"/>
    <x v="0"/>
  </r>
  <r>
    <x v="566"/>
    <x v="457"/>
    <x v="349"/>
    <x v="512"/>
    <x v="378"/>
    <x v="552"/>
    <x v="11"/>
    <x v="11"/>
    <x v="1"/>
    <x v="1"/>
    <x v="3"/>
    <x v="3"/>
    <x v="3"/>
    <x v="3"/>
    <x v="3"/>
    <x v="3"/>
    <x v="0"/>
    <x v="0"/>
    <x v="0"/>
    <x v="0"/>
    <x v="565"/>
    <x v="565"/>
    <x v="1"/>
    <x v="1"/>
    <x v="9"/>
    <x v="7"/>
    <x v="566"/>
    <x v="8"/>
    <x v="6"/>
    <x v="566"/>
    <x v="566"/>
    <x v="566"/>
    <x v="565"/>
    <x v="566"/>
    <x v="566"/>
    <x v="3"/>
    <x v="3"/>
    <x v="2"/>
    <x v="2"/>
    <x v="1"/>
    <x v="0"/>
    <x v="0"/>
  </r>
  <r>
    <x v="567"/>
    <x v="512"/>
    <x v="365"/>
    <x v="513"/>
    <x v="379"/>
    <x v="553"/>
    <x v="3"/>
    <x v="3"/>
    <x v="3"/>
    <x v="3"/>
    <x v="4"/>
    <x v="0"/>
    <x v="8"/>
    <x v="8"/>
    <x v="9"/>
    <x v="9"/>
    <x v="1"/>
    <x v="1"/>
    <x v="3"/>
    <x v="3"/>
    <x v="162"/>
    <x v="162"/>
    <x v="1"/>
    <x v="1"/>
    <x v="5"/>
    <x v="5"/>
    <x v="567"/>
    <x v="5"/>
    <x v="5"/>
    <x v="567"/>
    <x v="567"/>
    <x v="567"/>
    <x v="566"/>
    <x v="567"/>
    <x v="567"/>
    <x v="0"/>
    <x v="0"/>
    <x v="0"/>
    <x v="0"/>
    <x v="6"/>
    <x v="0"/>
    <x v="0"/>
  </r>
  <r>
    <x v="568"/>
    <x v="315"/>
    <x v="259"/>
    <x v="514"/>
    <x v="44"/>
    <x v="554"/>
    <x v="15"/>
    <x v="14"/>
    <x v="2"/>
    <x v="2"/>
    <x v="4"/>
    <x v="0"/>
    <x v="7"/>
    <x v="7"/>
    <x v="8"/>
    <x v="8"/>
    <x v="2"/>
    <x v="2"/>
    <x v="12"/>
    <x v="12"/>
    <x v="566"/>
    <x v="566"/>
    <x v="1"/>
    <x v="1"/>
    <x v="4"/>
    <x v="5"/>
    <x v="568"/>
    <x v="3"/>
    <x v="3"/>
    <x v="568"/>
    <x v="568"/>
    <x v="568"/>
    <x v="567"/>
    <x v="568"/>
    <x v="568"/>
    <x v="0"/>
    <x v="0"/>
    <x v="0"/>
    <x v="0"/>
    <x v="10"/>
    <x v="0"/>
    <x v="0"/>
  </r>
  <r>
    <x v="569"/>
    <x v="513"/>
    <x v="260"/>
    <x v="515"/>
    <x v="88"/>
    <x v="555"/>
    <x v="9"/>
    <x v="9"/>
    <x v="3"/>
    <x v="3"/>
    <x v="3"/>
    <x v="3"/>
    <x v="3"/>
    <x v="3"/>
    <x v="3"/>
    <x v="3"/>
    <x v="1"/>
    <x v="1"/>
    <x v="3"/>
    <x v="3"/>
    <x v="567"/>
    <x v="567"/>
    <x v="3"/>
    <x v="3"/>
    <x v="7"/>
    <x v="3"/>
    <x v="569"/>
    <x v="3"/>
    <x v="3"/>
    <x v="569"/>
    <x v="569"/>
    <x v="569"/>
    <x v="568"/>
    <x v="569"/>
    <x v="569"/>
    <x v="1"/>
    <x v="1"/>
    <x v="2"/>
    <x v="2"/>
    <x v="7"/>
    <x v="1"/>
    <x v="0"/>
  </r>
  <r>
    <x v="570"/>
    <x v="159"/>
    <x v="142"/>
    <x v="516"/>
    <x v="370"/>
    <x v="556"/>
    <x v="3"/>
    <x v="3"/>
    <x v="0"/>
    <x v="0"/>
    <x v="1"/>
    <x v="1"/>
    <x v="15"/>
    <x v="15"/>
    <x v="16"/>
    <x v="16"/>
    <x v="1"/>
    <x v="1"/>
    <x v="3"/>
    <x v="3"/>
    <x v="568"/>
    <x v="568"/>
    <x v="0"/>
    <x v="0"/>
    <x v="5"/>
    <x v="1"/>
    <x v="570"/>
    <x v="3"/>
    <x v="3"/>
    <x v="570"/>
    <x v="570"/>
    <x v="570"/>
    <x v="569"/>
    <x v="570"/>
    <x v="570"/>
    <x v="3"/>
    <x v="3"/>
    <x v="2"/>
    <x v="2"/>
    <x v="1"/>
    <x v="1"/>
    <x v="0"/>
  </r>
  <r>
    <x v="571"/>
    <x v="514"/>
    <x v="220"/>
    <x v="517"/>
    <x v="290"/>
    <x v="557"/>
    <x v="8"/>
    <x v="8"/>
    <x v="1"/>
    <x v="1"/>
    <x v="4"/>
    <x v="0"/>
    <x v="8"/>
    <x v="8"/>
    <x v="9"/>
    <x v="9"/>
    <x v="2"/>
    <x v="2"/>
    <x v="11"/>
    <x v="11"/>
    <x v="569"/>
    <x v="569"/>
    <x v="4"/>
    <x v="4"/>
    <x v="5"/>
    <x v="8"/>
    <x v="571"/>
    <x v="1"/>
    <x v="1"/>
    <x v="571"/>
    <x v="571"/>
    <x v="571"/>
    <x v="570"/>
    <x v="571"/>
    <x v="571"/>
    <x v="3"/>
    <x v="3"/>
    <x v="2"/>
    <x v="2"/>
    <x v="6"/>
    <x v="1"/>
    <x v="0"/>
  </r>
  <r>
    <x v="572"/>
    <x v="515"/>
    <x v="384"/>
    <x v="518"/>
    <x v="380"/>
    <x v="558"/>
    <x v="19"/>
    <x v="13"/>
    <x v="2"/>
    <x v="2"/>
    <x v="4"/>
    <x v="0"/>
    <x v="18"/>
    <x v="18"/>
    <x v="19"/>
    <x v="19"/>
    <x v="2"/>
    <x v="2"/>
    <x v="11"/>
    <x v="11"/>
    <x v="570"/>
    <x v="570"/>
    <x v="3"/>
    <x v="3"/>
    <x v="2"/>
    <x v="1"/>
    <x v="572"/>
    <x v="0"/>
    <x v="0"/>
    <x v="572"/>
    <x v="572"/>
    <x v="572"/>
    <x v="571"/>
    <x v="572"/>
    <x v="572"/>
    <x v="0"/>
    <x v="0"/>
    <x v="0"/>
    <x v="0"/>
    <x v="10"/>
    <x v="0"/>
    <x v="0"/>
  </r>
  <r>
    <x v="573"/>
    <x v="516"/>
    <x v="385"/>
    <x v="519"/>
    <x v="116"/>
    <x v="559"/>
    <x v="2"/>
    <x v="2"/>
    <x v="0"/>
    <x v="0"/>
    <x v="2"/>
    <x v="2"/>
    <x v="5"/>
    <x v="5"/>
    <x v="5"/>
    <x v="5"/>
    <x v="2"/>
    <x v="2"/>
    <x v="11"/>
    <x v="11"/>
    <x v="571"/>
    <x v="571"/>
    <x v="3"/>
    <x v="3"/>
    <x v="5"/>
    <x v="5"/>
    <x v="573"/>
    <x v="1"/>
    <x v="1"/>
    <x v="573"/>
    <x v="573"/>
    <x v="573"/>
    <x v="572"/>
    <x v="573"/>
    <x v="573"/>
    <x v="0"/>
    <x v="0"/>
    <x v="0"/>
    <x v="0"/>
    <x v="7"/>
    <x v="1"/>
    <x v="0"/>
  </r>
  <r>
    <x v="574"/>
    <x v="517"/>
    <x v="99"/>
    <x v="520"/>
    <x v="381"/>
    <x v="227"/>
    <x v="13"/>
    <x v="13"/>
    <x v="3"/>
    <x v="3"/>
    <x v="4"/>
    <x v="0"/>
    <x v="7"/>
    <x v="7"/>
    <x v="8"/>
    <x v="8"/>
    <x v="2"/>
    <x v="2"/>
    <x v="12"/>
    <x v="12"/>
    <x v="572"/>
    <x v="572"/>
    <x v="3"/>
    <x v="3"/>
    <x v="1"/>
    <x v="2"/>
    <x v="574"/>
    <x v="1"/>
    <x v="1"/>
    <x v="574"/>
    <x v="574"/>
    <x v="574"/>
    <x v="573"/>
    <x v="574"/>
    <x v="574"/>
    <x v="0"/>
    <x v="0"/>
    <x v="0"/>
    <x v="0"/>
    <x v="6"/>
    <x v="0"/>
    <x v="0"/>
  </r>
  <r>
    <x v="575"/>
    <x v="518"/>
    <x v="328"/>
    <x v="521"/>
    <x v="227"/>
    <x v="560"/>
    <x v="11"/>
    <x v="11"/>
    <x v="3"/>
    <x v="3"/>
    <x v="2"/>
    <x v="2"/>
    <x v="13"/>
    <x v="13"/>
    <x v="14"/>
    <x v="14"/>
    <x v="1"/>
    <x v="1"/>
    <x v="3"/>
    <x v="3"/>
    <x v="573"/>
    <x v="573"/>
    <x v="1"/>
    <x v="1"/>
    <x v="4"/>
    <x v="2"/>
    <x v="575"/>
    <x v="0"/>
    <x v="0"/>
    <x v="575"/>
    <x v="575"/>
    <x v="575"/>
    <x v="574"/>
    <x v="575"/>
    <x v="575"/>
    <x v="3"/>
    <x v="3"/>
    <x v="2"/>
    <x v="2"/>
    <x v="11"/>
    <x v="1"/>
    <x v="0"/>
  </r>
  <r>
    <x v="576"/>
    <x v="519"/>
    <x v="386"/>
    <x v="522"/>
    <x v="367"/>
    <x v="561"/>
    <x v="12"/>
    <x v="12"/>
    <x v="3"/>
    <x v="3"/>
    <x v="5"/>
    <x v="4"/>
    <x v="9"/>
    <x v="9"/>
    <x v="10"/>
    <x v="10"/>
    <x v="0"/>
    <x v="0"/>
    <x v="9"/>
    <x v="9"/>
    <x v="574"/>
    <x v="574"/>
    <x v="3"/>
    <x v="3"/>
    <x v="0"/>
    <x v="6"/>
    <x v="576"/>
    <x v="1"/>
    <x v="1"/>
    <x v="576"/>
    <x v="576"/>
    <x v="576"/>
    <x v="575"/>
    <x v="576"/>
    <x v="576"/>
    <x v="1"/>
    <x v="1"/>
    <x v="2"/>
    <x v="2"/>
    <x v="6"/>
    <x v="0"/>
    <x v="0"/>
  </r>
  <r>
    <x v="577"/>
    <x v="64"/>
    <x v="63"/>
    <x v="523"/>
    <x v="382"/>
    <x v="562"/>
    <x v="8"/>
    <x v="8"/>
    <x v="2"/>
    <x v="2"/>
    <x v="3"/>
    <x v="3"/>
    <x v="4"/>
    <x v="4"/>
    <x v="4"/>
    <x v="4"/>
    <x v="1"/>
    <x v="1"/>
    <x v="3"/>
    <x v="3"/>
    <x v="575"/>
    <x v="575"/>
    <x v="3"/>
    <x v="3"/>
    <x v="0"/>
    <x v="4"/>
    <x v="577"/>
    <x v="1"/>
    <x v="1"/>
    <x v="577"/>
    <x v="577"/>
    <x v="577"/>
    <x v="576"/>
    <x v="577"/>
    <x v="577"/>
    <x v="0"/>
    <x v="0"/>
    <x v="0"/>
    <x v="0"/>
    <x v="1"/>
    <x v="1"/>
    <x v="0"/>
  </r>
  <r>
    <x v="578"/>
    <x v="520"/>
    <x v="204"/>
    <x v="524"/>
    <x v="367"/>
    <x v="62"/>
    <x v="6"/>
    <x v="6"/>
    <x v="1"/>
    <x v="1"/>
    <x v="3"/>
    <x v="3"/>
    <x v="12"/>
    <x v="12"/>
    <x v="13"/>
    <x v="13"/>
    <x v="2"/>
    <x v="2"/>
    <x v="6"/>
    <x v="6"/>
    <x v="576"/>
    <x v="576"/>
    <x v="2"/>
    <x v="2"/>
    <x v="7"/>
    <x v="3"/>
    <x v="578"/>
    <x v="5"/>
    <x v="5"/>
    <x v="578"/>
    <x v="578"/>
    <x v="578"/>
    <x v="577"/>
    <x v="578"/>
    <x v="578"/>
    <x v="0"/>
    <x v="0"/>
    <x v="0"/>
    <x v="0"/>
    <x v="6"/>
    <x v="0"/>
    <x v="0"/>
  </r>
  <r>
    <x v="579"/>
    <x v="521"/>
    <x v="387"/>
    <x v="525"/>
    <x v="236"/>
    <x v="563"/>
    <x v="10"/>
    <x v="10"/>
    <x v="1"/>
    <x v="1"/>
    <x v="2"/>
    <x v="2"/>
    <x v="17"/>
    <x v="17"/>
    <x v="18"/>
    <x v="18"/>
    <x v="0"/>
    <x v="0"/>
    <x v="8"/>
    <x v="8"/>
    <x v="577"/>
    <x v="577"/>
    <x v="1"/>
    <x v="1"/>
    <x v="1"/>
    <x v="5"/>
    <x v="579"/>
    <x v="1"/>
    <x v="1"/>
    <x v="579"/>
    <x v="579"/>
    <x v="579"/>
    <x v="578"/>
    <x v="579"/>
    <x v="579"/>
    <x v="0"/>
    <x v="0"/>
    <x v="0"/>
    <x v="0"/>
    <x v="2"/>
    <x v="0"/>
    <x v="0"/>
  </r>
  <r>
    <x v="580"/>
    <x v="522"/>
    <x v="388"/>
    <x v="526"/>
    <x v="383"/>
    <x v="564"/>
    <x v="15"/>
    <x v="14"/>
    <x v="0"/>
    <x v="0"/>
    <x v="2"/>
    <x v="2"/>
    <x v="13"/>
    <x v="13"/>
    <x v="14"/>
    <x v="14"/>
    <x v="1"/>
    <x v="1"/>
    <x v="4"/>
    <x v="4"/>
    <x v="578"/>
    <x v="578"/>
    <x v="3"/>
    <x v="3"/>
    <x v="2"/>
    <x v="1"/>
    <x v="580"/>
    <x v="4"/>
    <x v="4"/>
    <x v="580"/>
    <x v="580"/>
    <x v="580"/>
    <x v="579"/>
    <x v="580"/>
    <x v="580"/>
    <x v="3"/>
    <x v="3"/>
    <x v="2"/>
    <x v="2"/>
    <x v="11"/>
    <x v="1"/>
    <x v="0"/>
  </r>
  <r>
    <x v="581"/>
    <x v="239"/>
    <x v="210"/>
    <x v="527"/>
    <x v="152"/>
    <x v="565"/>
    <x v="6"/>
    <x v="6"/>
    <x v="0"/>
    <x v="0"/>
    <x v="4"/>
    <x v="0"/>
    <x v="18"/>
    <x v="18"/>
    <x v="19"/>
    <x v="19"/>
    <x v="0"/>
    <x v="0"/>
    <x v="2"/>
    <x v="2"/>
    <x v="579"/>
    <x v="579"/>
    <x v="0"/>
    <x v="0"/>
    <x v="3"/>
    <x v="2"/>
    <x v="581"/>
    <x v="1"/>
    <x v="1"/>
    <x v="581"/>
    <x v="581"/>
    <x v="581"/>
    <x v="580"/>
    <x v="581"/>
    <x v="581"/>
    <x v="1"/>
    <x v="1"/>
    <x v="2"/>
    <x v="2"/>
    <x v="1"/>
    <x v="1"/>
    <x v="0"/>
  </r>
  <r>
    <x v="582"/>
    <x v="523"/>
    <x v="389"/>
    <x v="528"/>
    <x v="341"/>
    <x v="566"/>
    <x v="4"/>
    <x v="4"/>
    <x v="0"/>
    <x v="0"/>
    <x v="1"/>
    <x v="1"/>
    <x v="1"/>
    <x v="1"/>
    <x v="1"/>
    <x v="1"/>
    <x v="0"/>
    <x v="0"/>
    <x v="2"/>
    <x v="2"/>
    <x v="580"/>
    <x v="580"/>
    <x v="2"/>
    <x v="2"/>
    <x v="1"/>
    <x v="8"/>
    <x v="582"/>
    <x v="1"/>
    <x v="1"/>
    <x v="582"/>
    <x v="582"/>
    <x v="582"/>
    <x v="581"/>
    <x v="582"/>
    <x v="582"/>
    <x v="2"/>
    <x v="2"/>
    <x v="2"/>
    <x v="2"/>
    <x v="9"/>
    <x v="0"/>
    <x v="0"/>
  </r>
  <r>
    <x v="583"/>
    <x v="524"/>
    <x v="230"/>
    <x v="529"/>
    <x v="98"/>
    <x v="567"/>
    <x v="12"/>
    <x v="12"/>
    <x v="1"/>
    <x v="1"/>
    <x v="1"/>
    <x v="1"/>
    <x v="6"/>
    <x v="6"/>
    <x v="6"/>
    <x v="6"/>
    <x v="0"/>
    <x v="0"/>
    <x v="8"/>
    <x v="8"/>
    <x v="581"/>
    <x v="581"/>
    <x v="2"/>
    <x v="2"/>
    <x v="6"/>
    <x v="5"/>
    <x v="583"/>
    <x v="0"/>
    <x v="0"/>
    <x v="583"/>
    <x v="583"/>
    <x v="583"/>
    <x v="582"/>
    <x v="583"/>
    <x v="583"/>
    <x v="3"/>
    <x v="3"/>
    <x v="2"/>
    <x v="2"/>
    <x v="6"/>
    <x v="0"/>
    <x v="0"/>
  </r>
  <r>
    <x v="584"/>
    <x v="525"/>
    <x v="390"/>
    <x v="530"/>
    <x v="373"/>
    <x v="568"/>
    <x v="5"/>
    <x v="5"/>
    <x v="0"/>
    <x v="0"/>
    <x v="1"/>
    <x v="1"/>
    <x v="9"/>
    <x v="9"/>
    <x v="10"/>
    <x v="10"/>
    <x v="0"/>
    <x v="0"/>
    <x v="2"/>
    <x v="2"/>
    <x v="582"/>
    <x v="582"/>
    <x v="1"/>
    <x v="1"/>
    <x v="0"/>
    <x v="5"/>
    <x v="584"/>
    <x v="4"/>
    <x v="4"/>
    <x v="584"/>
    <x v="584"/>
    <x v="584"/>
    <x v="583"/>
    <x v="584"/>
    <x v="584"/>
    <x v="2"/>
    <x v="2"/>
    <x v="2"/>
    <x v="2"/>
    <x v="1"/>
    <x v="0"/>
    <x v="0"/>
  </r>
  <r>
    <x v="585"/>
    <x v="309"/>
    <x v="257"/>
    <x v="531"/>
    <x v="384"/>
    <x v="569"/>
    <x v="13"/>
    <x v="13"/>
    <x v="1"/>
    <x v="1"/>
    <x v="3"/>
    <x v="3"/>
    <x v="3"/>
    <x v="3"/>
    <x v="3"/>
    <x v="3"/>
    <x v="2"/>
    <x v="2"/>
    <x v="11"/>
    <x v="11"/>
    <x v="583"/>
    <x v="583"/>
    <x v="2"/>
    <x v="2"/>
    <x v="4"/>
    <x v="0"/>
    <x v="585"/>
    <x v="1"/>
    <x v="1"/>
    <x v="585"/>
    <x v="585"/>
    <x v="585"/>
    <x v="584"/>
    <x v="585"/>
    <x v="585"/>
    <x v="0"/>
    <x v="0"/>
    <x v="0"/>
    <x v="0"/>
    <x v="2"/>
    <x v="1"/>
    <x v="0"/>
  </r>
  <r>
    <x v="586"/>
    <x v="526"/>
    <x v="312"/>
    <x v="532"/>
    <x v="385"/>
    <x v="570"/>
    <x v="1"/>
    <x v="1"/>
    <x v="3"/>
    <x v="3"/>
    <x v="4"/>
    <x v="0"/>
    <x v="7"/>
    <x v="7"/>
    <x v="8"/>
    <x v="8"/>
    <x v="0"/>
    <x v="0"/>
    <x v="9"/>
    <x v="9"/>
    <x v="584"/>
    <x v="584"/>
    <x v="0"/>
    <x v="0"/>
    <x v="6"/>
    <x v="4"/>
    <x v="586"/>
    <x v="0"/>
    <x v="0"/>
    <x v="586"/>
    <x v="586"/>
    <x v="586"/>
    <x v="585"/>
    <x v="586"/>
    <x v="586"/>
    <x v="0"/>
    <x v="0"/>
    <x v="0"/>
    <x v="0"/>
    <x v="5"/>
    <x v="1"/>
    <x v="0"/>
  </r>
  <r>
    <x v="587"/>
    <x v="527"/>
    <x v="391"/>
    <x v="533"/>
    <x v="386"/>
    <x v="571"/>
    <x v="15"/>
    <x v="14"/>
    <x v="3"/>
    <x v="3"/>
    <x v="3"/>
    <x v="3"/>
    <x v="4"/>
    <x v="4"/>
    <x v="4"/>
    <x v="4"/>
    <x v="2"/>
    <x v="2"/>
    <x v="5"/>
    <x v="5"/>
    <x v="585"/>
    <x v="585"/>
    <x v="2"/>
    <x v="2"/>
    <x v="9"/>
    <x v="5"/>
    <x v="587"/>
    <x v="4"/>
    <x v="4"/>
    <x v="587"/>
    <x v="587"/>
    <x v="587"/>
    <x v="586"/>
    <x v="587"/>
    <x v="587"/>
    <x v="1"/>
    <x v="1"/>
    <x v="1"/>
    <x v="1"/>
    <x v="0"/>
    <x v="1"/>
    <x v="0"/>
  </r>
  <r>
    <x v="588"/>
    <x v="528"/>
    <x v="328"/>
    <x v="534"/>
    <x v="332"/>
    <x v="572"/>
    <x v="10"/>
    <x v="10"/>
    <x v="3"/>
    <x v="3"/>
    <x v="2"/>
    <x v="2"/>
    <x v="11"/>
    <x v="11"/>
    <x v="12"/>
    <x v="12"/>
    <x v="2"/>
    <x v="2"/>
    <x v="5"/>
    <x v="5"/>
    <x v="586"/>
    <x v="586"/>
    <x v="0"/>
    <x v="0"/>
    <x v="5"/>
    <x v="0"/>
    <x v="588"/>
    <x v="8"/>
    <x v="6"/>
    <x v="588"/>
    <x v="588"/>
    <x v="588"/>
    <x v="587"/>
    <x v="588"/>
    <x v="588"/>
    <x v="1"/>
    <x v="1"/>
    <x v="1"/>
    <x v="1"/>
    <x v="11"/>
    <x v="1"/>
    <x v="0"/>
  </r>
  <r>
    <x v="589"/>
    <x v="529"/>
    <x v="392"/>
    <x v="535"/>
    <x v="387"/>
    <x v="573"/>
    <x v="12"/>
    <x v="12"/>
    <x v="2"/>
    <x v="2"/>
    <x v="4"/>
    <x v="0"/>
    <x v="8"/>
    <x v="8"/>
    <x v="9"/>
    <x v="9"/>
    <x v="2"/>
    <x v="2"/>
    <x v="11"/>
    <x v="11"/>
    <x v="587"/>
    <x v="587"/>
    <x v="2"/>
    <x v="2"/>
    <x v="0"/>
    <x v="1"/>
    <x v="589"/>
    <x v="1"/>
    <x v="1"/>
    <x v="589"/>
    <x v="589"/>
    <x v="589"/>
    <x v="588"/>
    <x v="589"/>
    <x v="589"/>
    <x v="0"/>
    <x v="0"/>
    <x v="0"/>
    <x v="0"/>
    <x v="8"/>
    <x v="0"/>
    <x v="0"/>
  </r>
  <r>
    <x v="590"/>
    <x v="33"/>
    <x v="32"/>
    <x v="536"/>
    <x v="34"/>
    <x v="574"/>
    <x v="10"/>
    <x v="10"/>
    <x v="3"/>
    <x v="3"/>
    <x v="4"/>
    <x v="0"/>
    <x v="18"/>
    <x v="18"/>
    <x v="19"/>
    <x v="19"/>
    <x v="1"/>
    <x v="1"/>
    <x v="4"/>
    <x v="4"/>
    <x v="588"/>
    <x v="588"/>
    <x v="1"/>
    <x v="1"/>
    <x v="6"/>
    <x v="3"/>
    <x v="590"/>
    <x v="1"/>
    <x v="1"/>
    <x v="590"/>
    <x v="590"/>
    <x v="590"/>
    <x v="589"/>
    <x v="590"/>
    <x v="590"/>
    <x v="5"/>
    <x v="2"/>
    <x v="1"/>
    <x v="1"/>
    <x v="4"/>
    <x v="0"/>
    <x v="0"/>
  </r>
  <r>
    <x v="591"/>
    <x v="530"/>
    <x v="393"/>
    <x v="537"/>
    <x v="388"/>
    <x v="575"/>
    <x v="11"/>
    <x v="11"/>
    <x v="0"/>
    <x v="0"/>
    <x v="2"/>
    <x v="2"/>
    <x v="11"/>
    <x v="11"/>
    <x v="12"/>
    <x v="12"/>
    <x v="2"/>
    <x v="2"/>
    <x v="6"/>
    <x v="6"/>
    <x v="589"/>
    <x v="589"/>
    <x v="2"/>
    <x v="2"/>
    <x v="7"/>
    <x v="1"/>
    <x v="591"/>
    <x v="1"/>
    <x v="1"/>
    <x v="591"/>
    <x v="591"/>
    <x v="591"/>
    <x v="590"/>
    <x v="591"/>
    <x v="591"/>
    <x v="3"/>
    <x v="3"/>
    <x v="2"/>
    <x v="2"/>
    <x v="6"/>
    <x v="0"/>
    <x v="0"/>
  </r>
  <r>
    <x v="592"/>
    <x v="142"/>
    <x v="23"/>
    <x v="538"/>
    <x v="389"/>
    <x v="576"/>
    <x v="1"/>
    <x v="1"/>
    <x v="0"/>
    <x v="0"/>
    <x v="1"/>
    <x v="1"/>
    <x v="6"/>
    <x v="6"/>
    <x v="6"/>
    <x v="6"/>
    <x v="2"/>
    <x v="2"/>
    <x v="5"/>
    <x v="5"/>
    <x v="590"/>
    <x v="590"/>
    <x v="1"/>
    <x v="1"/>
    <x v="1"/>
    <x v="0"/>
    <x v="592"/>
    <x v="4"/>
    <x v="4"/>
    <x v="592"/>
    <x v="592"/>
    <x v="592"/>
    <x v="591"/>
    <x v="592"/>
    <x v="592"/>
    <x v="0"/>
    <x v="0"/>
    <x v="0"/>
    <x v="0"/>
    <x v="11"/>
    <x v="0"/>
    <x v="0"/>
  </r>
  <r>
    <x v="593"/>
    <x v="531"/>
    <x v="75"/>
    <x v="539"/>
    <x v="270"/>
    <x v="509"/>
    <x v="3"/>
    <x v="3"/>
    <x v="3"/>
    <x v="3"/>
    <x v="4"/>
    <x v="0"/>
    <x v="8"/>
    <x v="8"/>
    <x v="9"/>
    <x v="9"/>
    <x v="1"/>
    <x v="1"/>
    <x v="1"/>
    <x v="1"/>
    <x v="591"/>
    <x v="591"/>
    <x v="0"/>
    <x v="0"/>
    <x v="7"/>
    <x v="6"/>
    <x v="593"/>
    <x v="3"/>
    <x v="3"/>
    <x v="593"/>
    <x v="593"/>
    <x v="593"/>
    <x v="592"/>
    <x v="593"/>
    <x v="593"/>
    <x v="0"/>
    <x v="0"/>
    <x v="0"/>
    <x v="0"/>
    <x v="7"/>
    <x v="1"/>
    <x v="0"/>
  </r>
  <r>
    <x v="594"/>
    <x v="532"/>
    <x v="277"/>
    <x v="205"/>
    <x v="182"/>
    <x v="577"/>
    <x v="0"/>
    <x v="0"/>
    <x v="1"/>
    <x v="1"/>
    <x v="1"/>
    <x v="1"/>
    <x v="6"/>
    <x v="6"/>
    <x v="6"/>
    <x v="6"/>
    <x v="1"/>
    <x v="1"/>
    <x v="4"/>
    <x v="4"/>
    <x v="592"/>
    <x v="592"/>
    <x v="2"/>
    <x v="2"/>
    <x v="7"/>
    <x v="1"/>
    <x v="594"/>
    <x v="1"/>
    <x v="1"/>
    <x v="594"/>
    <x v="594"/>
    <x v="594"/>
    <x v="593"/>
    <x v="594"/>
    <x v="594"/>
    <x v="0"/>
    <x v="0"/>
    <x v="0"/>
    <x v="0"/>
    <x v="7"/>
    <x v="0"/>
    <x v="0"/>
  </r>
  <r>
    <x v="595"/>
    <x v="533"/>
    <x v="394"/>
    <x v="540"/>
    <x v="390"/>
    <x v="578"/>
    <x v="1"/>
    <x v="1"/>
    <x v="2"/>
    <x v="2"/>
    <x v="4"/>
    <x v="0"/>
    <x v="8"/>
    <x v="8"/>
    <x v="9"/>
    <x v="9"/>
    <x v="2"/>
    <x v="2"/>
    <x v="11"/>
    <x v="11"/>
    <x v="593"/>
    <x v="593"/>
    <x v="2"/>
    <x v="2"/>
    <x v="1"/>
    <x v="0"/>
    <x v="595"/>
    <x v="8"/>
    <x v="6"/>
    <x v="595"/>
    <x v="595"/>
    <x v="595"/>
    <x v="594"/>
    <x v="595"/>
    <x v="595"/>
    <x v="0"/>
    <x v="0"/>
    <x v="0"/>
    <x v="0"/>
    <x v="6"/>
    <x v="1"/>
    <x v="0"/>
  </r>
  <r>
    <x v="596"/>
    <x v="534"/>
    <x v="395"/>
    <x v="61"/>
    <x v="57"/>
    <x v="579"/>
    <x v="7"/>
    <x v="7"/>
    <x v="0"/>
    <x v="0"/>
    <x v="2"/>
    <x v="2"/>
    <x v="13"/>
    <x v="13"/>
    <x v="14"/>
    <x v="14"/>
    <x v="1"/>
    <x v="1"/>
    <x v="4"/>
    <x v="4"/>
    <x v="594"/>
    <x v="594"/>
    <x v="0"/>
    <x v="0"/>
    <x v="0"/>
    <x v="6"/>
    <x v="596"/>
    <x v="3"/>
    <x v="3"/>
    <x v="596"/>
    <x v="596"/>
    <x v="596"/>
    <x v="595"/>
    <x v="596"/>
    <x v="596"/>
    <x v="0"/>
    <x v="0"/>
    <x v="0"/>
    <x v="0"/>
    <x v="5"/>
    <x v="0"/>
    <x v="0"/>
  </r>
  <r>
    <x v="597"/>
    <x v="535"/>
    <x v="73"/>
    <x v="541"/>
    <x v="391"/>
    <x v="580"/>
    <x v="7"/>
    <x v="7"/>
    <x v="0"/>
    <x v="0"/>
    <x v="2"/>
    <x v="2"/>
    <x v="2"/>
    <x v="2"/>
    <x v="2"/>
    <x v="2"/>
    <x v="2"/>
    <x v="2"/>
    <x v="6"/>
    <x v="6"/>
    <x v="595"/>
    <x v="595"/>
    <x v="1"/>
    <x v="1"/>
    <x v="6"/>
    <x v="6"/>
    <x v="597"/>
    <x v="3"/>
    <x v="3"/>
    <x v="597"/>
    <x v="597"/>
    <x v="597"/>
    <x v="596"/>
    <x v="597"/>
    <x v="597"/>
    <x v="0"/>
    <x v="0"/>
    <x v="0"/>
    <x v="0"/>
    <x v="0"/>
    <x v="1"/>
    <x v="0"/>
  </r>
  <r>
    <x v="598"/>
    <x v="536"/>
    <x v="396"/>
    <x v="542"/>
    <x v="206"/>
    <x v="581"/>
    <x v="4"/>
    <x v="4"/>
    <x v="2"/>
    <x v="2"/>
    <x v="1"/>
    <x v="1"/>
    <x v="6"/>
    <x v="6"/>
    <x v="6"/>
    <x v="6"/>
    <x v="2"/>
    <x v="2"/>
    <x v="6"/>
    <x v="6"/>
    <x v="596"/>
    <x v="596"/>
    <x v="1"/>
    <x v="1"/>
    <x v="2"/>
    <x v="1"/>
    <x v="598"/>
    <x v="3"/>
    <x v="3"/>
    <x v="598"/>
    <x v="598"/>
    <x v="598"/>
    <x v="597"/>
    <x v="598"/>
    <x v="598"/>
    <x v="0"/>
    <x v="0"/>
    <x v="0"/>
    <x v="0"/>
    <x v="1"/>
    <x v="0"/>
    <x v="0"/>
  </r>
  <r>
    <x v="599"/>
    <x v="537"/>
    <x v="397"/>
    <x v="343"/>
    <x v="283"/>
    <x v="582"/>
    <x v="3"/>
    <x v="3"/>
    <x v="0"/>
    <x v="0"/>
    <x v="4"/>
    <x v="0"/>
    <x v="7"/>
    <x v="7"/>
    <x v="8"/>
    <x v="8"/>
    <x v="2"/>
    <x v="2"/>
    <x v="11"/>
    <x v="11"/>
    <x v="597"/>
    <x v="597"/>
    <x v="2"/>
    <x v="2"/>
    <x v="7"/>
    <x v="1"/>
    <x v="599"/>
    <x v="3"/>
    <x v="3"/>
    <x v="599"/>
    <x v="599"/>
    <x v="599"/>
    <x v="598"/>
    <x v="599"/>
    <x v="599"/>
    <x v="0"/>
    <x v="0"/>
    <x v="0"/>
    <x v="0"/>
    <x v="1"/>
    <x v="0"/>
    <x v="0"/>
  </r>
  <r>
    <x v="600"/>
    <x v="538"/>
    <x v="398"/>
    <x v="543"/>
    <x v="392"/>
    <x v="583"/>
    <x v="4"/>
    <x v="4"/>
    <x v="2"/>
    <x v="2"/>
    <x v="3"/>
    <x v="3"/>
    <x v="4"/>
    <x v="4"/>
    <x v="4"/>
    <x v="4"/>
    <x v="0"/>
    <x v="0"/>
    <x v="8"/>
    <x v="8"/>
    <x v="598"/>
    <x v="598"/>
    <x v="1"/>
    <x v="1"/>
    <x v="2"/>
    <x v="1"/>
    <x v="600"/>
    <x v="9"/>
    <x v="1"/>
    <x v="600"/>
    <x v="600"/>
    <x v="600"/>
    <x v="599"/>
    <x v="600"/>
    <x v="600"/>
    <x v="0"/>
    <x v="0"/>
    <x v="0"/>
    <x v="0"/>
    <x v="11"/>
    <x v="1"/>
    <x v="1"/>
  </r>
  <r>
    <x v="601"/>
    <x v="539"/>
    <x v="92"/>
    <x v="544"/>
    <x v="393"/>
    <x v="584"/>
    <x v="4"/>
    <x v="4"/>
    <x v="3"/>
    <x v="3"/>
    <x v="1"/>
    <x v="1"/>
    <x v="6"/>
    <x v="6"/>
    <x v="6"/>
    <x v="6"/>
    <x v="0"/>
    <x v="0"/>
    <x v="0"/>
    <x v="0"/>
    <x v="599"/>
    <x v="599"/>
    <x v="0"/>
    <x v="0"/>
    <x v="1"/>
    <x v="8"/>
    <x v="601"/>
    <x v="0"/>
    <x v="0"/>
    <x v="601"/>
    <x v="601"/>
    <x v="601"/>
    <x v="600"/>
    <x v="601"/>
    <x v="601"/>
    <x v="0"/>
    <x v="0"/>
    <x v="0"/>
    <x v="0"/>
    <x v="10"/>
    <x v="0"/>
    <x v="0"/>
  </r>
  <r>
    <x v="602"/>
    <x v="540"/>
    <x v="355"/>
    <x v="545"/>
    <x v="394"/>
    <x v="585"/>
    <x v="10"/>
    <x v="10"/>
    <x v="0"/>
    <x v="0"/>
    <x v="1"/>
    <x v="1"/>
    <x v="15"/>
    <x v="15"/>
    <x v="16"/>
    <x v="16"/>
    <x v="2"/>
    <x v="2"/>
    <x v="6"/>
    <x v="6"/>
    <x v="600"/>
    <x v="600"/>
    <x v="0"/>
    <x v="0"/>
    <x v="2"/>
    <x v="6"/>
    <x v="602"/>
    <x v="4"/>
    <x v="4"/>
    <x v="602"/>
    <x v="602"/>
    <x v="602"/>
    <x v="601"/>
    <x v="602"/>
    <x v="602"/>
    <x v="0"/>
    <x v="0"/>
    <x v="0"/>
    <x v="0"/>
    <x v="9"/>
    <x v="0"/>
    <x v="0"/>
  </r>
  <r>
    <x v="603"/>
    <x v="541"/>
    <x v="399"/>
    <x v="98"/>
    <x v="91"/>
    <x v="75"/>
    <x v="5"/>
    <x v="5"/>
    <x v="2"/>
    <x v="2"/>
    <x v="1"/>
    <x v="1"/>
    <x v="9"/>
    <x v="9"/>
    <x v="10"/>
    <x v="10"/>
    <x v="4"/>
    <x v="2"/>
    <x v="5"/>
    <x v="5"/>
    <x v="601"/>
    <x v="601"/>
    <x v="2"/>
    <x v="2"/>
    <x v="9"/>
    <x v="0"/>
    <x v="603"/>
    <x v="5"/>
    <x v="5"/>
    <x v="603"/>
    <x v="603"/>
    <x v="603"/>
    <x v="602"/>
    <x v="603"/>
    <x v="603"/>
    <x v="2"/>
    <x v="2"/>
    <x v="1"/>
    <x v="1"/>
    <x v="10"/>
    <x v="1"/>
    <x v="0"/>
  </r>
  <r>
    <x v="604"/>
    <x v="542"/>
    <x v="400"/>
    <x v="546"/>
    <x v="395"/>
    <x v="586"/>
    <x v="4"/>
    <x v="4"/>
    <x v="0"/>
    <x v="0"/>
    <x v="3"/>
    <x v="3"/>
    <x v="4"/>
    <x v="4"/>
    <x v="4"/>
    <x v="4"/>
    <x v="0"/>
    <x v="0"/>
    <x v="9"/>
    <x v="9"/>
    <x v="602"/>
    <x v="602"/>
    <x v="1"/>
    <x v="1"/>
    <x v="3"/>
    <x v="1"/>
    <x v="604"/>
    <x v="1"/>
    <x v="1"/>
    <x v="604"/>
    <x v="604"/>
    <x v="604"/>
    <x v="281"/>
    <x v="282"/>
    <x v="604"/>
    <x v="0"/>
    <x v="0"/>
    <x v="0"/>
    <x v="0"/>
    <x v="6"/>
    <x v="1"/>
    <x v="0"/>
  </r>
  <r>
    <x v="605"/>
    <x v="543"/>
    <x v="401"/>
    <x v="547"/>
    <x v="396"/>
    <x v="587"/>
    <x v="15"/>
    <x v="14"/>
    <x v="2"/>
    <x v="2"/>
    <x v="3"/>
    <x v="3"/>
    <x v="14"/>
    <x v="14"/>
    <x v="15"/>
    <x v="15"/>
    <x v="1"/>
    <x v="1"/>
    <x v="3"/>
    <x v="3"/>
    <x v="603"/>
    <x v="603"/>
    <x v="0"/>
    <x v="0"/>
    <x v="5"/>
    <x v="8"/>
    <x v="605"/>
    <x v="15"/>
    <x v="9"/>
    <x v="605"/>
    <x v="605"/>
    <x v="605"/>
    <x v="603"/>
    <x v="604"/>
    <x v="605"/>
    <x v="0"/>
    <x v="0"/>
    <x v="1"/>
    <x v="1"/>
    <x v="0"/>
    <x v="1"/>
    <x v="0"/>
  </r>
  <r>
    <x v="606"/>
    <x v="544"/>
    <x v="402"/>
    <x v="548"/>
    <x v="284"/>
    <x v="588"/>
    <x v="9"/>
    <x v="9"/>
    <x v="3"/>
    <x v="3"/>
    <x v="3"/>
    <x v="3"/>
    <x v="4"/>
    <x v="4"/>
    <x v="4"/>
    <x v="4"/>
    <x v="2"/>
    <x v="2"/>
    <x v="6"/>
    <x v="6"/>
    <x v="604"/>
    <x v="604"/>
    <x v="1"/>
    <x v="1"/>
    <x v="0"/>
    <x v="1"/>
    <x v="606"/>
    <x v="3"/>
    <x v="3"/>
    <x v="606"/>
    <x v="606"/>
    <x v="606"/>
    <x v="604"/>
    <x v="605"/>
    <x v="606"/>
    <x v="0"/>
    <x v="0"/>
    <x v="0"/>
    <x v="0"/>
    <x v="6"/>
    <x v="1"/>
    <x v="0"/>
  </r>
  <r>
    <x v="607"/>
    <x v="545"/>
    <x v="403"/>
    <x v="549"/>
    <x v="265"/>
    <x v="589"/>
    <x v="11"/>
    <x v="11"/>
    <x v="3"/>
    <x v="3"/>
    <x v="1"/>
    <x v="1"/>
    <x v="9"/>
    <x v="9"/>
    <x v="10"/>
    <x v="10"/>
    <x v="0"/>
    <x v="0"/>
    <x v="8"/>
    <x v="8"/>
    <x v="605"/>
    <x v="605"/>
    <x v="1"/>
    <x v="1"/>
    <x v="0"/>
    <x v="8"/>
    <x v="607"/>
    <x v="4"/>
    <x v="4"/>
    <x v="607"/>
    <x v="607"/>
    <x v="607"/>
    <x v="605"/>
    <x v="606"/>
    <x v="607"/>
    <x v="0"/>
    <x v="0"/>
    <x v="0"/>
    <x v="0"/>
    <x v="6"/>
    <x v="1"/>
    <x v="0"/>
  </r>
  <r>
    <x v="608"/>
    <x v="546"/>
    <x v="212"/>
    <x v="550"/>
    <x v="397"/>
    <x v="518"/>
    <x v="0"/>
    <x v="0"/>
    <x v="3"/>
    <x v="3"/>
    <x v="3"/>
    <x v="3"/>
    <x v="14"/>
    <x v="14"/>
    <x v="15"/>
    <x v="15"/>
    <x v="1"/>
    <x v="1"/>
    <x v="3"/>
    <x v="3"/>
    <x v="606"/>
    <x v="606"/>
    <x v="0"/>
    <x v="0"/>
    <x v="7"/>
    <x v="6"/>
    <x v="608"/>
    <x v="1"/>
    <x v="1"/>
    <x v="608"/>
    <x v="608"/>
    <x v="608"/>
    <x v="606"/>
    <x v="607"/>
    <x v="608"/>
    <x v="0"/>
    <x v="0"/>
    <x v="0"/>
    <x v="0"/>
    <x v="2"/>
    <x v="0"/>
    <x v="0"/>
  </r>
  <r>
    <x v="609"/>
    <x v="380"/>
    <x v="297"/>
    <x v="551"/>
    <x v="398"/>
    <x v="590"/>
    <x v="11"/>
    <x v="11"/>
    <x v="3"/>
    <x v="3"/>
    <x v="2"/>
    <x v="2"/>
    <x v="11"/>
    <x v="11"/>
    <x v="12"/>
    <x v="12"/>
    <x v="1"/>
    <x v="1"/>
    <x v="4"/>
    <x v="4"/>
    <x v="607"/>
    <x v="607"/>
    <x v="3"/>
    <x v="3"/>
    <x v="5"/>
    <x v="4"/>
    <x v="609"/>
    <x v="1"/>
    <x v="1"/>
    <x v="609"/>
    <x v="609"/>
    <x v="609"/>
    <x v="607"/>
    <x v="608"/>
    <x v="609"/>
    <x v="0"/>
    <x v="0"/>
    <x v="0"/>
    <x v="0"/>
    <x v="10"/>
    <x v="1"/>
    <x v="0"/>
  </r>
  <r>
    <x v="610"/>
    <x v="547"/>
    <x v="404"/>
    <x v="552"/>
    <x v="399"/>
    <x v="412"/>
    <x v="0"/>
    <x v="0"/>
    <x v="3"/>
    <x v="3"/>
    <x v="3"/>
    <x v="3"/>
    <x v="4"/>
    <x v="4"/>
    <x v="4"/>
    <x v="4"/>
    <x v="1"/>
    <x v="1"/>
    <x v="4"/>
    <x v="4"/>
    <x v="608"/>
    <x v="608"/>
    <x v="3"/>
    <x v="3"/>
    <x v="6"/>
    <x v="5"/>
    <x v="610"/>
    <x v="8"/>
    <x v="6"/>
    <x v="610"/>
    <x v="610"/>
    <x v="610"/>
    <x v="608"/>
    <x v="609"/>
    <x v="610"/>
    <x v="0"/>
    <x v="0"/>
    <x v="0"/>
    <x v="0"/>
    <x v="4"/>
    <x v="0"/>
    <x v="0"/>
  </r>
  <r>
    <x v="611"/>
    <x v="492"/>
    <x v="73"/>
    <x v="553"/>
    <x v="400"/>
    <x v="591"/>
    <x v="4"/>
    <x v="4"/>
    <x v="8"/>
    <x v="1"/>
    <x v="4"/>
    <x v="0"/>
    <x v="0"/>
    <x v="0"/>
    <x v="0"/>
    <x v="0"/>
    <x v="0"/>
    <x v="0"/>
    <x v="9"/>
    <x v="9"/>
    <x v="609"/>
    <x v="609"/>
    <x v="1"/>
    <x v="1"/>
    <x v="2"/>
    <x v="0"/>
    <x v="611"/>
    <x v="8"/>
    <x v="6"/>
    <x v="611"/>
    <x v="611"/>
    <x v="611"/>
    <x v="609"/>
    <x v="610"/>
    <x v="611"/>
    <x v="0"/>
    <x v="0"/>
    <x v="0"/>
    <x v="0"/>
    <x v="0"/>
    <x v="1"/>
    <x v="0"/>
  </r>
  <r>
    <x v="612"/>
    <x v="548"/>
    <x v="205"/>
    <x v="554"/>
    <x v="130"/>
    <x v="592"/>
    <x v="7"/>
    <x v="7"/>
    <x v="0"/>
    <x v="0"/>
    <x v="5"/>
    <x v="4"/>
    <x v="1"/>
    <x v="1"/>
    <x v="1"/>
    <x v="1"/>
    <x v="2"/>
    <x v="2"/>
    <x v="11"/>
    <x v="11"/>
    <x v="610"/>
    <x v="610"/>
    <x v="3"/>
    <x v="3"/>
    <x v="2"/>
    <x v="5"/>
    <x v="612"/>
    <x v="1"/>
    <x v="1"/>
    <x v="612"/>
    <x v="612"/>
    <x v="612"/>
    <x v="610"/>
    <x v="611"/>
    <x v="612"/>
    <x v="0"/>
    <x v="0"/>
    <x v="0"/>
    <x v="0"/>
    <x v="5"/>
    <x v="1"/>
    <x v="0"/>
  </r>
  <r>
    <x v="613"/>
    <x v="549"/>
    <x v="405"/>
    <x v="555"/>
    <x v="401"/>
    <x v="593"/>
    <x v="13"/>
    <x v="13"/>
    <x v="3"/>
    <x v="3"/>
    <x v="3"/>
    <x v="3"/>
    <x v="12"/>
    <x v="12"/>
    <x v="13"/>
    <x v="13"/>
    <x v="2"/>
    <x v="2"/>
    <x v="12"/>
    <x v="12"/>
    <x v="611"/>
    <x v="611"/>
    <x v="1"/>
    <x v="1"/>
    <x v="1"/>
    <x v="6"/>
    <x v="613"/>
    <x v="3"/>
    <x v="3"/>
    <x v="613"/>
    <x v="613"/>
    <x v="613"/>
    <x v="611"/>
    <x v="612"/>
    <x v="613"/>
    <x v="0"/>
    <x v="0"/>
    <x v="0"/>
    <x v="0"/>
    <x v="9"/>
    <x v="0"/>
    <x v="0"/>
  </r>
  <r>
    <x v="614"/>
    <x v="431"/>
    <x v="69"/>
    <x v="556"/>
    <x v="402"/>
    <x v="594"/>
    <x v="4"/>
    <x v="4"/>
    <x v="3"/>
    <x v="3"/>
    <x v="2"/>
    <x v="2"/>
    <x v="2"/>
    <x v="2"/>
    <x v="2"/>
    <x v="2"/>
    <x v="1"/>
    <x v="1"/>
    <x v="4"/>
    <x v="4"/>
    <x v="612"/>
    <x v="612"/>
    <x v="3"/>
    <x v="3"/>
    <x v="9"/>
    <x v="0"/>
    <x v="614"/>
    <x v="3"/>
    <x v="3"/>
    <x v="614"/>
    <x v="614"/>
    <x v="614"/>
    <x v="612"/>
    <x v="613"/>
    <x v="614"/>
    <x v="1"/>
    <x v="1"/>
    <x v="1"/>
    <x v="1"/>
    <x v="6"/>
    <x v="0"/>
    <x v="0"/>
  </r>
  <r>
    <x v="615"/>
    <x v="550"/>
    <x v="406"/>
    <x v="557"/>
    <x v="403"/>
    <x v="595"/>
    <x v="9"/>
    <x v="9"/>
    <x v="2"/>
    <x v="2"/>
    <x v="2"/>
    <x v="2"/>
    <x v="13"/>
    <x v="13"/>
    <x v="14"/>
    <x v="14"/>
    <x v="0"/>
    <x v="0"/>
    <x v="2"/>
    <x v="2"/>
    <x v="613"/>
    <x v="613"/>
    <x v="0"/>
    <x v="0"/>
    <x v="4"/>
    <x v="7"/>
    <x v="615"/>
    <x v="8"/>
    <x v="6"/>
    <x v="615"/>
    <x v="615"/>
    <x v="615"/>
    <x v="613"/>
    <x v="614"/>
    <x v="615"/>
    <x v="0"/>
    <x v="0"/>
    <x v="4"/>
    <x v="0"/>
    <x v="9"/>
    <x v="0"/>
    <x v="0"/>
  </r>
  <r>
    <x v="616"/>
    <x v="551"/>
    <x v="407"/>
    <x v="558"/>
    <x v="378"/>
    <x v="596"/>
    <x v="15"/>
    <x v="14"/>
    <x v="0"/>
    <x v="0"/>
    <x v="2"/>
    <x v="2"/>
    <x v="2"/>
    <x v="2"/>
    <x v="2"/>
    <x v="2"/>
    <x v="0"/>
    <x v="0"/>
    <x v="0"/>
    <x v="0"/>
    <x v="614"/>
    <x v="614"/>
    <x v="3"/>
    <x v="3"/>
    <x v="4"/>
    <x v="3"/>
    <x v="616"/>
    <x v="0"/>
    <x v="0"/>
    <x v="616"/>
    <x v="616"/>
    <x v="616"/>
    <x v="614"/>
    <x v="615"/>
    <x v="616"/>
    <x v="0"/>
    <x v="0"/>
    <x v="0"/>
    <x v="0"/>
    <x v="1"/>
    <x v="0"/>
    <x v="0"/>
  </r>
  <r>
    <x v="617"/>
    <x v="552"/>
    <x v="408"/>
    <x v="173"/>
    <x v="104"/>
    <x v="597"/>
    <x v="1"/>
    <x v="1"/>
    <x v="3"/>
    <x v="3"/>
    <x v="2"/>
    <x v="2"/>
    <x v="2"/>
    <x v="2"/>
    <x v="2"/>
    <x v="2"/>
    <x v="2"/>
    <x v="2"/>
    <x v="11"/>
    <x v="11"/>
    <x v="615"/>
    <x v="615"/>
    <x v="3"/>
    <x v="3"/>
    <x v="3"/>
    <x v="6"/>
    <x v="617"/>
    <x v="1"/>
    <x v="1"/>
    <x v="617"/>
    <x v="617"/>
    <x v="617"/>
    <x v="615"/>
    <x v="616"/>
    <x v="617"/>
    <x v="0"/>
    <x v="0"/>
    <x v="0"/>
    <x v="0"/>
    <x v="7"/>
    <x v="0"/>
    <x v="0"/>
  </r>
  <r>
    <x v="618"/>
    <x v="553"/>
    <x v="409"/>
    <x v="559"/>
    <x v="404"/>
    <x v="598"/>
    <x v="15"/>
    <x v="14"/>
    <x v="2"/>
    <x v="2"/>
    <x v="4"/>
    <x v="0"/>
    <x v="0"/>
    <x v="0"/>
    <x v="0"/>
    <x v="0"/>
    <x v="1"/>
    <x v="1"/>
    <x v="1"/>
    <x v="1"/>
    <x v="616"/>
    <x v="616"/>
    <x v="1"/>
    <x v="1"/>
    <x v="2"/>
    <x v="6"/>
    <x v="618"/>
    <x v="3"/>
    <x v="3"/>
    <x v="618"/>
    <x v="618"/>
    <x v="618"/>
    <x v="616"/>
    <x v="617"/>
    <x v="618"/>
    <x v="3"/>
    <x v="3"/>
    <x v="1"/>
    <x v="1"/>
    <x v="0"/>
    <x v="0"/>
    <x v="0"/>
  </r>
  <r>
    <x v="619"/>
    <x v="157"/>
    <x v="30"/>
    <x v="560"/>
    <x v="405"/>
    <x v="599"/>
    <x v="8"/>
    <x v="8"/>
    <x v="2"/>
    <x v="2"/>
    <x v="2"/>
    <x v="2"/>
    <x v="17"/>
    <x v="17"/>
    <x v="18"/>
    <x v="18"/>
    <x v="0"/>
    <x v="0"/>
    <x v="9"/>
    <x v="9"/>
    <x v="617"/>
    <x v="617"/>
    <x v="2"/>
    <x v="2"/>
    <x v="1"/>
    <x v="5"/>
    <x v="619"/>
    <x v="0"/>
    <x v="0"/>
    <x v="619"/>
    <x v="619"/>
    <x v="619"/>
    <x v="617"/>
    <x v="618"/>
    <x v="619"/>
    <x v="1"/>
    <x v="1"/>
    <x v="2"/>
    <x v="2"/>
    <x v="3"/>
    <x v="0"/>
    <x v="0"/>
  </r>
  <r>
    <x v="620"/>
    <x v="554"/>
    <x v="222"/>
    <x v="561"/>
    <x v="283"/>
    <x v="600"/>
    <x v="5"/>
    <x v="5"/>
    <x v="0"/>
    <x v="0"/>
    <x v="4"/>
    <x v="0"/>
    <x v="8"/>
    <x v="8"/>
    <x v="9"/>
    <x v="9"/>
    <x v="2"/>
    <x v="2"/>
    <x v="12"/>
    <x v="12"/>
    <x v="618"/>
    <x v="618"/>
    <x v="3"/>
    <x v="3"/>
    <x v="4"/>
    <x v="6"/>
    <x v="620"/>
    <x v="1"/>
    <x v="1"/>
    <x v="620"/>
    <x v="620"/>
    <x v="620"/>
    <x v="362"/>
    <x v="619"/>
    <x v="620"/>
    <x v="0"/>
    <x v="0"/>
    <x v="0"/>
    <x v="0"/>
    <x v="1"/>
    <x v="0"/>
    <x v="0"/>
  </r>
  <r>
    <x v="621"/>
    <x v="3"/>
    <x v="3"/>
    <x v="562"/>
    <x v="255"/>
    <x v="601"/>
    <x v="7"/>
    <x v="7"/>
    <x v="0"/>
    <x v="0"/>
    <x v="3"/>
    <x v="3"/>
    <x v="3"/>
    <x v="3"/>
    <x v="3"/>
    <x v="3"/>
    <x v="1"/>
    <x v="1"/>
    <x v="4"/>
    <x v="4"/>
    <x v="619"/>
    <x v="619"/>
    <x v="1"/>
    <x v="1"/>
    <x v="9"/>
    <x v="8"/>
    <x v="621"/>
    <x v="9"/>
    <x v="1"/>
    <x v="621"/>
    <x v="621"/>
    <x v="621"/>
    <x v="618"/>
    <x v="620"/>
    <x v="621"/>
    <x v="0"/>
    <x v="0"/>
    <x v="0"/>
    <x v="0"/>
    <x v="3"/>
    <x v="0"/>
    <x v="1"/>
  </r>
  <r>
    <x v="622"/>
    <x v="555"/>
    <x v="298"/>
    <x v="563"/>
    <x v="395"/>
    <x v="602"/>
    <x v="5"/>
    <x v="5"/>
    <x v="0"/>
    <x v="0"/>
    <x v="1"/>
    <x v="1"/>
    <x v="9"/>
    <x v="9"/>
    <x v="10"/>
    <x v="10"/>
    <x v="0"/>
    <x v="0"/>
    <x v="8"/>
    <x v="8"/>
    <x v="620"/>
    <x v="620"/>
    <x v="3"/>
    <x v="3"/>
    <x v="9"/>
    <x v="2"/>
    <x v="622"/>
    <x v="5"/>
    <x v="5"/>
    <x v="622"/>
    <x v="622"/>
    <x v="622"/>
    <x v="619"/>
    <x v="621"/>
    <x v="622"/>
    <x v="0"/>
    <x v="0"/>
    <x v="0"/>
    <x v="0"/>
    <x v="10"/>
    <x v="1"/>
    <x v="0"/>
  </r>
  <r>
    <x v="623"/>
    <x v="556"/>
    <x v="410"/>
    <x v="564"/>
    <x v="74"/>
    <x v="603"/>
    <x v="5"/>
    <x v="5"/>
    <x v="3"/>
    <x v="3"/>
    <x v="4"/>
    <x v="0"/>
    <x v="7"/>
    <x v="7"/>
    <x v="8"/>
    <x v="8"/>
    <x v="0"/>
    <x v="0"/>
    <x v="8"/>
    <x v="8"/>
    <x v="621"/>
    <x v="621"/>
    <x v="0"/>
    <x v="0"/>
    <x v="0"/>
    <x v="0"/>
    <x v="623"/>
    <x v="5"/>
    <x v="5"/>
    <x v="623"/>
    <x v="623"/>
    <x v="623"/>
    <x v="620"/>
    <x v="622"/>
    <x v="623"/>
    <x v="0"/>
    <x v="0"/>
    <x v="0"/>
    <x v="0"/>
    <x v="1"/>
    <x v="0"/>
    <x v="0"/>
  </r>
  <r>
    <x v="624"/>
    <x v="557"/>
    <x v="128"/>
    <x v="565"/>
    <x v="59"/>
    <x v="604"/>
    <x v="6"/>
    <x v="6"/>
    <x v="3"/>
    <x v="3"/>
    <x v="1"/>
    <x v="1"/>
    <x v="10"/>
    <x v="10"/>
    <x v="11"/>
    <x v="11"/>
    <x v="1"/>
    <x v="1"/>
    <x v="4"/>
    <x v="4"/>
    <x v="622"/>
    <x v="622"/>
    <x v="2"/>
    <x v="2"/>
    <x v="7"/>
    <x v="7"/>
    <x v="624"/>
    <x v="5"/>
    <x v="5"/>
    <x v="624"/>
    <x v="624"/>
    <x v="624"/>
    <x v="621"/>
    <x v="623"/>
    <x v="624"/>
    <x v="0"/>
    <x v="0"/>
    <x v="0"/>
    <x v="0"/>
    <x v="10"/>
    <x v="0"/>
    <x v="0"/>
  </r>
  <r>
    <x v="625"/>
    <x v="558"/>
    <x v="352"/>
    <x v="566"/>
    <x v="12"/>
    <x v="605"/>
    <x v="13"/>
    <x v="13"/>
    <x v="2"/>
    <x v="2"/>
    <x v="3"/>
    <x v="3"/>
    <x v="0"/>
    <x v="0"/>
    <x v="7"/>
    <x v="7"/>
    <x v="1"/>
    <x v="1"/>
    <x v="4"/>
    <x v="4"/>
    <x v="623"/>
    <x v="623"/>
    <x v="1"/>
    <x v="1"/>
    <x v="0"/>
    <x v="1"/>
    <x v="625"/>
    <x v="0"/>
    <x v="0"/>
    <x v="625"/>
    <x v="625"/>
    <x v="625"/>
    <x v="622"/>
    <x v="624"/>
    <x v="625"/>
    <x v="0"/>
    <x v="0"/>
    <x v="0"/>
    <x v="0"/>
    <x v="8"/>
    <x v="0"/>
    <x v="0"/>
  </r>
  <r>
    <x v="626"/>
    <x v="280"/>
    <x v="191"/>
    <x v="567"/>
    <x v="406"/>
    <x v="606"/>
    <x v="11"/>
    <x v="11"/>
    <x v="3"/>
    <x v="3"/>
    <x v="1"/>
    <x v="1"/>
    <x v="10"/>
    <x v="10"/>
    <x v="11"/>
    <x v="11"/>
    <x v="8"/>
    <x v="2"/>
    <x v="12"/>
    <x v="12"/>
    <x v="624"/>
    <x v="624"/>
    <x v="3"/>
    <x v="3"/>
    <x v="4"/>
    <x v="0"/>
    <x v="626"/>
    <x v="1"/>
    <x v="1"/>
    <x v="626"/>
    <x v="626"/>
    <x v="626"/>
    <x v="623"/>
    <x v="625"/>
    <x v="626"/>
    <x v="2"/>
    <x v="2"/>
    <x v="2"/>
    <x v="2"/>
    <x v="2"/>
    <x v="1"/>
    <x v="0"/>
  </r>
  <r>
    <x v="627"/>
    <x v="254"/>
    <x v="223"/>
    <x v="568"/>
    <x v="407"/>
    <x v="607"/>
    <x v="0"/>
    <x v="0"/>
    <x v="1"/>
    <x v="1"/>
    <x v="2"/>
    <x v="2"/>
    <x v="13"/>
    <x v="13"/>
    <x v="14"/>
    <x v="14"/>
    <x v="2"/>
    <x v="2"/>
    <x v="11"/>
    <x v="11"/>
    <x v="625"/>
    <x v="625"/>
    <x v="0"/>
    <x v="0"/>
    <x v="9"/>
    <x v="7"/>
    <x v="627"/>
    <x v="4"/>
    <x v="4"/>
    <x v="627"/>
    <x v="627"/>
    <x v="627"/>
    <x v="624"/>
    <x v="626"/>
    <x v="627"/>
    <x v="2"/>
    <x v="2"/>
    <x v="1"/>
    <x v="1"/>
    <x v="6"/>
    <x v="1"/>
    <x v="0"/>
  </r>
  <r>
    <x v="628"/>
    <x v="484"/>
    <x v="367"/>
    <x v="569"/>
    <x v="408"/>
    <x v="608"/>
    <x v="4"/>
    <x v="4"/>
    <x v="3"/>
    <x v="3"/>
    <x v="1"/>
    <x v="1"/>
    <x v="15"/>
    <x v="15"/>
    <x v="16"/>
    <x v="16"/>
    <x v="2"/>
    <x v="2"/>
    <x v="5"/>
    <x v="5"/>
    <x v="626"/>
    <x v="626"/>
    <x v="1"/>
    <x v="1"/>
    <x v="2"/>
    <x v="4"/>
    <x v="628"/>
    <x v="5"/>
    <x v="5"/>
    <x v="628"/>
    <x v="628"/>
    <x v="628"/>
    <x v="625"/>
    <x v="627"/>
    <x v="628"/>
    <x v="0"/>
    <x v="0"/>
    <x v="0"/>
    <x v="0"/>
    <x v="9"/>
    <x v="1"/>
    <x v="0"/>
  </r>
  <r>
    <x v="629"/>
    <x v="559"/>
    <x v="411"/>
    <x v="570"/>
    <x v="147"/>
    <x v="609"/>
    <x v="3"/>
    <x v="3"/>
    <x v="3"/>
    <x v="3"/>
    <x v="3"/>
    <x v="3"/>
    <x v="12"/>
    <x v="12"/>
    <x v="13"/>
    <x v="13"/>
    <x v="1"/>
    <x v="1"/>
    <x v="1"/>
    <x v="1"/>
    <x v="627"/>
    <x v="627"/>
    <x v="1"/>
    <x v="1"/>
    <x v="5"/>
    <x v="1"/>
    <x v="629"/>
    <x v="4"/>
    <x v="4"/>
    <x v="629"/>
    <x v="629"/>
    <x v="629"/>
    <x v="626"/>
    <x v="628"/>
    <x v="629"/>
    <x v="0"/>
    <x v="0"/>
    <x v="0"/>
    <x v="0"/>
    <x v="7"/>
    <x v="1"/>
    <x v="0"/>
  </r>
  <r>
    <x v="630"/>
    <x v="560"/>
    <x v="66"/>
    <x v="278"/>
    <x v="228"/>
    <x v="610"/>
    <x v="8"/>
    <x v="8"/>
    <x v="2"/>
    <x v="2"/>
    <x v="1"/>
    <x v="1"/>
    <x v="10"/>
    <x v="10"/>
    <x v="11"/>
    <x v="11"/>
    <x v="0"/>
    <x v="0"/>
    <x v="0"/>
    <x v="0"/>
    <x v="628"/>
    <x v="628"/>
    <x v="3"/>
    <x v="3"/>
    <x v="3"/>
    <x v="2"/>
    <x v="630"/>
    <x v="8"/>
    <x v="6"/>
    <x v="630"/>
    <x v="630"/>
    <x v="630"/>
    <x v="627"/>
    <x v="629"/>
    <x v="630"/>
    <x v="0"/>
    <x v="0"/>
    <x v="0"/>
    <x v="0"/>
    <x v="5"/>
    <x v="0"/>
    <x v="0"/>
  </r>
  <r>
    <x v="631"/>
    <x v="534"/>
    <x v="395"/>
    <x v="571"/>
    <x v="409"/>
    <x v="611"/>
    <x v="10"/>
    <x v="10"/>
    <x v="3"/>
    <x v="3"/>
    <x v="3"/>
    <x v="3"/>
    <x v="0"/>
    <x v="0"/>
    <x v="7"/>
    <x v="7"/>
    <x v="1"/>
    <x v="1"/>
    <x v="4"/>
    <x v="4"/>
    <x v="629"/>
    <x v="629"/>
    <x v="3"/>
    <x v="3"/>
    <x v="1"/>
    <x v="0"/>
    <x v="631"/>
    <x v="8"/>
    <x v="6"/>
    <x v="631"/>
    <x v="631"/>
    <x v="631"/>
    <x v="628"/>
    <x v="630"/>
    <x v="631"/>
    <x v="0"/>
    <x v="0"/>
    <x v="0"/>
    <x v="0"/>
    <x v="5"/>
    <x v="0"/>
    <x v="0"/>
  </r>
  <r>
    <x v="632"/>
    <x v="561"/>
    <x v="353"/>
    <x v="572"/>
    <x v="6"/>
    <x v="612"/>
    <x v="11"/>
    <x v="11"/>
    <x v="1"/>
    <x v="1"/>
    <x v="2"/>
    <x v="2"/>
    <x v="11"/>
    <x v="11"/>
    <x v="12"/>
    <x v="12"/>
    <x v="1"/>
    <x v="1"/>
    <x v="3"/>
    <x v="3"/>
    <x v="630"/>
    <x v="630"/>
    <x v="2"/>
    <x v="2"/>
    <x v="3"/>
    <x v="8"/>
    <x v="632"/>
    <x v="1"/>
    <x v="1"/>
    <x v="632"/>
    <x v="632"/>
    <x v="632"/>
    <x v="629"/>
    <x v="631"/>
    <x v="632"/>
    <x v="0"/>
    <x v="0"/>
    <x v="0"/>
    <x v="0"/>
    <x v="5"/>
    <x v="1"/>
    <x v="0"/>
  </r>
  <r>
    <x v="633"/>
    <x v="562"/>
    <x v="412"/>
    <x v="573"/>
    <x v="317"/>
    <x v="613"/>
    <x v="10"/>
    <x v="10"/>
    <x v="1"/>
    <x v="1"/>
    <x v="2"/>
    <x v="2"/>
    <x v="17"/>
    <x v="17"/>
    <x v="18"/>
    <x v="18"/>
    <x v="2"/>
    <x v="2"/>
    <x v="5"/>
    <x v="5"/>
    <x v="631"/>
    <x v="631"/>
    <x v="0"/>
    <x v="0"/>
    <x v="7"/>
    <x v="5"/>
    <x v="633"/>
    <x v="4"/>
    <x v="4"/>
    <x v="633"/>
    <x v="633"/>
    <x v="633"/>
    <x v="630"/>
    <x v="632"/>
    <x v="633"/>
    <x v="0"/>
    <x v="0"/>
    <x v="0"/>
    <x v="0"/>
    <x v="5"/>
    <x v="1"/>
    <x v="0"/>
  </r>
  <r>
    <x v="634"/>
    <x v="563"/>
    <x v="93"/>
    <x v="574"/>
    <x v="398"/>
    <x v="614"/>
    <x v="7"/>
    <x v="7"/>
    <x v="0"/>
    <x v="0"/>
    <x v="2"/>
    <x v="2"/>
    <x v="2"/>
    <x v="2"/>
    <x v="2"/>
    <x v="2"/>
    <x v="1"/>
    <x v="1"/>
    <x v="4"/>
    <x v="4"/>
    <x v="632"/>
    <x v="632"/>
    <x v="0"/>
    <x v="0"/>
    <x v="3"/>
    <x v="2"/>
    <x v="634"/>
    <x v="5"/>
    <x v="5"/>
    <x v="634"/>
    <x v="634"/>
    <x v="634"/>
    <x v="631"/>
    <x v="633"/>
    <x v="634"/>
    <x v="0"/>
    <x v="0"/>
    <x v="0"/>
    <x v="0"/>
    <x v="10"/>
    <x v="1"/>
    <x v="0"/>
  </r>
  <r>
    <x v="635"/>
    <x v="547"/>
    <x v="404"/>
    <x v="575"/>
    <x v="113"/>
    <x v="615"/>
    <x v="1"/>
    <x v="1"/>
    <x v="2"/>
    <x v="2"/>
    <x v="2"/>
    <x v="2"/>
    <x v="5"/>
    <x v="5"/>
    <x v="5"/>
    <x v="5"/>
    <x v="1"/>
    <x v="1"/>
    <x v="4"/>
    <x v="4"/>
    <x v="633"/>
    <x v="633"/>
    <x v="1"/>
    <x v="1"/>
    <x v="1"/>
    <x v="4"/>
    <x v="635"/>
    <x v="3"/>
    <x v="3"/>
    <x v="635"/>
    <x v="635"/>
    <x v="635"/>
    <x v="632"/>
    <x v="634"/>
    <x v="635"/>
    <x v="0"/>
    <x v="0"/>
    <x v="0"/>
    <x v="0"/>
    <x v="4"/>
    <x v="0"/>
    <x v="0"/>
  </r>
  <r>
    <x v="636"/>
    <x v="564"/>
    <x v="413"/>
    <x v="576"/>
    <x v="360"/>
    <x v="616"/>
    <x v="4"/>
    <x v="4"/>
    <x v="0"/>
    <x v="0"/>
    <x v="2"/>
    <x v="2"/>
    <x v="17"/>
    <x v="17"/>
    <x v="18"/>
    <x v="18"/>
    <x v="0"/>
    <x v="0"/>
    <x v="0"/>
    <x v="0"/>
    <x v="634"/>
    <x v="634"/>
    <x v="3"/>
    <x v="3"/>
    <x v="2"/>
    <x v="0"/>
    <x v="636"/>
    <x v="4"/>
    <x v="4"/>
    <x v="636"/>
    <x v="636"/>
    <x v="636"/>
    <x v="633"/>
    <x v="635"/>
    <x v="636"/>
    <x v="0"/>
    <x v="0"/>
    <x v="0"/>
    <x v="0"/>
    <x v="9"/>
    <x v="0"/>
    <x v="0"/>
  </r>
  <r>
    <x v="637"/>
    <x v="565"/>
    <x v="414"/>
    <x v="577"/>
    <x v="410"/>
    <x v="617"/>
    <x v="9"/>
    <x v="9"/>
    <x v="1"/>
    <x v="1"/>
    <x v="3"/>
    <x v="3"/>
    <x v="14"/>
    <x v="14"/>
    <x v="15"/>
    <x v="15"/>
    <x v="2"/>
    <x v="2"/>
    <x v="6"/>
    <x v="6"/>
    <x v="635"/>
    <x v="635"/>
    <x v="2"/>
    <x v="2"/>
    <x v="6"/>
    <x v="7"/>
    <x v="637"/>
    <x v="0"/>
    <x v="0"/>
    <x v="637"/>
    <x v="637"/>
    <x v="637"/>
    <x v="634"/>
    <x v="636"/>
    <x v="637"/>
    <x v="0"/>
    <x v="0"/>
    <x v="0"/>
    <x v="0"/>
    <x v="4"/>
    <x v="0"/>
    <x v="0"/>
  </r>
  <r>
    <x v="638"/>
    <x v="539"/>
    <x v="92"/>
    <x v="578"/>
    <x v="393"/>
    <x v="618"/>
    <x v="0"/>
    <x v="0"/>
    <x v="2"/>
    <x v="2"/>
    <x v="2"/>
    <x v="2"/>
    <x v="13"/>
    <x v="13"/>
    <x v="14"/>
    <x v="14"/>
    <x v="0"/>
    <x v="0"/>
    <x v="8"/>
    <x v="8"/>
    <x v="636"/>
    <x v="636"/>
    <x v="0"/>
    <x v="0"/>
    <x v="1"/>
    <x v="1"/>
    <x v="638"/>
    <x v="0"/>
    <x v="0"/>
    <x v="638"/>
    <x v="638"/>
    <x v="638"/>
    <x v="635"/>
    <x v="637"/>
    <x v="638"/>
    <x v="3"/>
    <x v="3"/>
    <x v="2"/>
    <x v="2"/>
    <x v="10"/>
    <x v="0"/>
    <x v="0"/>
  </r>
  <r>
    <x v="639"/>
    <x v="566"/>
    <x v="14"/>
    <x v="579"/>
    <x v="272"/>
    <x v="619"/>
    <x v="2"/>
    <x v="2"/>
    <x v="1"/>
    <x v="1"/>
    <x v="1"/>
    <x v="1"/>
    <x v="1"/>
    <x v="1"/>
    <x v="1"/>
    <x v="1"/>
    <x v="1"/>
    <x v="1"/>
    <x v="4"/>
    <x v="4"/>
    <x v="637"/>
    <x v="637"/>
    <x v="0"/>
    <x v="0"/>
    <x v="5"/>
    <x v="5"/>
    <x v="639"/>
    <x v="5"/>
    <x v="5"/>
    <x v="639"/>
    <x v="639"/>
    <x v="639"/>
    <x v="636"/>
    <x v="638"/>
    <x v="639"/>
    <x v="0"/>
    <x v="0"/>
    <x v="0"/>
    <x v="0"/>
    <x v="8"/>
    <x v="0"/>
    <x v="0"/>
  </r>
  <r>
    <x v="640"/>
    <x v="567"/>
    <x v="415"/>
    <x v="580"/>
    <x v="411"/>
    <x v="620"/>
    <x v="5"/>
    <x v="5"/>
    <x v="0"/>
    <x v="0"/>
    <x v="3"/>
    <x v="3"/>
    <x v="14"/>
    <x v="14"/>
    <x v="15"/>
    <x v="15"/>
    <x v="0"/>
    <x v="0"/>
    <x v="8"/>
    <x v="8"/>
    <x v="638"/>
    <x v="638"/>
    <x v="2"/>
    <x v="2"/>
    <x v="4"/>
    <x v="5"/>
    <x v="640"/>
    <x v="0"/>
    <x v="0"/>
    <x v="640"/>
    <x v="640"/>
    <x v="640"/>
    <x v="637"/>
    <x v="639"/>
    <x v="640"/>
    <x v="0"/>
    <x v="0"/>
    <x v="0"/>
    <x v="0"/>
    <x v="10"/>
    <x v="1"/>
    <x v="0"/>
  </r>
  <r>
    <x v="641"/>
    <x v="568"/>
    <x v="416"/>
    <x v="581"/>
    <x v="412"/>
    <x v="621"/>
    <x v="0"/>
    <x v="0"/>
    <x v="0"/>
    <x v="0"/>
    <x v="4"/>
    <x v="0"/>
    <x v="18"/>
    <x v="18"/>
    <x v="19"/>
    <x v="19"/>
    <x v="1"/>
    <x v="1"/>
    <x v="3"/>
    <x v="3"/>
    <x v="639"/>
    <x v="639"/>
    <x v="1"/>
    <x v="1"/>
    <x v="1"/>
    <x v="7"/>
    <x v="641"/>
    <x v="1"/>
    <x v="1"/>
    <x v="641"/>
    <x v="641"/>
    <x v="641"/>
    <x v="638"/>
    <x v="640"/>
    <x v="641"/>
    <x v="0"/>
    <x v="0"/>
    <x v="0"/>
    <x v="0"/>
    <x v="5"/>
    <x v="1"/>
    <x v="0"/>
  </r>
  <r>
    <x v="642"/>
    <x v="395"/>
    <x v="296"/>
    <x v="582"/>
    <x v="413"/>
    <x v="622"/>
    <x v="2"/>
    <x v="2"/>
    <x v="3"/>
    <x v="3"/>
    <x v="1"/>
    <x v="1"/>
    <x v="10"/>
    <x v="10"/>
    <x v="11"/>
    <x v="11"/>
    <x v="0"/>
    <x v="0"/>
    <x v="9"/>
    <x v="9"/>
    <x v="640"/>
    <x v="640"/>
    <x v="0"/>
    <x v="0"/>
    <x v="7"/>
    <x v="6"/>
    <x v="642"/>
    <x v="3"/>
    <x v="3"/>
    <x v="642"/>
    <x v="642"/>
    <x v="642"/>
    <x v="639"/>
    <x v="641"/>
    <x v="642"/>
    <x v="3"/>
    <x v="3"/>
    <x v="2"/>
    <x v="2"/>
    <x v="1"/>
    <x v="0"/>
    <x v="0"/>
  </r>
  <r>
    <x v="643"/>
    <x v="569"/>
    <x v="417"/>
    <x v="583"/>
    <x v="316"/>
    <x v="200"/>
    <x v="10"/>
    <x v="10"/>
    <x v="3"/>
    <x v="3"/>
    <x v="4"/>
    <x v="0"/>
    <x v="8"/>
    <x v="8"/>
    <x v="9"/>
    <x v="9"/>
    <x v="0"/>
    <x v="0"/>
    <x v="7"/>
    <x v="7"/>
    <x v="641"/>
    <x v="641"/>
    <x v="3"/>
    <x v="3"/>
    <x v="9"/>
    <x v="0"/>
    <x v="643"/>
    <x v="4"/>
    <x v="4"/>
    <x v="643"/>
    <x v="643"/>
    <x v="643"/>
    <x v="640"/>
    <x v="642"/>
    <x v="643"/>
    <x v="3"/>
    <x v="3"/>
    <x v="2"/>
    <x v="2"/>
    <x v="6"/>
    <x v="0"/>
    <x v="0"/>
  </r>
  <r>
    <x v="644"/>
    <x v="488"/>
    <x v="6"/>
    <x v="584"/>
    <x v="365"/>
    <x v="623"/>
    <x v="5"/>
    <x v="5"/>
    <x v="0"/>
    <x v="0"/>
    <x v="1"/>
    <x v="1"/>
    <x v="6"/>
    <x v="6"/>
    <x v="6"/>
    <x v="6"/>
    <x v="1"/>
    <x v="1"/>
    <x v="4"/>
    <x v="4"/>
    <x v="642"/>
    <x v="642"/>
    <x v="3"/>
    <x v="3"/>
    <x v="2"/>
    <x v="2"/>
    <x v="644"/>
    <x v="5"/>
    <x v="5"/>
    <x v="644"/>
    <x v="644"/>
    <x v="644"/>
    <x v="641"/>
    <x v="643"/>
    <x v="644"/>
    <x v="0"/>
    <x v="0"/>
    <x v="0"/>
    <x v="0"/>
    <x v="5"/>
    <x v="1"/>
    <x v="0"/>
  </r>
  <r>
    <x v="645"/>
    <x v="570"/>
    <x v="330"/>
    <x v="518"/>
    <x v="380"/>
    <x v="624"/>
    <x v="15"/>
    <x v="14"/>
    <x v="0"/>
    <x v="0"/>
    <x v="1"/>
    <x v="1"/>
    <x v="9"/>
    <x v="9"/>
    <x v="10"/>
    <x v="10"/>
    <x v="1"/>
    <x v="1"/>
    <x v="4"/>
    <x v="4"/>
    <x v="643"/>
    <x v="643"/>
    <x v="0"/>
    <x v="0"/>
    <x v="1"/>
    <x v="3"/>
    <x v="645"/>
    <x v="8"/>
    <x v="6"/>
    <x v="645"/>
    <x v="645"/>
    <x v="645"/>
    <x v="642"/>
    <x v="644"/>
    <x v="645"/>
    <x v="0"/>
    <x v="0"/>
    <x v="0"/>
    <x v="0"/>
    <x v="10"/>
    <x v="0"/>
    <x v="0"/>
  </r>
  <r>
    <x v="646"/>
    <x v="571"/>
    <x v="418"/>
    <x v="585"/>
    <x v="301"/>
    <x v="625"/>
    <x v="5"/>
    <x v="5"/>
    <x v="1"/>
    <x v="1"/>
    <x v="1"/>
    <x v="1"/>
    <x v="15"/>
    <x v="15"/>
    <x v="16"/>
    <x v="16"/>
    <x v="2"/>
    <x v="2"/>
    <x v="12"/>
    <x v="12"/>
    <x v="644"/>
    <x v="644"/>
    <x v="2"/>
    <x v="2"/>
    <x v="0"/>
    <x v="1"/>
    <x v="646"/>
    <x v="3"/>
    <x v="3"/>
    <x v="646"/>
    <x v="646"/>
    <x v="646"/>
    <x v="643"/>
    <x v="645"/>
    <x v="646"/>
    <x v="0"/>
    <x v="0"/>
    <x v="0"/>
    <x v="0"/>
    <x v="7"/>
    <x v="0"/>
    <x v="0"/>
  </r>
  <r>
    <x v="647"/>
    <x v="236"/>
    <x v="208"/>
    <x v="586"/>
    <x v="124"/>
    <x v="626"/>
    <x v="20"/>
    <x v="12"/>
    <x v="1"/>
    <x v="1"/>
    <x v="4"/>
    <x v="0"/>
    <x v="7"/>
    <x v="7"/>
    <x v="8"/>
    <x v="8"/>
    <x v="0"/>
    <x v="0"/>
    <x v="2"/>
    <x v="2"/>
    <x v="645"/>
    <x v="645"/>
    <x v="2"/>
    <x v="2"/>
    <x v="9"/>
    <x v="0"/>
    <x v="647"/>
    <x v="4"/>
    <x v="4"/>
    <x v="647"/>
    <x v="647"/>
    <x v="647"/>
    <x v="644"/>
    <x v="646"/>
    <x v="647"/>
    <x v="0"/>
    <x v="0"/>
    <x v="0"/>
    <x v="0"/>
    <x v="10"/>
    <x v="1"/>
    <x v="0"/>
  </r>
  <r>
    <x v="648"/>
    <x v="572"/>
    <x v="419"/>
    <x v="587"/>
    <x v="414"/>
    <x v="627"/>
    <x v="6"/>
    <x v="6"/>
    <x v="1"/>
    <x v="1"/>
    <x v="2"/>
    <x v="2"/>
    <x v="5"/>
    <x v="5"/>
    <x v="5"/>
    <x v="5"/>
    <x v="0"/>
    <x v="0"/>
    <x v="2"/>
    <x v="2"/>
    <x v="646"/>
    <x v="646"/>
    <x v="1"/>
    <x v="1"/>
    <x v="4"/>
    <x v="6"/>
    <x v="648"/>
    <x v="0"/>
    <x v="0"/>
    <x v="648"/>
    <x v="648"/>
    <x v="648"/>
    <x v="645"/>
    <x v="647"/>
    <x v="648"/>
    <x v="3"/>
    <x v="3"/>
    <x v="2"/>
    <x v="2"/>
    <x v="5"/>
    <x v="0"/>
    <x v="0"/>
  </r>
  <r>
    <x v="649"/>
    <x v="573"/>
    <x v="420"/>
    <x v="588"/>
    <x v="415"/>
    <x v="628"/>
    <x v="15"/>
    <x v="14"/>
    <x v="1"/>
    <x v="1"/>
    <x v="2"/>
    <x v="2"/>
    <x v="13"/>
    <x v="13"/>
    <x v="14"/>
    <x v="14"/>
    <x v="2"/>
    <x v="2"/>
    <x v="5"/>
    <x v="5"/>
    <x v="647"/>
    <x v="647"/>
    <x v="3"/>
    <x v="3"/>
    <x v="9"/>
    <x v="2"/>
    <x v="649"/>
    <x v="3"/>
    <x v="3"/>
    <x v="649"/>
    <x v="649"/>
    <x v="649"/>
    <x v="646"/>
    <x v="648"/>
    <x v="649"/>
    <x v="0"/>
    <x v="0"/>
    <x v="0"/>
    <x v="0"/>
    <x v="1"/>
    <x v="1"/>
    <x v="0"/>
  </r>
  <r>
    <x v="650"/>
    <x v="574"/>
    <x v="421"/>
    <x v="589"/>
    <x v="416"/>
    <x v="89"/>
    <x v="10"/>
    <x v="10"/>
    <x v="3"/>
    <x v="3"/>
    <x v="1"/>
    <x v="1"/>
    <x v="9"/>
    <x v="9"/>
    <x v="10"/>
    <x v="10"/>
    <x v="2"/>
    <x v="2"/>
    <x v="5"/>
    <x v="5"/>
    <x v="648"/>
    <x v="648"/>
    <x v="1"/>
    <x v="1"/>
    <x v="9"/>
    <x v="4"/>
    <x v="650"/>
    <x v="4"/>
    <x v="4"/>
    <x v="650"/>
    <x v="650"/>
    <x v="650"/>
    <x v="647"/>
    <x v="649"/>
    <x v="650"/>
    <x v="3"/>
    <x v="3"/>
    <x v="2"/>
    <x v="2"/>
    <x v="5"/>
    <x v="0"/>
    <x v="0"/>
  </r>
  <r>
    <x v="651"/>
    <x v="245"/>
    <x v="215"/>
    <x v="590"/>
    <x v="417"/>
    <x v="629"/>
    <x v="1"/>
    <x v="1"/>
    <x v="1"/>
    <x v="1"/>
    <x v="2"/>
    <x v="2"/>
    <x v="5"/>
    <x v="5"/>
    <x v="5"/>
    <x v="5"/>
    <x v="0"/>
    <x v="0"/>
    <x v="0"/>
    <x v="0"/>
    <x v="649"/>
    <x v="649"/>
    <x v="0"/>
    <x v="0"/>
    <x v="4"/>
    <x v="1"/>
    <x v="651"/>
    <x v="1"/>
    <x v="1"/>
    <x v="651"/>
    <x v="651"/>
    <x v="651"/>
    <x v="648"/>
    <x v="650"/>
    <x v="651"/>
    <x v="0"/>
    <x v="0"/>
    <x v="0"/>
    <x v="0"/>
    <x v="1"/>
    <x v="1"/>
    <x v="0"/>
  </r>
  <r>
    <x v="652"/>
    <x v="575"/>
    <x v="422"/>
    <x v="591"/>
    <x v="418"/>
    <x v="516"/>
    <x v="11"/>
    <x v="11"/>
    <x v="0"/>
    <x v="0"/>
    <x v="4"/>
    <x v="0"/>
    <x v="8"/>
    <x v="8"/>
    <x v="9"/>
    <x v="9"/>
    <x v="0"/>
    <x v="0"/>
    <x v="9"/>
    <x v="9"/>
    <x v="650"/>
    <x v="650"/>
    <x v="3"/>
    <x v="3"/>
    <x v="5"/>
    <x v="8"/>
    <x v="652"/>
    <x v="4"/>
    <x v="4"/>
    <x v="652"/>
    <x v="652"/>
    <x v="652"/>
    <x v="649"/>
    <x v="651"/>
    <x v="652"/>
    <x v="0"/>
    <x v="0"/>
    <x v="0"/>
    <x v="0"/>
    <x v="11"/>
    <x v="1"/>
    <x v="0"/>
  </r>
  <r>
    <x v="653"/>
    <x v="576"/>
    <x v="423"/>
    <x v="592"/>
    <x v="170"/>
    <x v="630"/>
    <x v="8"/>
    <x v="8"/>
    <x v="1"/>
    <x v="1"/>
    <x v="2"/>
    <x v="2"/>
    <x v="17"/>
    <x v="17"/>
    <x v="18"/>
    <x v="18"/>
    <x v="2"/>
    <x v="2"/>
    <x v="6"/>
    <x v="6"/>
    <x v="651"/>
    <x v="651"/>
    <x v="0"/>
    <x v="0"/>
    <x v="4"/>
    <x v="4"/>
    <x v="653"/>
    <x v="4"/>
    <x v="4"/>
    <x v="653"/>
    <x v="653"/>
    <x v="653"/>
    <x v="650"/>
    <x v="652"/>
    <x v="653"/>
    <x v="0"/>
    <x v="0"/>
    <x v="0"/>
    <x v="0"/>
    <x v="5"/>
    <x v="1"/>
    <x v="0"/>
  </r>
  <r>
    <x v="654"/>
    <x v="577"/>
    <x v="13"/>
    <x v="13"/>
    <x v="13"/>
    <x v="268"/>
    <x v="13"/>
    <x v="13"/>
    <x v="2"/>
    <x v="2"/>
    <x v="1"/>
    <x v="1"/>
    <x v="9"/>
    <x v="9"/>
    <x v="10"/>
    <x v="10"/>
    <x v="2"/>
    <x v="2"/>
    <x v="12"/>
    <x v="12"/>
    <x v="652"/>
    <x v="652"/>
    <x v="1"/>
    <x v="1"/>
    <x v="5"/>
    <x v="5"/>
    <x v="654"/>
    <x v="0"/>
    <x v="0"/>
    <x v="654"/>
    <x v="654"/>
    <x v="654"/>
    <x v="651"/>
    <x v="653"/>
    <x v="654"/>
    <x v="0"/>
    <x v="0"/>
    <x v="0"/>
    <x v="0"/>
    <x v="9"/>
    <x v="1"/>
    <x v="0"/>
  </r>
  <r>
    <x v="655"/>
    <x v="578"/>
    <x v="424"/>
    <x v="119"/>
    <x v="111"/>
    <x v="631"/>
    <x v="6"/>
    <x v="6"/>
    <x v="3"/>
    <x v="3"/>
    <x v="1"/>
    <x v="1"/>
    <x v="6"/>
    <x v="6"/>
    <x v="6"/>
    <x v="6"/>
    <x v="1"/>
    <x v="1"/>
    <x v="3"/>
    <x v="3"/>
    <x v="653"/>
    <x v="653"/>
    <x v="3"/>
    <x v="3"/>
    <x v="6"/>
    <x v="2"/>
    <x v="655"/>
    <x v="1"/>
    <x v="1"/>
    <x v="655"/>
    <x v="655"/>
    <x v="655"/>
    <x v="652"/>
    <x v="654"/>
    <x v="655"/>
    <x v="0"/>
    <x v="0"/>
    <x v="0"/>
    <x v="0"/>
    <x v="1"/>
    <x v="1"/>
    <x v="0"/>
  </r>
  <r>
    <x v="656"/>
    <x v="579"/>
    <x v="337"/>
    <x v="432"/>
    <x v="337"/>
    <x v="632"/>
    <x v="6"/>
    <x v="6"/>
    <x v="1"/>
    <x v="1"/>
    <x v="4"/>
    <x v="0"/>
    <x v="16"/>
    <x v="16"/>
    <x v="17"/>
    <x v="17"/>
    <x v="2"/>
    <x v="2"/>
    <x v="12"/>
    <x v="12"/>
    <x v="654"/>
    <x v="654"/>
    <x v="1"/>
    <x v="1"/>
    <x v="2"/>
    <x v="2"/>
    <x v="656"/>
    <x v="21"/>
    <x v="1"/>
    <x v="656"/>
    <x v="656"/>
    <x v="656"/>
    <x v="653"/>
    <x v="655"/>
    <x v="656"/>
    <x v="0"/>
    <x v="0"/>
    <x v="0"/>
    <x v="0"/>
    <x v="4"/>
    <x v="0"/>
    <x v="1"/>
  </r>
  <r>
    <x v="657"/>
    <x v="580"/>
    <x v="383"/>
    <x v="593"/>
    <x v="152"/>
    <x v="633"/>
    <x v="7"/>
    <x v="7"/>
    <x v="3"/>
    <x v="3"/>
    <x v="1"/>
    <x v="1"/>
    <x v="9"/>
    <x v="9"/>
    <x v="10"/>
    <x v="10"/>
    <x v="0"/>
    <x v="0"/>
    <x v="8"/>
    <x v="8"/>
    <x v="655"/>
    <x v="655"/>
    <x v="0"/>
    <x v="0"/>
    <x v="4"/>
    <x v="5"/>
    <x v="657"/>
    <x v="0"/>
    <x v="0"/>
    <x v="657"/>
    <x v="657"/>
    <x v="657"/>
    <x v="654"/>
    <x v="656"/>
    <x v="657"/>
    <x v="0"/>
    <x v="0"/>
    <x v="0"/>
    <x v="0"/>
    <x v="1"/>
    <x v="1"/>
    <x v="0"/>
  </r>
  <r>
    <x v="658"/>
    <x v="581"/>
    <x v="288"/>
    <x v="594"/>
    <x v="244"/>
    <x v="634"/>
    <x v="11"/>
    <x v="11"/>
    <x v="0"/>
    <x v="0"/>
    <x v="5"/>
    <x v="4"/>
    <x v="9"/>
    <x v="9"/>
    <x v="10"/>
    <x v="10"/>
    <x v="0"/>
    <x v="0"/>
    <x v="2"/>
    <x v="2"/>
    <x v="656"/>
    <x v="656"/>
    <x v="2"/>
    <x v="2"/>
    <x v="4"/>
    <x v="4"/>
    <x v="658"/>
    <x v="1"/>
    <x v="1"/>
    <x v="658"/>
    <x v="658"/>
    <x v="658"/>
    <x v="655"/>
    <x v="657"/>
    <x v="658"/>
    <x v="1"/>
    <x v="1"/>
    <x v="1"/>
    <x v="1"/>
    <x v="2"/>
    <x v="1"/>
    <x v="0"/>
  </r>
  <r>
    <x v="659"/>
    <x v="20"/>
    <x v="20"/>
    <x v="341"/>
    <x v="281"/>
    <x v="635"/>
    <x v="13"/>
    <x v="13"/>
    <x v="2"/>
    <x v="2"/>
    <x v="2"/>
    <x v="2"/>
    <x v="11"/>
    <x v="11"/>
    <x v="12"/>
    <x v="12"/>
    <x v="2"/>
    <x v="2"/>
    <x v="11"/>
    <x v="11"/>
    <x v="657"/>
    <x v="657"/>
    <x v="0"/>
    <x v="0"/>
    <x v="3"/>
    <x v="7"/>
    <x v="659"/>
    <x v="0"/>
    <x v="0"/>
    <x v="659"/>
    <x v="659"/>
    <x v="659"/>
    <x v="656"/>
    <x v="658"/>
    <x v="659"/>
    <x v="1"/>
    <x v="1"/>
    <x v="1"/>
    <x v="1"/>
    <x v="10"/>
    <x v="1"/>
    <x v="0"/>
  </r>
  <r>
    <x v="660"/>
    <x v="18"/>
    <x v="18"/>
    <x v="595"/>
    <x v="400"/>
    <x v="636"/>
    <x v="3"/>
    <x v="3"/>
    <x v="1"/>
    <x v="1"/>
    <x v="1"/>
    <x v="1"/>
    <x v="15"/>
    <x v="15"/>
    <x v="16"/>
    <x v="16"/>
    <x v="2"/>
    <x v="2"/>
    <x v="11"/>
    <x v="11"/>
    <x v="658"/>
    <x v="658"/>
    <x v="1"/>
    <x v="1"/>
    <x v="6"/>
    <x v="2"/>
    <x v="660"/>
    <x v="8"/>
    <x v="6"/>
    <x v="660"/>
    <x v="660"/>
    <x v="660"/>
    <x v="657"/>
    <x v="659"/>
    <x v="660"/>
    <x v="0"/>
    <x v="0"/>
    <x v="0"/>
    <x v="0"/>
    <x v="0"/>
    <x v="1"/>
    <x v="0"/>
  </r>
  <r>
    <x v="661"/>
    <x v="582"/>
    <x v="348"/>
    <x v="596"/>
    <x v="345"/>
    <x v="637"/>
    <x v="11"/>
    <x v="11"/>
    <x v="0"/>
    <x v="0"/>
    <x v="2"/>
    <x v="2"/>
    <x v="5"/>
    <x v="5"/>
    <x v="5"/>
    <x v="5"/>
    <x v="2"/>
    <x v="2"/>
    <x v="12"/>
    <x v="12"/>
    <x v="659"/>
    <x v="659"/>
    <x v="0"/>
    <x v="0"/>
    <x v="1"/>
    <x v="4"/>
    <x v="661"/>
    <x v="1"/>
    <x v="1"/>
    <x v="661"/>
    <x v="661"/>
    <x v="661"/>
    <x v="658"/>
    <x v="660"/>
    <x v="661"/>
    <x v="0"/>
    <x v="0"/>
    <x v="0"/>
    <x v="0"/>
    <x v="4"/>
    <x v="0"/>
    <x v="0"/>
  </r>
  <r>
    <x v="662"/>
    <x v="583"/>
    <x v="425"/>
    <x v="597"/>
    <x v="325"/>
    <x v="638"/>
    <x v="1"/>
    <x v="1"/>
    <x v="3"/>
    <x v="3"/>
    <x v="3"/>
    <x v="3"/>
    <x v="0"/>
    <x v="0"/>
    <x v="7"/>
    <x v="7"/>
    <x v="2"/>
    <x v="2"/>
    <x v="12"/>
    <x v="12"/>
    <x v="660"/>
    <x v="660"/>
    <x v="1"/>
    <x v="1"/>
    <x v="5"/>
    <x v="3"/>
    <x v="662"/>
    <x v="8"/>
    <x v="6"/>
    <x v="662"/>
    <x v="662"/>
    <x v="662"/>
    <x v="659"/>
    <x v="661"/>
    <x v="662"/>
    <x v="0"/>
    <x v="0"/>
    <x v="0"/>
    <x v="0"/>
    <x v="10"/>
    <x v="0"/>
    <x v="0"/>
  </r>
  <r>
    <x v="663"/>
    <x v="584"/>
    <x v="146"/>
    <x v="598"/>
    <x v="153"/>
    <x v="639"/>
    <x v="9"/>
    <x v="9"/>
    <x v="3"/>
    <x v="3"/>
    <x v="1"/>
    <x v="1"/>
    <x v="15"/>
    <x v="15"/>
    <x v="16"/>
    <x v="16"/>
    <x v="2"/>
    <x v="2"/>
    <x v="6"/>
    <x v="6"/>
    <x v="661"/>
    <x v="661"/>
    <x v="0"/>
    <x v="0"/>
    <x v="0"/>
    <x v="7"/>
    <x v="663"/>
    <x v="22"/>
    <x v="1"/>
    <x v="663"/>
    <x v="663"/>
    <x v="663"/>
    <x v="660"/>
    <x v="662"/>
    <x v="663"/>
    <x v="0"/>
    <x v="0"/>
    <x v="0"/>
    <x v="0"/>
    <x v="4"/>
    <x v="0"/>
    <x v="1"/>
  </r>
  <r>
    <x v="664"/>
    <x v="585"/>
    <x v="426"/>
    <x v="599"/>
    <x v="419"/>
    <x v="640"/>
    <x v="1"/>
    <x v="1"/>
    <x v="3"/>
    <x v="3"/>
    <x v="2"/>
    <x v="2"/>
    <x v="2"/>
    <x v="2"/>
    <x v="2"/>
    <x v="2"/>
    <x v="2"/>
    <x v="2"/>
    <x v="5"/>
    <x v="5"/>
    <x v="662"/>
    <x v="662"/>
    <x v="3"/>
    <x v="3"/>
    <x v="4"/>
    <x v="5"/>
    <x v="664"/>
    <x v="0"/>
    <x v="0"/>
    <x v="664"/>
    <x v="664"/>
    <x v="664"/>
    <x v="661"/>
    <x v="663"/>
    <x v="664"/>
    <x v="0"/>
    <x v="0"/>
    <x v="0"/>
    <x v="0"/>
    <x v="8"/>
    <x v="0"/>
    <x v="0"/>
  </r>
  <r>
    <x v="665"/>
    <x v="586"/>
    <x v="427"/>
    <x v="600"/>
    <x v="420"/>
    <x v="641"/>
    <x v="21"/>
    <x v="9"/>
    <x v="3"/>
    <x v="3"/>
    <x v="3"/>
    <x v="3"/>
    <x v="12"/>
    <x v="12"/>
    <x v="13"/>
    <x v="13"/>
    <x v="0"/>
    <x v="0"/>
    <x v="2"/>
    <x v="2"/>
    <x v="663"/>
    <x v="663"/>
    <x v="3"/>
    <x v="3"/>
    <x v="6"/>
    <x v="1"/>
    <x v="665"/>
    <x v="8"/>
    <x v="6"/>
    <x v="665"/>
    <x v="665"/>
    <x v="665"/>
    <x v="662"/>
    <x v="664"/>
    <x v="665"/>
    <x v="3"/>
    <x v="3"/>
    <x v="1"/>
    <x v="1"/>
    <x v="10"/>
    <x v="1"/>
    <x v="0"/>
  </r>
  <r>
    <x v="666"/>
    <x v="546"/>
    <x v="212"/>
    <x v="601"/>
    <x v="93"/>
    <x v="642"/>
    <x v="12"/>
    <x v="12"/>
    <x v="1"/>
    <x v="1"/>
    <x v="4"/>
    <x v="0"/>
    <x v="7"/>
    <x v="7"/>
    <x v="8"/>
    <x v="8"/>
    <x v="2"/>
    <x v="2"/>
    <x v="6"/>
    <x v="6"/>
    <x v="664"/>
    <x v="664"/>
    <x v="1"/>
    <x v="1"/>
    <x v="1"/>
    <x v="5"/>
    <x v="666"/>
    <x v="5"/>
    <x v="5"/>
    <x v="666"/>
    <x v="666"/>
    <x v="666"/>
    <x v="663"/>
    <x v="665"/>
    <x v="666"/>
    <x v="0"/>
    <x v="0"/>
    <x v="0"/>
    <x v="0"/>
    <x v="2"/>
    <x v="0"/>
    <x v="0"/>
  </r>
  <r>
    <x v="667"/>
    <x v="587"/>
    <x v="10"/>
    <x v="602"/>
    <x v="271"/>
    <x v="643"/>
    <x v="13"/>
    <x v="13"/>
    <x v="1"/>
    <x v="1"/>
    <x v="1"/>
    <x v="1"/>
    <x v="9"/>
    <x v="9"/>
    <x v="10"/>
    <x v="10"/>
    <x v="2"/>
    <x v="2"/>
    <x v="12"/>
    <x v="12"/>
    <x v="665"/>
    <x v="665"/>
    <x v="3"/>
    <x v="3"/>
    <x v="2"/>
    <x v="5"/>
    <x v="667"/>
    <x v="1"/>
    <x v="1"/>
    <x v="667"/>
    <x v="667"/>
    <x v="667"/>
    <x v="664"/>
    <x v="666"/>
    <x v="667"/>
    <x v="2"/>
    <x v="2"/>
    <x v="2"/>
    <x v="2"/>
    <x v="4"/>
    <x v="1"/>
    <x v="0"/>
  </r>
  <r>
    <x v="668"/>
    <x v="588"/>
    <x v="428"/>
    <x v="26"/>
    <x v="26"/>
    <x v="644"/>
    <x v="1"/>
    <x v="1"/>
    <x v="2"/>
    <x v="2"/>
    <x v="3"/>
    <x v="3"/>
    <x v="12"/>
    <x v="12"/>
    <x v="13"/>
    <x v="13"/>
    <x v="0"/>
    <x v="0"/>
    <x v="0"/>
    <x v="0"/>
    <x v="666"/>
    <x v="666"/>
    <x v="0"/>
    <x v="0"/>
    <x v="7"/>
    <x v="8"/>
    <x v="668"/>
    <x v="0"/>
    <x v="0"/>
    <x v="668"/>
    <x v="668"/>
    <x v="668"/>
    <x v="665"/>
    <x v="667"/>
    <x v="668"/>
    <x v="0"/>
    <x v="0"/>
    <x v="0"/>
    <x v="0"/>
    <x v="3"/>
    <x v="0"/>
    <x v="0"/>
  </r>
  <r>
    <x v="669"/>
    <x v="589"/>
    <x v="83"/>
    <x v="603"/>
    <x v="421"/>
    <x v="645"/>
    <x v="4"/>
    <x v="4"/>
    <x v="3"/>
    <x v="3"/>
    <x v="3"/>
    <x v="3"/>
    <x v="3"/>
    <x v="3"/>
    <x v="3"/>
    <x v="3"/>
    <x v="1"/>
    <x v="1"/>
    <x v="1"/>
    <x v="1"/>
    <x v="667"/>
    <x v="667"/>
    <x v="0"/>
    <x v="0"/>
    <x v="9"/>
    <x v="2"/>
    <x v="669"/>
    <x v="3"/>
    <x v="3"/>
    <x v="669"/>
    <x v="669"/>
    <x v="669"/>
    <x v="666"/>
    <x v="668"/>
    <x v="669"/>
    <x v="0"/>
    <x v="0"/>
    <x v="0"/>
    <x v="0"/>
    <x v="11"/>
    <x v="0"/>
    <x v="0"/>
  </r>
  <r>
    <x v="670"/>
    <x v="590"/>
    <x v="429"/>
    <x v="563"/>
    <x v="395"/>
    <x v="488"/>
    <x v="11"/>
    <x v="11"/>
    <x v="4"/>
    <x v="2"/>
    <x v="4"/>
    <x v="0"/>
    <x v="8"/>
    <x v="8"/>
    <x v="9"/>
    <x v="9"/>
    <x v="1"/>
    <x v="1"/>
    <x v="1"/>
    <x v="1"/>
    <x v="668"/>
    <x v="668"/>
    <x v="3"/>
    <x v="3"/>
    <x v="5"/>
    <x v="0"/>
    <x v="670"/>
    <x v="8"/>
    <x v="6"/>
    <x v="670"/>
    <x v="670"/>
    <x v="670"/>
    <x v="667"/>
    <x v="669"/>
    <x v="670"/>
    <x v="0"/>
    <x v="0"/>
    <x v="0"/>
    <x v="0"/>
    <x v="6"/>
    <x v="1"/>
    <x v="0"/>
  </r>
  <r>
    <x v="671"/>
    <x v="591"/>
    <x v="292"/>
    <x v="604"/>
    <x v="82"/>
    <x v="646"/>
    <x v="7"/>
    <x v="7"/>
    <x v="3"/>
    <x v="3"/>
    <x v="3"/>
    <x v="3"/>
    <x v="14"/>
    <x v="14"/>
    <x v="15"/>
    <x v="15"/>
    <x v="2"/>
    <x v="2"/>
    <x v="6"/>
    <x v="6"/>
    <x v="669"/>
    <x v="669"/>
    <x v="0"/>
    <x v="0"/>
    <x v="1"/>
    <x v="6"/>
    <x v="671"/>
    <x v="5"/>
    <x v="5"/>
    <x v="671"/>
    <x v="671"/>
    <x v="671"/>
    <x v="668"/>
    <x v="670"/>
    <x v="671"/>
    <x v="0"/>
    <x v="0"/>
    <x v="0"/>
    <x v="0"/>
    <x v="11"/>
    <x v="0"/>
    <x v="0"/>
  </r>
  <r>
    <x v="672"/>
    <x v="592"/>
    <x v="430"/>
    <x v="605"/>
    <x v="1"/>
    <x v="647"/>
    <x v="7"/>
    <x v="7"/>
    <x v="2"/>
    <x v="2"/>
    <x v="3"/>
    <x v="3"/>
    <x v="4"/>
    <x v="4"/>
    <x v="4"/>
    <x v="4"/>
    <x v="1"/>
    <x v="1"/>
    <x v="4"/>
    <x v="4"/>
    <x v="670"/>
    <x v="670"/>
    <x v="3"/>
    <x v="3"/>
    <x v="3"/>
    <x v="8"/>
    <x v="672"/>
    <x v="5"/>
    <x v="5"/>
    <x v="672"/>
    <x v="672"/>
    <x v="672"/>
    <x v="669"/>
    <x v="671"/>
    <x v="672"/>
    <x v="0"/>
    <x v="0"/>
    <x v="2"/>
    <x v="2"/>
    <x v="7"/>
    <x v="0"/>
    <x v="0"/>
  </r>
  <r>
    <x v="673"/>
    <x v="593"/>
    <x v="223"/>
    <x v="606"/>
    <x v="390"/>
    <x v="648"/>
    <x v="3"/>
    <x v="3"/>
    <x v="1"/>
    <x v="1"/>
    <x v="3"/>
    <x v="3"/>
    <x v="0"/>
    <x v="0"/>
    <x v="7"/>
    <x v="7"/>
    <x v="1"/>
    <x v="1"/>
    <x v="10"/>
    <x v="10"/>
    <x v="671"/>
    <x v="671"/>
    <x v="0"/>
    <x v="0"/>
    <x v="4"/>
    <x v="2"/>
    <x v="673"/>
    <x v="4"/>
    <x v="4"/>
    <x v="673"/>
    <x v="673"/>
    <x v="673"/>
    <x v="670"/>
    <x v="672"/>
    <x v="673"/>
    <x v="0"/>
    <x v="0"/>
    <x v="0"/>
    <x v="0"/>
    <x v="6"/>
    <x v="1"/>
    <x v="0"/>
  </r>
  <r>
    <x v="674"/>
    <x v="594"/>
    <x v="431"/>
    <x v="607"/>
    <x v="183"/>
    <x v="649"/>
    <x v="5"/>
    <x v="5"/>
    <x v="2"/>
    <x v="2"/>
    <x v="1"/>
    <x v="1"/>
    <x v="15"/>
    <x v="15"/>
    <x v="16"/>
    <x v="16"/>
    <x v="2"/>
    <x v="2"/>
    <x v="5"/>
    <x v="5"/>
    <x v="672"/>
    <x v="672"/>
    <x v="0"/>
    <x v="0"/>
    <x v="4"/>
    <x v="5"/>
    <x v="674"/>
    <x v="1"/>
    <x v="1"/>
    <x v="674"/>
    <x v="674"/>
    <x v="674"/>
    <x v="671"/>
    <x v="673"/>
    <x v="674"/>
    <x v="2"/>
    <x v="2"/>
    <x v="2"/>
    <x v="2"/>
    <x v="4"/>
    <x v="0"/>
    <x v="0"/>
  </r>
  <r>
    <x v="675"/>
    <x v="595"/>
    <x v="432"/>
    <x v="608"/>
    <x v="197"/>
    <x v="620"/>
    <x v="10"/>
    <x v="10"/>
    <x v="0"/>
    <x v="0"/>
    <x v="4"/>
    <x v="0"/>
    <x v="0"/>
    <x v="0"/>
    <x v="0"/>
    <x v="0"/>
    <x v="1"/>
    <x v="1"/>
    <x v="3"/>
    <x v="3"/>
    <x v="673"/>
    <x v="673"/>
    <x v="1"/>
    <x v="1"/>
    <x v="4"/>
    <x v="1"/>
    <x v="675"/>
    <x v="1"/>
    <x v="1"/>
    <x v="675"/>
    <x v="675"/>
    <x v="675"/>
    <x v="672"/>
    <x v="674"/>
    <x v="675"/>
    <x v="0"/>
    <x v="0"/>
    <x v="0"/>
    <x v="0"/>
    <x v="2"/>
    <x v="1"/>
    <x v="0"/>
  </r>
  <r>
    <x v="676"/>
    <x v="596"/>
    <x v="433"/>
    <x v="609"/>
    <x v="92"/>
    <x v="650"/>
    <x v="9"/>
    <x v="9"/>
    <x v="1"/>
    <x v="1"/>
    <x v="4"/>
    <x v="0"/>
    <x v="18"/>
    <x v="18"/>
    <x v="19"/>
    <x v="19"/>
    <x v="2"/>
    <x v="2"/>
    <x v="11"/>
    <x v="11"/>
    <x v="674"/>
    <x v="674"/>
    <x v="1"/>
    <x v="1"/>
    <x v="2"/>
    <x v="4"/>
    <x v="676"/>
    <x v="4"/>
    <x v="4"/>
    <x v="676"/>
    <x v="676"/>
    <x v="676"/>
    <x v="673"/>
    <x v="675"/>
    <x v="676"/>
    <x v="0"/>
    <x v="0"/>
    <x v="0"/>
    <x v="0"/>
    <x v="7"/>
    <x v="1"/>
    <x v="0"/>
  </r>
  <r>
    <x v="677"/>
    <x v="597"/>
    <x v="41"/>
    <x v="610"/>
    <x v="136"/>
    <x v="0"/>
    <x v="2"/>
    <x v="2"/>
    <x v="3"/>
    <x v="3"/>
    <x v="2"/>
    <x v="2"/>
    <x v="11"/>
    <x v="11"/>
    <x v="12"/>
    <x v="12"/>
    <x v="1"/>
    <x v="1"/>
    <x v="4"/>
    <x v="4"/>
    <x v="675"/>
    <x v="675"/>
    <x v="1"/>
    <x v="1"/>
    <x v="1"/>
    <x v="4"/>
    <x v="677"/>
    <x v="1"/>
    <x v="1"/>
    <x v="677"/>
    <x v="677"/>
    <x v="677"/>
    <x v="674"/>
    <x v="676"/>
    <x v="677"/>
    <x v="0"/>
    <x v="0"/>
    <x v="0"/>
    <x v="0"/>
    <x v="2"/>
    <x v="0"/>
    <x v="0"/>
  </r>
  <r>
    <x v="678"/>
    <x v="598"/>
    <x v="434"/>
    <x v="611"/>
    <x v="358"/>
    <x v="651"/>
    <x v="15"/>
    <x v="14"/>
    <x v="2"/>
    <x v="2"/>
    <x v="2"/>
    <x v="2"/>
    <x v="11"/>
    <x v="11"/>
    <x v="12"/>
    <x v="12"/>
    <x v="1"/>
    <x v="1"/>
    <x v="1"/>
    <x v="1"/>
    <x v="676"/>
    <x v="676"/>
    <x v="0"/>
    <x v="0"/>
    <x v="2"/>
    <x v="6"/>
    <x v="678"/>
    <x v="4"/>
    <x v="4"/>
    <x v="678"/>
    <x v="678"/>
    <x v="678"/>
    <x v="675"/>
    <x v="677"/>
    <x v="678"/>
    <x v="0"/>
    <x v="0"/>
    <x v="0"/>
    <x v="0"/>
    <x v="3"/>
    <x v="0"/>
    <x v="0"/>
  </r>
  <r>
    <x v="679"/>
    <x v="599"/>
    <x v="272"/>
    <x v="612"/>
    <x v="422"/>
    <x v="652"/>
    <x v="12"/>
    <x v="12"/>
    <x v="2"/>
    <x v="2"/>
    <x v="4"/>
    <x v="0"/>
    <x v="7"/>
    <x v="7"/>
    <x v="8"/>
    <x v="8"/>
    <x v="2"/>
    <x v="2"/>
    <x v="6"/>
    <x v="6"/>
    <x v="677"/>
    <x v="677"/>
    <x v="1"/>
    <x v="1"/>
    <x v="2"/>
    <x v="2"/>
    <x v="679"/>
    <x v="11"/>
    <x v="7"/>
    <x v="679"/>
    <x v="679"/>
    <x v="679"/>
    <x v="676"/>
    <x v="678"/>
    <x v="679"/>
    <x v="1"/>
    <x v="1"/>
    <x v="1"/>
    <x v="1"/>
    <x v="1"/>
    <x v="1"/>
    <x v="0"/>
  </r>
  <r>
    <x v="680"/>
    <x v="499"/>
    <x v="32"/>
    <x v="613"/>
    <x v="423"/>
    <x v="653"/>
    <x v="15"/>
    <x v="14"/>
    <x v="2"/>
    <x v="2"/>
    <x v="2"/>
    <x v="2"/>
    <x v="17"/>
    <x v="17"/>
    <x v="18"/>
    <x v="18"/>
    <x v="2"/>
    <x v="2"/>
    <x v="5"/>
    <x v="5"/>
    <x v="678"/>
    <x v="678"/>
    <x v="2"/>
    <x v="2"/>
    <x v="2"/>
    <x v="2"/>
    <x v="680"/>
    <x v="1"/>
    <x v="1"/>
    <x v="680"/>
    <x v="680"/>
    <x v="680"/>
    <x v="677"/>
    <x v="679"/>
    <x v="680"/>
    <x v="0"/>
    <x v="0"/>
    <x v="0"/>
    <x v="0"/>
    <x v="4"/>
    <x v="0"/>
    <x v="0"/>
  </r>
  <r>
    <x v="681"/>
    <x v="600"/>
    <x v="241"/>
    <x v="614"/>
    <x v="424"/>
    <x v="654"/>
    <x v="5"/>
    <x v="5"/>
    <x v="2"/>
    <x v="2"/>
    <x v="4"/>
    <x v="0"/>
    <x v="18"/>
    <x v="18"/>
    <x v="19"/>
    <x v="19"/>
    <x v="1"/>
    <x v="1"/>
    <x v="1"/>
    <x v="1"/>
    <x v="679"/>
    <x v="679"/>
    <x v="0"/>
    <x v="0"/>
    <x v="0"/>
    <x v="8"/>
    <x v="681"/>
    <x v="1"/>
    <x v="1"/>
    <x v="681"/>
    <x v="681"/>
    <x v="681"/>
    <x v="678"/>
    <x v="680"/>
    <x v="681"/>
    <x v="0"/>
    <x v="0"/>
    <x v="1"/>
    <x v="1"/>
    <x v="0"/>
    <x v="0"/>
    <x v="0"/>
  </r>
  <r>
    <x v="682"/>
    <x v="601"/>
    <x v="400"/>
    <x v="615"/>
    <x v="33"/>
    <x v="655"/>
    <x v="4"/>
    <x v="4"/>
    <x v="2"/>
    <x v="2"/>
    <x v="4"/>
    <x v="0"/>
    <x v="16"/>
    <x v="16"/>
    <x v="17"/>
    <x v="17"/>
    <x v="0"/>
    <x v="0"/>
    <x v="8"/>
    <x v="8"/>
    <x v="680"/>
    <x v="680"/>
    <x v="1"/>
    <x v="1"/>
    <x v="6"/>
    <x v="1"/>
    <x v="682"/>
    <x v="9"/>
    <x v="1"/>
    <x v="682"/>
    <x v="682"/>
    <x v="682"/>
    <x v="679"/>
    <x v="681"/>
    <x v="682"/>
    <x v="0"/>
    <x v="0"/>
    <x v="0"/>
    <x v="0"/>
    <x v="6"/>
    <x v="1"/>
    <x v="1"/>
  </r>
  <r>
    <x v="683"/>
    <x v="602"/>
    <x v="169"/>
    <x v="616"/>
    <x v="168"/>
    <x v="656"/>
    <x v="3"/>
    <x v="3"/>
    <x v="1"/>
    <x v="1"/>
    <x v="2"/>
    <x v="2"/>
    <x v="2"/>
    <x v="2"/>
    <x v="2"/>
    <x v="2"/>
    <x v="1"/>
    <x v="1"/>
    <x v="3"/>
    <x v="3"/>
    <x v="681"/>
    <x v="681"/>
    <x v="0"/>
    <x v="0"/>
    <x v="5"/>
    <x v="3"/>
    <x v="683"/>
    <x v="0"/>
    <x v="0"/>
    <x v="683"/>
    <x v="683"/>
    <x v="683"/>
    <x v="680"/>
    <x v="682"/>
    <x v="683"/>
    <x v="1"/>
    <x v="1"/>
    <x v="1"/>
    <x v="1"/>
    <x v="0"/>
    <x v="1"/>
    <x v="0"/>
  </r>
  <r>
    <x v="684"/>
    <x v="603"/>
    <x v="435"/>
    <x v="78"/>
    <x v="72"/>
    <x v="657"/>
    <x v="2"/>
    <x v="2"/>
    <x v="3"/>
    <x v="3"/>
    <x v="2"/>
    <x v="2"/>
    <x v="17"/>
    <x v="17"/>
    <x v="18"/>
    <x v="18"/>
    <x v="1"/>
    <x v="1"/>
    <x v="10"/>
    <x v="10"/>
    <x v="682"/>
    <x v="682"/>
    <x v="2"/>
    <x v="2"/>
    <x v="6"/>
    <x v="4"/>
    <x v="684"/>
    <x v="0"/>
    <x v="0"/>
    <x v="684"/>
    <x v="684"/>
    <x v="684"/>
    <x v="681"/>
    <x v="683"/>
    <x v="684"/>
    <x v="1"/>
    <x v="1"/>
    <x v="1"/>
    <x v="1"/>
    <x v="0"/>
    <x v="1"/>
    <x v="0"/>
  </r>
  <r>
    <x v="685"/>
    <x v="604"/>
    <x v="363"/>
    <x v="79"/>
    <x v="73"/>
    <x v="555"/>
    <x v="6"/>
    <x v="6"/>
    <x v="2"/>
    <x v="2"/>
    <x v="3"/>
    <x v="3"/>
    <x v="14"/>
    <x v="14"/>
    <x v="15"/>
    <x v="15"/>
    <x v="0"/>
    <x v="0"/>
    <x v="2"/>
    <x v="2"/>
    <x v="683"/>
    <x v="683"/>
    <x v="3"/>
    <x v="3"/>
    <x v="7"/>
    <x v="6"/>
    <x v="685"/>
    <x v="2"/>
    <x v="2"/>
    <x v="685"/>
    <x v="685"/>
    <x v="685"/>
    <x v="682"/>
    <x v="684"/>
    <x v="685"/>
    <x v="3"/>
    <x v="3"/>
    <x v="1"/>
    <x v="1"/>
    <x v="9"/>
    <x v="1"/>
    <x v="0"/>
  </r>
  <r>
    <x v="686"/>
    <x v="605"/>
    <x v="436"/>
    <x v="617"/>
    <x v="425"/>
    <x v="658"/>
    <x v="11"/>
    <x v="11"/>
    <x v="3"/>
    <x v="3"/>
    <x v="2"/>
    <x v="2"/>
    <x v="17"/>
    <x v="17"/>
    <x v="18"/>
    <x v="18"/>
    <x v="2"/>
    <x v="2"/>
    <x v="6"/>
    <x v="6"/>
    <x v="684"/>
    <x v="684"/>
    <x v="3"/>
    <x v="3"/>
    <x v="9"/>
    <x v="7"/>
    <x v="686"/>
    <x v="1"/>
    <x v="1"/>
    <x v="686"/>
    <x v="686"/>
    <x v="686"/>
    <x v="683"/>
    <x v="685"/>
    <x v="686"/>
    <x v="0"/>
    <x v="0"/>
    <x v="0"/>
    <x v="0"/>
    <x v="11"/>
    <x v="0"/>
    <x v="0"/>
  </r>
  <r>
    <x v="687"/>
    <x v="606"/>
    <x v="136"/>
    <x v="618"/>
    <x v="372"/>
    <x v="659"/>
    <x v="1"/>
    <x v="1"/>
    <x v="3"/>
    <x v="3"/>
    <x v="4"/>
    <x v="0"/>
    <x v="7"/>
    <x v="7"/>
    <x v="8"/>
    <x v="8"/>
    <x v="1"/>
    <x v="1"/>
    <x v="1"/>
    <x v="1"/>
    <x v="685"/>
    <x v="685"/>
    <x v="2"/>
    <x v="2"/>
    <x v="1"/>
    <x v="2"/>
    <x v="687"/>
    <x v="1"/>
    <x v="1"/>
    <x v="687"/>
    <x v="687"/>
    <x v="687"/>
    <x v="684"/>
    <x v="686"/>
    <x v="687"/>
    <x v="3"/>
    <x v="3"/>
    <x v="1"/>
    <x v="1"/>
    <x v="9"/>
    <x v="1"/>
    <x v="0"/>
  </r>
  <r>
    <x v="688"/>
    <x v="202"/>
    <x v="180"/>
    <x v="619"/>
    <x v="188"/>
    <x v="660"/>
    <x v="6"/>
    <x v="6"/>
    <x v="3"/>
    <x v="3"/>
    <x v="4"/>
    <x v="0"/>
    <x v="16"/>
    <x v="16"/>
    <x v="17"/>
    <x v="17"/>
    <x v="0"/>
    <x v="0"/>
    <x v="2"/>
    <x v="2"/>
    <x v="686"/>
    <x v="686"/>
    <x v="0"/>
    <x v="0"/>
    <x v="3"/>
    <x v="3"/>
    <x v="688"/>
    <x v="4"/>
    <x v="4"/>
    <x v="688"/>
    <x v="688"/>
    <x v="688"/>
    <x v="685"/>
    <x v="687"/>
    <x v="688"/>
    <x v="0"/>
    <x v="0"/>
    <x v="0"/>
    <x v="0"/>
    <x v="6"/>
    <x v="1"/>
    <x v="0"/>
  </r>
  <r>
    <x v="689"/>
    <x v="607"/>
    <x v="405"/>
    <x v="620"/>
    <x v="426"/>
    <x v="661"/>
    <x v="12"/>
    <x v="12"/>
    <x v="1"/>
    <x v="1"/>
    <x v="4"/>
    <x v="0"/>
    <x v="7"/>
    <x v="7"/>
    <x v="8"/>
    <x v="8"/>
    <x v="1"/>
    <x v="1"/>
    <x v="1"/>
    <x v="1"/>
    <x v="687"/>
    <x v="687"/>
    <x v="3"/>
    <x v="3"/>
    <x v="3"/>
    <x v="6"/>
    <x v="689"/>
    <x v="4"/>
    <x v="4"/>
    <x v="689"/>
    <x v="689"/>
    <x v="689"/>
    <x v="686"/>
    <x v="688"/>
    <x v="689"/>
    <x v="3"/>
    <x v="3"/>
    <x v="1"/>
    <x v="1"/>
    <x v="9"/>
    <x v="0"/>
    <x v="0"/>
  </r>
  <r>
    <x v="690"/>
    <x v="608"/>
    <x v="437"/>
    <x v="621"/>
    <x v="427"/>
    <x v="662"/>
    <x v="11"/>
    <x v="11"/>
    <x v="2"/>
    <x v="2"/>
    <x v="2"/>
    <x v="2"/>
    <x v="17"/>
    <x v="17"/>
    <x v="18"/>
    <x v="18"/>
    <x v="0"/>
    <x v="0"/>
    <x v="2"/>
    <x v="2"/>
    <x v="688"/>
    <x v="688"/>
    <x v="3"/>
    <x v="3"/>
    <x v="5"/>
    <x v="2"/>
    <x v="690"/>
    <x v="1"/>
    <x v="1"/>
    <x v="690"/>
    <x v="690"/>
    <x v="690"/>
    <x v="687"/>
    <x v="689"/>
    <x v="690"/>
    <x v="3"/>
    <x v="3"/>
    <x v="2"/>
    <x v="2"/>
    <x v="7"/>
    <x v="0"/>
    <x v="0"/>
  </r>
  <r>
    <x v="691"/>
    <x v="462"/>
    <x v="352"/>
    <x v="622"/>
    <x v="117"/>
    <x v="663"/>
    <x v="12"/>
    <x v="12"/>
    <x v="0"/>
    <x v="0"/>
    <x v="1"/>
    <x v="1"/>
    <x v="1"/>
    <x v="1"/>
    <x v="1"/>
    <x v="1"/>
    <x v="2"/>
    <x v="2"/>
    <x v="6"/>
    <x v="6"/>
    <x v="689"/>
    <x v="689"/>
    <x v="0"/>
    <x v="0"/>
    <x v="3"/>
    <x v="3"/>
    <x v="691"/>
    <x v="5"/>
    <x v="5"/>
    <x v="691"/>
    <x v="691"/>
    <x v="691"/>
    <x v="688"/>
    <x v="690"/>
    <x v="691"/>
    <x v="0"/>
    <x v="0"/>
    <x v="0"/>
    <x v="0"/>
    <x v="8"/>
    <x v="0"/>
    <x v="0"/>
  </r>
  <r>
    <x v="692"/>
    <x v="609"/>
    <x v="367"/>
    <x v="623"/>
    <x v="363"/>
    <x v="664"/>
    <x v="2"/>
    <x v="2"/>
    <x v="2"/>
    <x v="2"/>
    <x v="2"/>
    <x v="2"/>
    <x v="11"/>
    <x v="11"/>
    <x v="12"/>
    <x v="12"/>
    <x v="1"/>
    <x v="1"/>
    <x v="3"/>
    <x v="3"/>
    <x v="690"/>
    <x v="690"/>
    <x v="0"/>
    <x v="0"/>
    <x v="1"/>
    <x v="2"/>
    <x v="692"/>
    <x v="8"/>
    <x v="6"/>
    <x v="692"/>
    <x v="692"/>
    <x v="692"/>
    <x v="689"/>
    <x v="691"/>
    <x v="692"/>
    <x v="0"/>
    <x v="0"/>
    <x v="0"/>
    <x v="0"/>
    <x v="9"/>
    <x v="1"/>
    <x v="0"/>
  </r>
  <r>
    <x v="693"/>
    <x v="610"/>
    <x v="438"/>
    <x v="466"/>
    <x v="354"/>
    <x v="665"/>
    <x v="3"/>
    <x v="3"/>
    <x v="0"/>
    <x v="0"/>
    <x v="2"/>
    <x v="2"/>
    <x v="17"/>
    <x v="17"/>
    <x v="18"/>
    <x v="18"/>
    <x v="1"/>
    <x v="1"/>
    <x v="10"/>
    <x v="10"/>
    <x v="691"/>
    <x v="691"/>
    <x v="0"/>
    <x v="0"/>
    <x v="9"/>
    <x v="1"/>
    <x v="693"/>
    <x v="5"/>
    <x v="5"/>
    <x v="693"/>
    <x v="693"/>
    <x v="693"/>
    <x v="690"/>
    <x v="692"/>
    <x v="693"/>
    <x v="0"/>
    <x v="0"/>
    <x v="0"/>
    <x v="0"/>
    <x v="5"/>
    <x v="1"/>
    <x v="0"/>
  </r>
  <r>
    <x v="694"/>
    <x v="611"/>
    <x v="203"/>
    <x v="590"/>
    <x v="417"/>
    <x v="337"/>
    <x v="2"/>
    <x v="2"/>
    <x v="0"/>
    <x v="0"/>
    <x v="2"/>
    <x v="2"/>
    <x v="5"/>
    <x v="5"/>
    <x v="5"/>
    <x v="5"/>
    <x v="0"/>
    <x v="0"/>
    <x v="8"/>
    <x v="8"/>
    <x v="692"/>
    <x v="692"/>
    <x v="2"/>
    <x v="2"/>
    <x v="9"/>
    <x v="8"/>
    <x v="694"/>
    <x v="4"/>
    <x v="4"/>
    <x v="694"/>
    <x v="694"/>
    <x v="694"/>
    <x v="691"/>
    <x v="693"/>
    <x v="694"/>
    <x v="0"/>
    <x v="0"/>
    <x v="0"/>
    <x v="0"/>
    <x v="1"/>
    <x v="1"/>
    <x v="0"/>
  </r>
  <r>
    <x v="695"/>
    <x v="612"/>
    <x v="81"/>
    <x v="389"/>
    <x v="80"/>
    <x v="666"/>
    <x v="10"/>
    <x v="10"/>
    <x v="0"/>
    <x v="0"/>
    <x v="3"/>
    <x v="3"/>
    <x v="4"/>
    <x v="4"/>
    <x v="4"/>
    <x v="4"/>
    <x v="2"/>
    <x v="2"/>
    <x v="15"/>
    <x v="12"/>
    <x v="693"/>
    <x v="693"/>
    <x v="3"/>
    <x v="3"/>
    <x v="6"/>
    <x v="2"/>
    <x v="695"/>
    <x v="1"/>
    <x v="1"/>
    <x v="695"/>
    <x v="695"/>
    <x v="695"/>
    <x v="692"/>
    <x v="694"/>
    <x v="695"/>
    <x v="0"/>
    <x v="0"/>
    <x v="0"/>
    <x v="0"/>
    <x v="0"/>
    <x v="0"/>
    <x v="0"/>
  </r>
  <r>
    <x v="696"/>
    <x v="613"/>
    <x v="385"/>
    <x v="624"/>
    <x v="138"/>
    <x v="667"/>
    <x v="2"/>
    <x v="2"/>
    <x v="1"/>
    <x v="1"/>
    <x v="2"/>
    <x v="2"/>
    <x v="13"/>
    <x v="13"/>
    <x v="14"/>
    <x v="14"/>
    <x v="2"/>
    <x v="2"/>
    <x v="11"/>
    <x v="11"/>
    <x v="694"/>
    <x v="694"/>
    <x v="4"/>
    <x v="4"/>
    <x v="4"/>
    <x v="2"/>
    <x v="696"/>
    <x v="3"/>
    <x v="3"/>
    <x v="696"/>
    <x v="696"/>
    <x v="696"/>
    <x v="693"/>
    <x v="695"/>
    <x v="696"/>
    <x v="0"/>
    <x v="0"/>
    <x v="0"/>
    <x v="0"/>
    <x v="7"/>
    <x v="1"/>
    <x v="0"/>
  </r>
  <r>
    <x v="697"/>
    <x v="435"/>
    <x v="308"/>
    <x v="137"/>
    <x v="126"/>
    <x v="668"/>
    <x v="3"/>
    <x v="3"/>
    <x v="2"/>
    <x v="2"/>
    <x v="2"/>
    <x v="2"/>
    <x v="5"/>
    <x v="5"/>
    <x v="5"/>
    <x v="5"/>
    <x v="0"/>
    <x v="0"/>
    <x v="7"/>
    <x v="7"/>
    <x v="695"/>
    <x v="695"/>
    <x v="2"/>
    <x v="2"/>
    <x v="0"/>
    <x v="4"/>
    <x v="697"/>
    <x v="9"/>
    <x v="1"/>
    <x v="697"/>
    <x v="697"/>
    <x v="697"/>
    <x v="694"/>
    <x v="696"/>
    <x v="697"/>
    <x v="1"/>
    <x v="1"/>
    <x v="2"/>
    <x v="2"/>
    <x v="11"/>
    <x v="1"/>
    <x v="1"/>
  </r>
  <r>
    <x v="698"/>
    <x v="614"/>
    <x v="263"/>
    <x v="625"/>
    <x v="428"/>
    <x v="669"/>
    <x v="1"/>
    <x v="1"/>
    <x v="2"/>
    <x v="2"/>
    <x v="4"/>
    <x v="0"/>
    <x v="0"/>
    <x v="0"/>
    <x v="0"/>
    <x v="0"/>
    <x v="2"/>
    <x v="2"/>
    <x v="12"/>
    <x v="12"/>
    <x v="696"/>
    <x v="696"/>
    <x v="3"/>
    <x v="3"/>
    <x v="6"/>
    <x v="0"/>
    <x v="698"/>
    <x v="4"/>
    <x v="4"/>
    <x v="698"/>
    <x v="698"/>
    <x v="698"/>
    <x v="695"/>
    <x v="697"/>
    <x v="698"/>
    <x v="0"/>
    <x v="0"/>
    <x v="2"/>
    <x v="2"/>
    <x v="7"/>
    <x v="0"/>
    <x v="0"/>
  </r>
  <r>
    <x v="699"/>
    <x v="615"/>
    <x v="439"/>
    <x v="626"/>
    <x v="429"/>
    <x v="670"/>
    <x v="3"/>
    <x v="3"/>
    <x v="1"/>
    <x v="1"/>
    <x v="2"/>
    <x v="2"/>
    <x v="11"/>
    <x v="11"/>
    <x v="12"/>
    <x v="12"/>
    <x v="1"/>
    <x v="1"/>
    <x v="10"/>
    <x v="10"/>
    <x v="697"/>
    <x v="697"/>
    <x v="3"/>
    <x v="3"/>
    <x v="6"/>
    <x v="6"/>
    <x v="699"/>
    <x v="3"/>
    <x v="3"/>
    <x v="699"/>
    <x v="699"/>
    <x v="699"/>
    <x v="696"/>
    <x v="698"/>
    <x v="699"/>
    <x v="0"/>
    <x v="0"/>
    <x v="0"/>
    <x v="0"/>
    <x v="2"/>
    <x v="0"/>
    <x v="0"/>
  </r>
  <r>
    <x v="700"/>
    <x v="616"/>
    <x v="418"/>
    <x v="230"/>
    <x v="182"/>
    <x v="671"/>
    <x v="6"/>
    <x v="6"/>
    <x v="2"/>
    <x v="2"/>
    <x v="1"/>
    <x v="1"/>
    <x v="6"/>
    <x v="6"/>
    <x v="6"/>
    <x v="6"/>
    <x v="2"/>
    <x v="2"/>
    <x v="12"/>
    <x v="12"/>
    <x v="698"/>
    <x v="698"/>
    <x v="3"/>
    <x v="3"/>
    <x v="4"/>
    <x v="1"/>
    <x v="700"/>
    <x v="4"/>
    <x v="4"/>
    <x v="700"/>
    <x v="700"/>
    <x v="700"/>
    <x v="697"/>
    <x v="699"/>
    <x v="700"/>
    <x v="0"/>
    <x v="0"/>
    <x v="0"/>
    <x v="0"/>
    <x v="7"/>
    <x v="0"/>
    <x v="0"/>
  </r>
  <r>
    <x v="701"/>
    <x v="617"/>
    <x v="440"/>
    <x v="627"/>
    <x v="330"/>
    <x v="672"/>
    <x v="12"/>
    <x v="12"/>
    <x v="1"/>
    <x v="1"/>
    <x v="3"/>
    <x v="3"/>
    <x v="12"/>
    <x v="12"/>
    <x v="13"/>
    <x v="13"/>
    <x v="0"/>
    <x v="0"/>
    <x v="2"/>
    <x v="2"/>
    <x v="699"/>
    <x v="699"/>
    <x v="1"/>
    <x v="1"/>
    <x v="5"/>
    <x v="4"/>
    <x v="701"/>
    <x v="1"/>
    <x v="1"/>
    <x v="701"/>
    <x v="701"/>
    <x v="701"/>
    <x v="698"/>
    <x v="700"/>
    <x v="701"/>
    <x v="0"/>
    <x v="0"/>
    <x v="2"/>
    <x v="2"/>
    <x v="5"/>
    <x v="0"/>
    <x v="0"/>
  </r>
  <r>
    <x v="702"/>
    <x v="618"/>
    <x v="429"/>
    <x v="546"/>
    <x v="395"/>
    <x v="673"/>
    <x v="0"/>
    <x v="0"/>
    <x v="1"/>
    <x v="1"/>
    <x v="3"/>
    <x v="3"/>
    <x v="0"/>
    <x v="0"/>
    <x v="7"/>
    <x v="7"/>
    <x v="1"/>
    <x v="1"/>
    <x v="1"/>
    <x v="1"/>
    <x v="700"/>
    <x v="700"/>
    <x v="0"/>
    <x v="0"/>
    <x v="5"/>
    <x v="1"/>
    <x v="702"/>
    <x v="8"/>
    <x v="6"/>
    <x v="702"/>
    <x v="702"/>
    <x v="702"/>
    <x v="699"/>
    <x v="701"/>
    <x v="702"/>
    <x v="0"/>
    <x v="0"/>
    <x v="0"/>
    <x v="0"/>
    <x v="6"/>
    <x v="1"/>
    <x v="0"/>
  </r>
  <r>
    <x v="703"/>
    <x v="619"/>
    <x v="160"/>
    <x v="442"/>
    <x v="341"/>
    <x v="674"/>
    <x v="7"/>
    <x v="7"/>
    <x v="2"/>
    <x v="2"/>
    <x v="4"/>
    <x v="0"/>
    <x v="0"/>
    <x v="0"/>
    <x v="0"/>
    <x v="0"/>
    <x v="1"/>
    <x v="1"/>
    <x v="1"/>
    <x v="1"/>
    <x v="701"/>
    <x v="701"/>
    <x v="2"/>
    <x v="2"/>
    <x v="3"/>
    <x v="5"/>
    <x v="703"/>
    <x v="8"/>
    <x v="6"/>
    <x v="703"/>
    <x v="703"/>
    <x v="703"/>
    <x v="700"/>
    <x v="702"/>
    <x v="703"/>
    <x v="0"/>
    <x v="0"/>
    <x v="0"/>
    <x v="0"/>
    <x v="9"/>
    <x v="0"/>
    <x v="0"/>
  </r>
  <r>
    <x v="704"/>
    <x v="620"/>
    <x v="441"/>
    <x v="628"/>
    <x v="289"/>
    <x v="675"/>
    <x v="8"/>
    <x v="8"/>
    <x v="3"/>
    <x v="3"/>
    <x v="2"/>
    <x v="2"/>
    <x v="17"/>
    <x v="17"/>
    <x v="18"/>
    <x v="18"/>
    <x v="1"/>
    <x v="1"/>
    <x v="10"/>
    <x v="10"/>
    <x v="702"/>
    <x v="702"/>
    <x v="4"/>
    <x v="4"/>
    <x v="2"/>
    <x v="5"/>
    <x v="704"/>
    <x v="4"/>
    <x v="4"/>
    <x v="704"/>
    <x v="704"/>
    <x v="704"/>
    <x v="701"/>
    <x v="703"/>
    <x v="704"/>
    <x v="0"/>
    <x v="0"/>
    <x v="0"/>
    <x v="0"/>
    <x v="11"/>
    <x v="0"/>
    <x v="0"/>
  </r>
  <r>
    <x v="705"/>
    <x v="621"/>
    <x v="442"/>
    <x v="629"/>
    <x v="428"/>
    <x v="676"/>
    <x v="12"/>
    <x v="12"/>
    <x v="0"/>
    <x v="0"/>
    <x v="4"/>
    <x v="0"/>
    <x v="0"/>
    <x v="0"/>
    <x v="0"/>
    <x v="0"/>
    <x v="0"/>
    <x v="0"/>
    <x v="9"/>
    <x v="9"/>
    <x v="703"/>
    <x v="703"/>
    <x v="3"/>
    <x v="3"/>
    <x v="0"/>
    <x v="8"/>
    <x v="705"/>
    <x v="5"/>
    <x v="5"/>
    <x v="705"/>
    <x v="705"/>
    <x v="705"/>
    <x v="702"/>
    <x v="704"/>
    <x v="705"/>
    <x v="0"/>
    <x v="0"/>
    <x v="0"/>
    <x v="0"/>
    <x v="7"/>
    <x v="0"/>
    <x v="0"/>
  </r>
  <r>
    <x v="706"/>
    <x v="622"/>
    <x v="98"/>
    <x v="186"/>
    <x v="166"/>
    <x v="677"/>
    <x v="2"/>
    <x v="2"/>
    <x v="1"/>
    <x v="1"/>
    <x v="1"/>
    <x v="1"/>
    <x v="1"/>
    <x v="1"/>
    <x v="1"/>
    <x v="1"/>
    <x v="0"/>
    <x v="0"/>
    <x v="0"/>
    <x v="0"/>
    <x v="704"/>
    <x v="704"/>
    <x v="1"/>
    <x v="1"/>
    <x v="5"/>
    <x v="5"/>
    <x v="706"/>
    <x v="8"/>
    <x v="6"/>
    <x v="706"/>
    <x v="706"/>
    <x v="706"/>
    <x v="703"/>
    <x v="705"/>
    <x v="706"/>
    <x v="0"/>
    <x v="0"/>
    <x v="0"/>
    <x v="0"/>
    <x v="2"/>
    <x v="0"/>
    <x v="0"/>
  </r>
  <r>
    <x v="707"/>
    <x v="623"/>
    <x v="154"/>
    <x v="440"/>
    <x v="339"/>
    <x v="678"/>
    <x v="5"/>
    <x v="5"/>
    <x v="0"/>
    <x v="0"/>
    <x v="4"/>
    <x v="0"/>
    <x v="0"/>
    <x v="0"/>
    <x v="0"/>
    <x v="0"/>
    <x v="2"/>
    <x v="2"/>
    <x v="13"/>
    <x v="5"/>
    <x v="705"/>
    <x v="705"/>
    <x v="1"/>
    <x v="1"/>
    <x v="7"/>
    <x v="8"/>
    <x v="707"/>
    <x v="2"/>
    <x v="2"/>
    <x v="707"/>
    <x v="707"/>
    <x v="707"/>
    <x v="704"/>
    <x v="706"/>
    <x v="707"/>
    <x v="0"/>
    <x v="0"/>
    <x v="0"/>
    <x v="0"/>
    <x v="2"/>
    <x v="1"/>
    <x v="0"/>
  </r>
  <r>
    <x v="708"/>
    <x v="624"/>
    <x v="443"/>
    <x v="630"/>
    <x v="155"/>
    <x v="679"/>
    <x v="11"/>
    <x v="11"/>
    <x v="0"/>
    <x v="0"/>
    <x v="1"/>
    <x v="1"/>
    <x v="10"/>
    <x v="10"/>
    <x v="11"/>
    <x v="11"/>
    <x v="1"/>
    <x v="1"/>
    <x v="10"/>
    <x v="10"/>
    <x v="706"/>
    <x v="706"/>
    <x v="2"/>
    <x v="2"/>
    <x v="0"/>
    <x v="2"/>
    <x v="708"/>
    <x v="5"/>
    <x v="5"/>
    <x v="708"/>
    <x v="708"/>
    <x v="708"/>
    <x v="705"/>
    <x v="707"/>
    <x v="708"/>
    <x v="0"/>
    <x v="0"/>
    <x v="0"/>
    <x v="0"/>
    <x v="11"/>
    <x v="1"/>
    <x v="0"/>
  </r>
  <r>
    <x v="709"/>
    <x v="22"/>
    <x v="22"/>
    <x v="20"/>
    <x v="20"/>
    <x v="680"/>
    <x v="15"/>
    <x v="14"/>
    <x v="3"/>
    <x v="3"/>
    <x v="4"/>
    <x v="0"/>
    <x v="7"/>
    <x v="7"/>
    <x v="8"/>
    <x v="8"/>
    <x v="2"/>
    <x v="2"/>
    <x v="11"/>
    <x v="11"/>
    <x v="707"/>
    <x v="707"/>
    <x v="1"/>
    <x v="1"/>
    <x v="5"/>
    <x v="4"/>
    <x v="709"/>
    <x v="4"/>
    <x v="4"/>
    <x v="709"/>
    <x v="709"/>
    <x v="709"/>
    <x v="706"/>
    <x v="708"/>
    <x v="709"/>
    <x v="0"/>
    <x v="0"/>
    <x v="1"/>
    <x v="1"/>
    <x v="10"/>
    <x v="1"/>
    <x v="0"/>
  </r>
  <r>
    <x v="710"/>
    <x v="625"/>
    <x v="444"/>
    <x v="631"/>
    <x v="45"/>
    <x v="681"/>
    <x v="5"/>
    <x v="5"/>
    <x v="2"/>
    <x v="2"/>
    <x v="4"/>
    <x v="0"/>
    <x v="7"/>
    <x v="7"/>
    <x v="8"/>
    <x v="8"/>
    <x v="0"/>
    <x v="0"/>
    <x v="2"/>
    <x v="2"/>
    <x v="708"/>
    <x v="708"/>
    <x v="0"/>
    <x v="0"/>
    <x v="2"/>
    <x v="8"/>
    <x v="710"/>
    <x v="5"/>
    <x v="5"/>
    <x v="710"/>
    <x v="710"/>
    <x v="710"/>
    <x v="707"/>
    <x v="709"/>
    <x v="710"/>
    <x v="0"/>
    <x v="0"/>
    <x v="0"/>
    <x v="0"/>
    <x v="0"/>
    <x v="0"/>
    <x v="0"/>
  </r>
  <r>
    <x v="711"/>
    <x v="626"/>
    <x v="429"/>
    <x v="632"/>
    <x v="430"/>
    <x v="682"/>
    <x v="15"/>
    <x v="14"/>
    <x v="2"/>
    <x v="2"/>
    <x v="1"/>
    <x v="1"/>
    <x v="6"/>
    <x v="6"/>
    <x v="6"/>
    <x v="6"/>
    <x v="2"/>
    <x v="2"/>
    <x v="12"/>
    <x v="12"/>
    <x v="709"/>
    <x v="709"/>
    <x v="2"/>
    <x v="2"/>
    <x v="6"/>
    <x v="5"/>
    <x v="711"/>
    <x v="5"/>
    <x v="5"/>
    <x v="711"/>
    <x v="711"/>
    <x v="711"/>
    <x v="708"/>
    <x v="710"/>
    <x v="711"/>
    <x v="2"/>
    <x v="2"/>
    <x v="2"/>
    <x v="2"/>
    <x v="6"/>
    <x v="1"/>
    <x v="0"/>
  </r>
  <r>
    <x v="712"/>
    <x v="394"/>
    <x v="310"/>
    <x v="633"/>
    <x v="251"/>
    <x v="683"/>
    <x v="2"/>
    <x v="2"/>
    <x v="3"/>
    <x v="3"/>
    <x v="3"/>
    <x v="3"/>
    <x v="4"/>
    <x v="4"/>
    <x v="4"/>
    <x v="4"/>
    <x v="1"/>
    <x v="1"/>
    <x v="4"/>
    <x v="4"/>
    <x v="710"/>
    <x v="710"/>
    <x v="2"/>
    <x v="2"/>
    <x v="9"/>
    <x v="4"/>
    <x v="712"/>
    <x v="1"/>
    <x v="1"/>
    <x v="712"/>
    <x v="712"/>
    <x v="712"/>
    <x v="709"/>
    <x v="711"/>
    <x v="712"/>
    <x v="0"/>
    <x v="0"/>
    <x v="0"/>
    <x v="0"/>
    <x v="6"/>
    <x v="0"/>
    <x v="0"/>
  </r>
  <r>
    <x v="713"/>
    <x v="627"/>
    <x v="290"/>
    <x v="608"/>
    <x v="197"/>
    <x v="161"/>
    <x v="1"/>
    <x v="1"/>
    <x v="0"/>
    <x v="0"/>
    <x v="3"/>
    <x v="3"/>
    <x v="0"/>
    <x v="0"/>
    <x v="7"/>
    <x v="7"/>
    <x v="2"/>
    <x v="2"/>
    <x v="12"/>
    <x v="12"/>
    <x v="711"/>
    <x v="711"/>
    <x v="0"/>
    <x v="0"/>
    <x v="5"/>
    <x v="5"/>
    <x v="713"/>
    <x v="3"/>
    <x v="3"/>
    <x v="713"/>
    <x v="713"/>
    <x v="713"/>
    <x v="710"/>
    <x v="712"/>
    <x v="713"/>
    <x v="0"/>
    <x v="0"/>
    <x v="0"/>
    <x v="0"/>
    <x v="2"/>
    <x v="1"/>
    <x v="0"/>
  </r>
  <r>
    <x v="714"/>
    <x v="628"/>
    <x v="445"/>
    <x v="634"/>
    <x v="431"/>
    <x v="684"/>
    <x v="0"/>
    <x v="0"/>
    <x v="3"/>
    <x v="3"/>
    <x v="4"/>
    <x v="0"/>
    <x v="18"/>
    <x v="18"/>
    <x v="19"/>
    <x v="19"/>
    <x v="2"/>
    <x v="2"/>
    <x v="6"/>
    <x v="6"/>
    <x v="712"/>
    <x v="712"/>
    <x v="3"/>
    <x v="3"/>
    <x v="3"/>
    <x v="6"/>
    <x v="714"/>
    <x v="1"/>
    <x v="1"/>
    <x v="714"/>
    <x v="714"/>
    <x v="714"/>
    <x v="711"/>
    <x v="713"/>
    <x v="714"/>
    <x v="0"/>
    <x v="0"/>
    <x v="0"/>
    <x v="0"/>
    <x v="11"/>
    <x v="1"/>
    <x v="0"/>
  </r>
  <r>
    <x v="715"/>
    <x v="68"/>
    <x v="67"/>
    <x v="70"/>
    <x v="65"/>
    <x v="685"/>
    <x v="8"/>
    <x v="8"/>
    <x v="0"/>
    <x v="0"/>
    <x v="4"/>
    <x v="0"/>
    <x v="16"/>
    <x v="16"/>
    <x v="17"/>
    <x v="17"/>
    <x v="1"/>
    <x v="1"/>
    <x v="4"/>
    <x v="4"/>
    <x v="713"/>
    <x v="713"/>
    <x v="0"/>
    <x v="0"/>
    <x v="1"/>
    <x v="4"/>
    <x v="715"/>
    <x v="1"/>
    <x v="1"/>
    <x v="715"/>
    <x v="715"/>
    <x v="715"/>
    <x v="712"/>
    <x v="714"/>
    <x v="715"/>
    <x v="1"/>
    <x v="1"/>
    <x v="1"/>
    <x v="1"/>
    <x v="1"/>
    <x v="1"/>
    <x v="0"/>
  </r>
  <r>
    <x v="716"/>
    <x v="629"/>
    <x v="424"/>
    <x v="23"/>
    <x v="23"/>
    <x v="686"/>
    <x v="13"/>
    <x v="13"/>
    <x v="1"/>
    <x v="1"/>
    <x v="4"/>
    <x v="0"/>
    <x v="16"/>
    <x v="16"/>
    <x v="17"/>
    <x v="17"/>
    <x v="2"/>
    <x v="2"/>
    <x v="11"/>
    <x v="11"/>
    <x v="714"/>
    <x v="714"/>
    <x v="2"/>
    <x v="2"/>
    <x v="1"/>
    <x v="5"/>
    <x v="716"/>
    <x v="4"/>
    <x v="4"/>
    <x v="716"/>
    <x v="716"/>
    <x v="716"/>
    <x v="713"/>
    <x v="715"/>
    <x v="716"/>
    <x v="0"/>
    <x v="0"/>
    <x v="0"/>
    <x v="0"/>
    <x v="1"/>
    <x v="1"/>
    <x v="0"/>
  </r>
  <r>
    <x v="717"/>
    <x v="630"/>
    <x v="13"/>
    <x v="42"/>
    <x v="41"/>
    <x v="687"/>
    <x v="15"/>
    <x v="14"/>
    <x v="1"/>
    <x v="1"/>
    <x v="4"/>
    <x v="0"/>
    <x v="16"/>
    <x v="16"/>
    <x v="17"/>
    <x v="17"/>
    <x v="2"/>
    <x v="2"/>
    <x v="12"/>
    <x v="12"/>
    <x v="715"/>
    <x v="715"/>
    <x v="3"/>
    <x v="3"/>
    <x v="4"/>
    <x v="6"/>
    <x v="717"/>
    <x v="0"/>
    <x v="0"/>
    <x v="717"/>
    <x v="717"/>
    <x v="717"/>
    <x v="714"/>
    <x v="716"/>
    <x v="717"/>
    <x v="2"/>
    <x v="2"/>
    <x v="1"/>
    <x v="1"/>
    <x v="9"/>
    <x v="1"/>
    <x v="0"/>
  </r>
  <r>
    <x v="718"/>
    <x v="631"/>
    <x v="88"/>
    <x v="635"/>
    <x v="87"/>
    <x v="688"/>
    <x v="1"/>
    <x v="1"/>
    <x v="0"/>
    <x v="0"/>
    <x v="3"/>
    <x v="3"/>
    <x v="3"/>
    <x v="3"/>
    <x v="3"/>
    <x v="3"/>
    <x v="0"/>
    <x v="0"/>
    <x v="2"/>
    <x v="2"/>
    <x v="716"/>
    <x v="716"/>
    <x v="1"/>
    <x v="1"/>
    <x v="4"/>
    <x v="1"/>
    <x v="718"/>
    <x v="0"/>
    <x v="0"/>
    <x v="718"/>
    <x v="718"/>
    <x v="718"/>
    <x v="715"/>
    <x v="717"/>
    <x v="718"/>
    <x v="0"/>
    <x v="0"/>
    <x v="0"/>
    <x v="0"/>
    <x v="7"/>
    <x v="0"/>
    <x v="0"/>
  </r>
  <r>
    <x v="719"/>
    <x v="316"/>
    <x v="260"/>
    <x v="321"/>
    <x v="267"/>
    <x v="20"/>
    <x v="15"/>
    <x v="14"/>
    <x v="2"/>
    <x v="2"/>
    <x v="3"/>
    <x v="3"/>
    <x v="12"/>
    <x v="12"/>
    <x v="13"/>
    <x v="13"/>
    <x v="0"/>
    <x v="0"/>
    <x v="2"/>
    <x v="2"/>
    <x v="717"/>
    <x v="717"/>
    <x v="1"/>
    <x v="1"/>
    <x v="3"/>
    <x v="7"/>
    <x v="719"/>
    <x v="0"/>
    <x v="0"/>
    <x v="719"/>
    <x v="719"/>
    <x v="719"/>
    <x v="716"/>
    <x v="718"/>
    <x v="719"/>
    <x v="0"/>
    <x v="0"/>
    <x v="0"/>
    <x v="0"/>
    <x v="7"/>
    <x v="1"/>
    <x v="0"/>
  </r>
  <r>
    <x v="720"/>
    <x v="472"/>
    <x v="359"/>
    <x v="636"/>
    <x v="178"/>
    <x v="689"/>
    <x v="7"/>
    <x v="7"/>
    <x v="3"/>
    <x v="3"/>
    <x v="3"/>
    <x v="3"/>
    <x v="4"/>
    <x v="4"/>
    <x v="4"/>
    <x v="4"/>
    <x v="2"/>
    <x v="2"/>
    <x v="6"/>
    <x v="6"/>
    <x v="718"/>
    <x v="718"/>
    <x v="1"/>
    <x v="1"/>
    <x v="6"/>
    <x v="2"/>
    <x v="720"/>
    <x v="4"/>
    <x v="4"/>
    <x v="720"/>
    <x v="720"/>
    <x v="720"/>
    <x v="717"/>
    <x v="719"/>
    <x v="720"/>
    <x v="0"/>
    <x v="0"/>
    <x v="0"/>
    <x v="0"/>
    <x v="0"/>
    <x v="0"/>
    <x v="0"/>
  </r>
  <r>
    <x v="721"/>
    <x v="268"/>
    <x v="231"/>
    <x v="637"/>
    <x v="432"/>
    <x v="690"/>
    <x v="11"/>
    <x v="11"/>
    <x v="0"/>
    <x v="0"/>
    <x v="2"/>
    <x v="2"/>
    <x v="11"/>
    <x v="11"/>
    <x v="12"/>
    <x v="12"/>
    <x v="2"/>
    <x v="2"/>
    <x v="6"/>
    <x v="6"/>
    <x v="719"/>
    <x v="719"/>
    <x v="2"/>
    <x v="2"/>
    <x v="5"/>
    <x v="8"/>
    <x v="721"/>
    <x v="1"/>
    <x v="1"/>
    <x v="721"/>
    <x v="721"/>
    <x v="721"/>
    <x v="718"/>
    <x v="720"/>
    <x v="721"/>
    <x v="0"/>
    <x v="0"/>
    <x v="0"/>
    <x v="0"/>
    <x v="2"/>
    <x v="1"/>
    <x v="0"/>
  </r>
  <r>
    <x v="722"/>
    <x v="480"/>
    <x v="364"/>
    <x v="638"/>
    <x v="401"/>
    <x v="691"/>
    <x v="5"/>
    <x v="5"/>
    <x v="0"/>
    <x v="0"/>
    <x v="1"/>
    <x v="1"/>
    <x v="6"/>
    <x v="6"/>
    <x v="6"/>
    <x v="6"/>
    <x v="1"/>
    <x v="1"/>
    <x v="4"/>
    <x v="4"/>
    <x v="720"/>
    <x v="720"/>
    <x v="0"/>
    <x v="0"/>
    <x v="4"/>
    <x v="6"/>
    <x v="722"/>
    <x v="9"/>
    <x v="1"/>
    <x v="722"/>
    <x v="722"/>
    <x v="722"/>
    <x v="719"/>
    <x v="721"/>
    <x v="722"/>
    <x v="1"/>
    <x v="1"/>
    <x v="1"/>
    <x v="1"/>
    <x v="9"/>
    <x v="0"/>
    <x v="1"/>
  </r>
  <r>
    <x v="723"/>
    <x v="632"/>
    <x v="446"/>
    <x v="639"/>
    <x v="372"/>
    <x v="692"/>
    <x v="15"/>
    <x v="14"/>
    <x v="3"/>
    <x v="3"/>
    <x v="1"/>
    <x v="1"/>
    <x v="15"/>
    <x v="15"/>
    <x v="16"/>
    <x v="16"/>
    <x v="2"/>
    <x v="2"/>
    <x v="5"/>
    <x v="5"/>
    <x v="721"/>
    <x v="721"/>
    <x v="3"/>
    <x v="3"/>
    <x v="2"/>
    <x v="3"/>
    <x v="723"/>
    <x v="5"/>
    <x v="5"/>
    <x v="723"/>
    <x v="723"/>
    <x v="723"/>
    <x v="720"/>
    <x v="722"/>
    <x v="723"/>
    <x v="3"/>
    <x v="3"/>
    <x v="2"/>
    <x v="2"/>
    <x v="9"/>
    <x v="1"/>
    <x v="0"/>
  </r>
  <r>
    <x v="724"/>
    <x v="633"/>
    <x v="310"/>
    <x v="640"/>
    <x v="433"/>
    <x v="693"/>
    <x v="0"/>
    <x v="0"/>
    <x v="0"/>
    <x v="0"/>
    <x v="3"/>
    <x v="3"/>
    <x v="14"/>
    <x v="14"/>
    <x v="15"/>
    <x v="15"/>
    <x v="1"/>
    <x v="1"/>
    <x v="3"/>
    <x v="3"/>
    <x v="722"/>
    <x v="722"/>
    <x v="0"/>
    <x v="0"/>
    <x v="0"/>
    <x v="1"/>
    <x v="724"/>
    <x v="1"/>
    <x v="1"/>
    <x v="724"/>
    <x v="724"/>
    <x v="724"/>
    <x v="721"/>
    <x v="723"/>
    <x v="724"/>
    <x v="0"/>
    <x v="0"/>
    <x v="0"/>
    <x v="0"/>
    <x v="6"/>
    <x v="0"/>
    <x v="0"/>
  </r>
  <r>
    <x v="725"/>
    <x v="634"/>
    <x v="367"/>
    <x v="641"/>
    <x v="408"/>
    <x v="694"/>
    <x v="8"/>
    <x v="8"/>
    <x v="2"/>
    <x v="2"/>
    <x v="2"/>
    <x v="2"/>
    <x v="11"/>
    <x v="11"/>
    <x v="12"/>
    <x v="12"/>
    <x v="1"/>
    <x v="1"/>
    <x v="1"/>
    <x v="1"/>
    <x v="723"/>
    <x v="723"/>
    <x v="0"/>
    <x v="0"/>
    <x v="2"/>
    <x v="4"/>
    <x v="725"/>
    <x v="1"/>
    <x v="1"/>
    <x v="725"/>
    <x v="725"/>
    <x v="725"/>
    <x v="722"/>
    <x v="724"/>
    <x v="725"/>
    <x v="0"/>
    <x v="0"/>
    <x v="0"/>
    <x v="0"/>
    <x v="9"/>
    <x v="1"/>
    <x v="0"/>
  </r>
  <r>
    <x v="726"/>
    <x v="635"/>
    <x v="447"/>
    <x v="642"/>
    <x v="226"/>
    <x v="695"/>
    <x v="15"/>
    <x v="14"/>
    <x v="3"/>
    <x v="3"/>
    <x v="3"/>
    <x v="3"/>
    <x v="12"/>
    <x v="12"/>
    <x v="13"/>
    <x v="13"/>
    <x v="2"/>
    <x v="2"/>
    <x v="11"/>
    <x v="11"/>
    <x v="724"/>
    <x v="724"/>
    <x v="3"/>
    <x v="3"/>
    <x v="0"/>
    <x v="8"/>
    <x v="726"/>
    <x v="0"/>
    <x v="0"/>
    <x v="726"/>
    <x v="726"/>
    <x v="726"/>
    <x v="723"/>
    <x v="725"/>
    <x v="726"/>
    <x v="2"/>
    <x v="2"/>
    <x v="2"/>
    <x v="2"/>
    <x v="10"/>
    <x v="0"/>
    <x v="0"/>
  </r>
  <r>
    <x v="727"/>
    <x v="636"/>
    <x v="448"/>
    <x v="643"/>
    <x v="434"/>
    <x v="696"/>
    <x v="10"/>
    <x v="10"/>
    <x v="1"/>
    <x v="1"/>
    <x v="1"/>
    <x v="1"/>
    <x v="10"/>
    <x v="10"/>
    <x v="11"/>
    <x v="11"/>
    <x v="2"/>
    <x v="2"/>
    <x v="5"/>
    <x v="5"/>
    <x v="725"/>
    <x v="725"/>
    <x v="0"/>
    <x v="0"/>
    <x v="6"/>
    <x v="0"/>
    <x v="727"/>
    <x v="5"/>
    <x v="5"/>
    <x v="727"/>
    <x v="727"/>
    <x v="727"/>
    <x v="724"/>
    <x v="726"/>
    <x v="727"/>
    <x v="0"/>
    <x v="0"/>
    <x v="0"/>
    <x v="0"/>
    <x v="9"/>
    <x v="0"/>
    <x v="0"/>
  </r>
  <r>
    <x v="728"/>
    <x v="570"/>
    <x v="330"/>
    <x v="644"/>
    <x v="435"/>
    <x v="697"/>
    <x v="11"/>
    <x v="11"/>
    <x v="1"/>
    <x v="1"/>
    <x v="2"/>
    <x v="2"/>
    <x v="11"/>
    <x v="11"/>
    <x v="12"/>
    <x v="12"/>
    <x v="2"/>
    <x v="2"/>
    <x v="12"/>
    <x v="12"/>
    <x v="726"/>
    <x v="726"/>
    <x v="2"/>
    <x v="2"/>
    <x v="4"/>
    <x v="5"/>
    <x v="728"/>
    <x v="4"/>
    <x v="4"/>
    <x v="728"/>
    <x v="728"/>
    <x v="728"/>
    <x v="725"/>
    <x v="727"/>
    <x v="728"/>
    <x v="0"/>
    <x v="0"/>
    <x v="0"/>
    <x v="0"/>
    <x v="10"/>
    <x v="0"/>
    <x v="0"/>
  </r>
  <r>
    <x v="729"/>
    <x v="637"/>
    <x v="449"/>
    <x v="645"/>
    <x v="436"/>
    <x v="698"/>
    <x v="4"/>
    <x v="4"/>
    <x v="2"/>
    <x v="2"/>
    <x v="2"/>
    <x v="2"/>
    <x v="17"/>
    <x v="17"/>
    <x v="18"/>
    <x v="18"/>
    <x v="2"/>
    <x v="2"/>
    <x v="12"/>
    <x v="12"/>
    <x v="727"/>
    <x v="727"/>
    <x v="1"/>
    <x v="1"/>
    <x v="9"/>
    <x v="3"/>
    <x v="729"/>
    <x v="4"/>
    <x v="4"/>
    <x v="729"/>
    <x v="729"/>
    <x v="729"/>
    <x v="726"/>
    <x v="728"/>
    <x v="729"/>
    <x v="0"/>
    <x v="0"/>
    <x v="0"/>
    <x v="0"/>
    <x v="4"/>
    <x v="1"/>
    <x v="0"/>
  </r>
  <r>
    <x v="730"/>
    <x v="638"/>
    <x v="231"/>
    <x v="646"/>
    <x v="218"/>
    <x v="699"/>
    <x v="3"/>
    <x v="3"/>
    <x v="0"/>
    <x v="0"/>
    <x v="1"/>
    <x v="1"/>
    <x v="6"/>
    <x v="6"/>
    <x v="6"/>
    <x v="6"/>
    <x v="0"/>
    <x v="0"/>
    <x v="2"/>
    <x v="2"/>
    <x v="728"/>
    <x v="728"/>
    <x v="0"/>
    <x v="0"/>
    <x v="1"/>
    <x v="2"/>
    <x v="730"/>
    <x v="4"/>
    <x v="4"/>
    <x v="730"/>
    <x v="730"/>
    <x v="730"/>
    <x v="727"/>
    <x v="729"/>
    <x v="730"/>
    <x v="1"/>
    <x v="1"/>
    <x v="2"/>
    <x v="2"/>
    <x v="2"/>
    <x v="1"/>
    <x v="0"/>
  </r>
  <r>
    <x v="731"/>
    <x v="639"/>
    <x v="177"/>
    <x v="647"/>
    <x v="157"/>
    <x v="700"/>
    <x v="4"/>
    <x v="4"/>
    <x v="2"/>
    <x v="2"/>
    <x v="1"/>
    <x v="1"/>
    <x v="1"/>
    <x v="1"/>
    <x v="1"/>
    <x v="1"/>
    <x v="0"/>
    <x v="0"/>
    <x v="9"/>
    <x v="9"/>
    <x v="729"/>
    <x v="729"/>
    <x v="2"/>
    <x v="2"/>
    <x v="7"/>
    <x v="2"/>
    <x v="731"/>
    <x v="8"/>
    <x v="6"/>
    <x v="731"/>
    <x v="731"/>
    <x v="731"/>
    <x v="728"/>
    <x v="730"/>
    <x v="731"/>
    <x v="0"/>
    <x v="0"/>
    <x v="0"/>
    <x v="0"/>
    <x v="11"/>
    <x v="0"/>
    <x v="0"/>
  </r>
  <r>
    <x v="732"/>
    <x v="640"/>
    <x v="3"/>
    <x v="648"/>
    <x v="255"/>
    <x v="701"/>
    <x v="3"/>
    <x v="3"/>
    <x v="1"/>
    <x v="1"/>
    <x v="4"/>
    <x v="0"/>
    <x v="7"/>
    <x v="7"/>
    <x v="8"/>
    <x v="8"/>
    <x v="2"/>
    <x v="2"/>
    <x v="11"/>
    <x v="11"/>
    <x v="730"/>
    <x v="730"/>
    <x v="3"/>
    <x v="3"/>
    <x v="9"/>
    <x v="3"/>
    <x v="732"/>
    <x v="1"/>
    <x v="1"/>
    <x v="732"/>
    <x v="732"/>
    <x v="732"/>
    <x v="729"/>
    <x v="731"/>
    <x v="732"/>
    <x v="0"/>
    <x v="0"/>
    <x v="0"/>
    <x v="0"/>
    <x v="3"/>
    <x v="0"/>
    <x v="0"/>
  </r>
  <r>
    <x v="733"/>
    <x v="641"/>
    <x v="212"/>
    <x v="649"/>
    <x v="166"/>
    <x v="702"/>
    <x v="10"/>
    <x v="10"/>
    <x v="3"/>
    <x v="3"/>
    <x v="4"/>
    <x v="0"/>
    <x v="0"/>
    <x v="0"/>
    <x v="0"/>
    <x v="0"/>
    <x v="1"/>
    <x v="1"/>
    <x v="3"/>
    <x v="3"/>
    <x v="731"/>
    <x v="731"/>
    <x v="2"/>
    <x v="2"/>
    <x v="2"/>
    <x v="6"/>
    <x v="733"/>
    <x v="1"/>
    <x v="1"/>
    <x v="733"/>
    <x v="733"/>
    <x v="733"/>
    <x v="730"/>
    <x v="732"/>
    <x v="733"/>
    <x v="0"/>
    <x v="0"/>
    <x v="0"/>
    <x v="0"/>
    <x v="2"/>
    <x v="0"/>
    <x v="0"/>
  </r>
  <r>
    <x v="734"/>
    <x v="642"/>
    <x v="450"/>
    <x v="650"/>
    <x v="206"/>
    <x v="703"/>
    <x v="4"/>
    <x v="4"/>
    <x v="1"/>
    <x v="1"/>
    <x v="4"/>
    <x v="0"/>
    <x v="0"/>
    <x v="0"/>
    <x v="0"/>
    <x v="0"/>
    <x v="2"/>
    <x v="2"/>
    <x v="5"/>
    <x v="5"/>
    <x v="732"/>
    <x v="732"/>
    <x v="2"/>
    <x v="2"/>
    <x v="6"/>
    <x v="2"/>
    <x v="734"/>
    <x v="0"/>
    <x v="0"/>
    <x v="734"/>
    <x v="734"/>
    <x v="734"/>
    <x v="731"/>
    <x v="733"/>
    <x v="734"/>
    <x v="0"/>
    <x v="0"/>
    <x v="0"/>
    <x v="0"/>
    <x v="1"/>
    <x v="0"/>
    <x v="0"/>
  </r>
  <r>
    <x v="735"/>
    <x v="643"/>
    <x v="349"/>
    <x v="558"/>
    <x v="378"/>
    <x v="704"/>
    <x v="1"/>
    <x v="1"/>
    <x v="0"/>
    <x v="0"/>
    <x v="3"/>
    <x v="3"/>
    <x v="3"/>
    <x v="3"/>
    <x v="3"/>
    <x v="3"/>
    <x v="1"/>
    <x v="1"/>
    <x v="1"/>
    <x v="1"/>
    <x v="733"/>
    <x v="733"/>
    <x v="3"/>
    <x v="3"/>
    <x v="9"/>
    <x v="3"/>
    <x v="735"/>
    <x v="0"/>
    <x v="0"/>
    <x v="735"/>
    <x v="735"/>
    <x v="735"/>
    <x v="732"/>
    <x v="734"/>
    <x v="735"/>
    <x v="0"/>
    <x v="0"/>
    <x v="0"/>
    <x v="0"/>
    <x v="1"/>
    <x v="0"/>
    <x v="0"/>
  </r>
  <r>
    <x v="736"/>
    <x v="529"/>
    <x v="392"/>
    <x v="651"/>
    <x v="437"/>
    <x v="705"/>
    <x v="7"/>
    <x v="7"/>
    <x v="0"/>
    <x v="0"/>
    <x v="3"/>
    <x v="3"/>
    <x v="3"/>
    <x v="3"/>
    <x v="3"/>
    <x v="3"/>
    <x v="1"/>
    <x v="1"/>
    <x v="4"/>
    <x v="4"/>
    <x v="734"/>
    <x v="734"/>
    <x v="0"/>
    <x v="0"/>
    <x v="4"/>
    <x v="6"/>
    <x v="736"/>
    <x v="8"/>
    <x v="6"/>
    <x v="736"/>
    <x v="736"/>
    <x v="736"/>
    <x v="733"/>
    <x v="735"/>
    <x v="736"/>
    <x v="0"/>
    <x v="0"/>
    <x v="0"/>
    <x v="0"/>
    <x v="8"/>
    <x v="0"/>
    <x v="0"/>
  </r>
  <r>
    <x v="737"/>
    <x v="419"/>
    <x v="310"/>
    <x v="652"/>
    <x v="379"/>
    <x v="706"/>
    <x v="2"/>
    <x v="2"/>
    <x v="11"/>
    <x v="3"/>
    <x v="3"/>
    <x v="3"/>
    <x v="3"/>
    <x v="3"/>
    <x v="3"/>
    <x v="3"/>
    <x v="1"/>
    <x v="1"/>
    <x v="4"/>
    <x v="4"/>
    <x v="735"/>
    <x v="735"/>
    <x v="1"/>
    <x v="1"/>
    <x v="6"/>
    <x v="3"/>
    <x v="737"/>
    <x v="1"/>
    <x v="1"/>
    <x v="737"/>
    <x v="737"/>
    <x v="737"/>
    <x v="734"/>
    <x v="736"/>
    <x v="737"/>
    <x v="0"/>
    <x v="0"/>
    <x v="0"/>
    <x v="0"/>
    <x v="6"/>
    <x v="0"/>
    <x v="0"/>
  </r>
  <r>
    <x v="738"/>
    <x v="284"/>
    <x v="141"/>
    <x v="653"/>
    <x v="265"/>
    <x v="707"/>
    <x v="8"/>
    <x v="8"/>
    <x v="2"/>
    <x v="2"/>
    <x v="2"/>
    <x v="2"/>
    <x v="13"/>
    <x v="13"/>
    <x v="14"/>
    <x v="14"/>
    <x v="0"/>
    <x v="0"/>
    <x v="0"/>
    <x v="0"/>
    <x v="736"/>
    <x v="736"/>
    <x v="2"/>
    <x v="2"/>
    <x v="7"/>
    <x v="5"/>
    <x v="738"/>
    <x v="1"/>
    <x v="1"/>
    <x v="738"/>
    <x v="738"/>
    <x v="738"/>
    <x v="735"/>
    <x v="737"/>
    <x v="738"/>
    <x v="0"/>
    <x v="0"/>
    <x v="0"/>
    <x v="0"/>
    <x v="6"/>
    <x v="1"/>
    <x v="0"/>
  </r>
  <r>
    <x v="739"/>
    <x v="644"/>
    <x v="451"/>
    <x v="654"/>
    <x v="419"/>
    <x v="708"/>
    <x v="6"/>
    <x v="6"/>
    <x v="2"/>
    <x v="2"/>
    <x v="4"/>
    <x v="0"/>
    <x v="0"/>
    <x v="0"/>
    <x v="0"/>
    <x v="0"/>
    <x v="2"/>
    <x v="2"/>
    <x v="11"/>
    <x v="11"/>
    <x v="737"/>
    <x v="737"/>
    <x v="3"/>
    <x v="3"/>
    <x v="2"/>
    <x v="8"/>
    <x v="739"/>
    <x v="5"/>
    <x v="5"/>
    <x v="739"/>
    <x v="739"/>
    <x v="739"/>
    <x v="736"/>
    <x v="738"/>
    <x v="739"/>
    <x v="0"/>
    <x v="0"/>
    <x v="0"/>
    <x v="0"/>
    <x v="8"/>
    <x v="0"/>
    <x v="0"/>
  </r>
  <r>
    <x v="740"/>
    <x v="645"/>
    <x v="155"/>
    <x v="617"/>
    <x v="425"/>
    <x v="136"/>
    <x v="11"/>
    <x v="11"/>
    <x v="1"/>
    <x v="1"/>
    <x v="3"/>
    <x v="3"/>
    <x v="3"/>
    <x v="3"/>
    <x v="3"/>
    <x v="3"/>
    <x v="1"/>
    <x v="1"/>
    <x v="4"/>
    <x v="4"/>
    <x v="738"/>
    <x v="738"/>
    <x v="2"/>
    <x v="2"/>
    <x v="6"/>
    <x v="2"/>
    <x v="740"/>
    <x v="8"/>
    <x v="6"/>
    <x v="740"/>
    <x v="740"/>
    <x v="740"/>
    <x v="737"/>
    <x v="739"/>
    <x v="740"/>
    <x v="0"/>
    <x v="0"/>
    <x v="0"/>
    <x v="0"/>
    <x v="5"/>
    <x v="0"/>
    <x v="0"/>
  </r>
  <r>
    <x v="741"/>
    <x v="646"/>
    <x v="452"/>
    <x v="655"/>
    <x v="438"/>
    <x v="709"/>
    <x v="2"/>
    <x v="2"/>
    <x v="3"/>
    <x v="3"/>
    <x v="2"/>
    <x v="2"/>
    <x v="17"/>
    <x v="17"/>
    <x v="18"/>
    <x v="18"/>
    <x v="1"/>
    <x v="1"/>
    <x v="4"/>
    <x v="4"/>
    <x v="739"/>
    <x v="739"/>
    <x v="0"/>
    <x v="0"/>
    <x v="7"/>
    <x v="1"/>
    <x v="741"/>
    <x v="9"/>
    <x v="1"/>
    <x v="741"/>
    <x v="741"/>
    <x v="741"/>
    <x v="738"/>
    <x v="740"/>
    <x v="741"/>
    <x v="0"/>
    <x v="0"/>
    <x v="1"/>
    <x v="1"/>
    <x v="5"/>
    <x v="1"/>
    <x v="1"/>
  </r>
  <r>
    <x v="742"/>
    <x v="647"/>
    <x v="389"/>
    <x v="656"/>
    <x v="439"/>
    <x v="710"/>
    <x v="0"/>
    <x v="0"/>
    <x v="2"/>
    <x v="2"/>
    <x v="1"/>
    <x v="1"/>
    <x v="1"/>
    <x v="1"/>
    <x v="1"/>
    <x v="1"/>
    <x v="0"/>
    <x v="0"/>
    <x v="0"/>
    <x v="0"/>
    <x v="740"/>
    <x v="740"/>
    <x v="3"/>
    <x v="3"/>
    <x v="2"/>
    <x v="2"/>
    <x v="742"/>
    <x v="1"/>
    <x v="1"/>
    <x v="742"/>
    <x v="742"/>
    <x v="742"/>
    <x v="739"/>
    <x v="741"/>
    <x v="742"/>
    <x v="0"/>
    <x v="0"/>
    <x v="0"/>
    <x v="0"/>
    <x v="9"/>
    <x v="0"/>
    <x v="0"/>
  </r>
  <r>
    <x v="743"/>
    <x v="351"/>
    <x v="280"/>
    <x v="358"/>
    <x v="290"/>
    <x v="711"/>
    <x v="11"/>
    <x v="11"/>
    <x v="0"/>
    <x v="0"/>
    <x v="4"/>
    <x v="0"/>
    <x v="8"/>
    <x v="8"/>
    <x v="9"/>
    <x v="9"/>
    <x v="0"/>
    <x v="0"/>
    <x v="2"/>
    <x v="2"/>
    <x v="741"/>
    <x v="741"/>
    <x v="3"/>
    <x v="3"/>
    <x v="7"/>
    <x v="3"/>
    <x v="743"/>
    <x v="3"/>
    <x v="3"/>
    <x v="743"/>
    <x v="743"/>
    <x v="743"/>
    <x v="740"/>
    <x v="742"/>
    <x v="743"/>
    <x v="0"/>
    <x v="0"/>
    <x v="0"/>
    <x v="0"/>
    <x v="6"/>
    <x v="1"/>
    <x v="0"/>
  </r>
  <r>
    <x v="744"/>
    <x v="648"/>
    <x v="219"/>
    <x v="272"/>
    <x v="234"/>
    <x v="712"/>
    <x v="1"/>
    <x v="1"/>
    <x v="3"/>
    <x v="3"/>
    <x v="4"/>
    <x v="0"/>
    <x v="7"/>
    <x v="7"/>
    <x v="8"/>
    <x v="8"/>
    <x v="0"/>
    <x v="0"/>
    <x v="9"/>
    <x v="9"/>
    <x v="742"/>
    <x v="742"/>
    <x v="2"/>
    <x v="2"/>
    <x v="4"/>
    <x v="8"/>
    <x v="744"/>
    <x v="8"/>
    <x v="6"/>
    <x v="744"/>
    <x v="744"/>
    <x v="744"/>
    <x v="741"/>
    <x v="743"/>
    <x v="744"/>
    <x v="0"/>
    <x v="0"/>
    <x v="1"/>
    <x v="1"/>
    <x v="1"/>
    <x v="1"/>
    <x v="0"/>
  </r>
  <r>
    <x v="745"/>
    <x v="649"/>
    <x v="453"/>
    <x v="657"/>
    <x v="35"/>
    <x v="713"/>
    <x v="1"/>
    <x v="1"/>
    <x v="1"/>
    <x v="1"/>
    <x v="1"/>
    <x v="1"/>
    <x v="10"/>
    <x v="10"/>
    <x v="11"/>
    <x v="11"/>
    <x v="2"/>
    <x v="2"/>
    <x v="6"/>
    <x v="6"/>
    <x v="743"/>
    <x v="743"/>
    <x v="3"/>
    <x v="3"/>
    <x v="5"/>
    <x v="1"/>
    <x v="745"/>
    <x v="0"/>
    <x v="0"/>
    <x v="745"/>
    <x v="745"/>
    <x v="745"/>
    <x v="742"/>
    <x v="744"/>
    <x v="745"/>
    <x v="0"/>
    <x v="0"/>
    <x v="0"/>
    <x v="0"/>
    <x v="9"/>
    <x v="0"/>
    <x v="0"/>
  </r>
  <r>
    <x v="746"/>
    <x v="650"/>
    <x v="454"/>
    <x v="658"/>
    <x v="440"/>
    <x v="624"/>
    <x v="10"/>
    <x v="10"/>
    <x v="3"/>
    <x v="3"/>
    <x v="1"/>
    <x v="1"/>
    <x v="6"/>
    <x v="6"/>
    <x v="6"/>
    <x v="6"/>
    <x v="0"/>
    <x v="0"/>
    <x v="0"/>
    <x v="0"/>
    <x v="744"/>
    <x v="744"/>
    <x v="3"/>
    <x v="3"/>
    <x v="0"/>
    <x v="2"/>
    <x v="746"/>
    <x v="0"/>
    <x v="0"/>
    <x v="746"/>
    <x v="746"/>
    <x v="746"/>
    <x v="743"/>
    <x v="745"/>
    <x v="746"/>
    <x v="0"/>
    <x v="0"/>
    <x v="0"/>
    <x v="0"/>
    <x v="10"/>
    <x v="1"/>
    <x v="0"/>
  </r>
  <r>
    <x v="747"/>
    <x v="651"/>
    <x v="239"/>
    <x v="659"/>
    <x v="441"/>
    <x v="714"/>
    <x v="2"/>
    <x v="2"/>
    <x v="3"/>
    <x v="3"/>
    <x v="1"/>
    <x v="1"/>
    <x v="1"/>
    <x v="1"/>
    <x v="1"/>
    <x v="1"/>
    <x v="0"/>
    <x v="0"/>
    <x v="0"/>
    <x v="0"/>
    <x v="745"/>
    <x v="745"/>
    <x v="1"/>
    <x v="1"/>
    <x v="0"/>
    <x v="0"/>
    <x v="747"/>
    <x v="4"/>
    <x v="4"/>
    <x v="747"/>
    <x v="747"/>
    <x v="747"/>
    <x v="744"/>
    <x v="746"/>
    <x v="747"/>
    <x v="0"/>
    <x v="0"/>
    <x v="0"/>
    <x v="0"/>
    <x v="4"/>
    <x v="0"/>
    <x v="0"/>
  </r>
  <r>
    <x v="748"/>
    <x v="652"/>
    <x v="455"/>
    <x v="660"/>
    <x v="369"/>
    <x v="715"/>
    <x v="13"/>
    <x v="13"/>
    <x v="3"/>
    <x v="3"/>
    <x v="4"/>
    <x v="0"/>
    <x v="16"/>
    <x v="16"/>
    <x v="17"/>
    <x v="17"/>
    <x v="2"/>
    <x v="2"/>
    <x v="11"/>
    <x v="11"/>
    <x v="746"/>
    <x v="746"/>
    <x v="0"/>
    <x v="0"/>
    <x v="6"/>
    <x v="5"/>
    <x v="748"/>
    <x v="3"/>
    <x v="3"/>
    <x v="748"/>
    <x v="748"/>
    <x v="748"/>
    <x v="745"/>
    <x v="747"/>
    <x v="748"/>
    <x v="0"/>
    <x v="0"/>
    <x v="0"/>
    <x v="0"/>
    <x v="4"/>
    <x v="0"/>
    <x v="0"/>
  </r>
  <r>
    <x v="749"/>
    <x v="653"/>
    <x v="456"/>
    <x v="661"/>
    <x v="442"/>
    <x v="716"/>
    <x v="7"/>
    <x v="7"/>
    <x v="3"/>
    <x v="3"/>
    <x v="1"/>
    <x v="1"/>
    <x v="10"/>
    <x v="10"/>
    <x v="11"/>
    <x v="11"/>
    <x v="2"/>
    <x v="2"/>
    <x v="12"/>
    <x v="12"/>
    <x v="747"/>
    <x v="747"/>
    <x v="3"/>
    <x v="3"/>
    <x v="5"/>
    <x v="5"/>
    <x v="749"/>
    <x v="4"/>
    <x v="4"/>
    <x v="749"/>
    <x v="749"/>
    <x v="749"/>
    <x v="746"/>
    <x v="748"/>
    <x v="749"/>
    <x v="0"/>
    <x v="0"/>
    <x v="0"/>
    <x v="0"/>
    <x v="11"/>
    <x v="0"/>
    <x v="0"/>
  </r>
  <r>
    <x v="750"/>
    <x v="654"/>
    <x v="457"/>
    <x v="54"/>
    <x v="51"/>
    <x v="717"/>
    <x v="10"/>
    <x v="10"/>
    <x v="3"/>
    <x v="3"/>
    <x v="2"/>
    <x v="2"/>
    <x v="2"/>
    <x v="2"/>
    <x v="2"/>
    <x v="2"/>
    <x v="2"/>
    <x v="2"/>
    <x v="5"/>
    <x v="5"/>
    <x v="748"/>
    <x v="748"/>
    <x v="2"/>
    <x v="2"/>
    <x v="6"/>
    <x v="0"/>
    <x v="750"/>
    <x v="4"/>
    <x v="4"/>
    <x v="750"/>
    <x v="750"/>
    <x v="750"/>
    <x v="747"/>
    <x v="749"/>
    <x v="750"/>
    <x v="0"/>
    <x v="0"/>
    <x v="0"/>
    <x v="0"/>
    <x v="2"/>
    <x v="1"/>
    <x v="0"/>
  </r>
  <r>
    <x v="751"/>
    <x v="655"/>
    <x v="362"/>
    <x v="662"/>
    <x v="247"/>
    <x v="718"/>
    <x v="8"/>
    <x v="8"/>
    <x v="3"/>
    <x v="3"/>
    <x v="5"/>
    <x v="4"/>
    <x v="8"/>
    <x v="8"/>
    <x v="9"/>
    <x v="9"/>
    <x v="2"/>
    <x v="2"/>
    <x v="12"/>
    <x v="12"/>
    <x v="749"/>
    <x v="749"/>
    <x v="4"/>
    <x v="4"/>
    <x v="3"/>
    <x v="1"/>
    <x v="751"/>
    <x v="5"/>
    <x v="5"/>
    <x v="751"/>
    <x v="751"/>
    <x v="751"/>
    <x v="748"/>
    <x v="750"/>
    <x v="751"/>
    <x v="0"/>
    <x v="0"/>
    <x v="0"/>
    <x v="0"/>
    <x v="0"/>
    <x v="1"/>
    <x v="0"/>
  </r>
  <r>
    <x v="752"/>
    <x v="413"/>
    <x v="83"/>
    <x v="604"/>
    <x v="82"/>
    <x v="719"/>
    <x v="7"/>
    <x v="7"/>
    <x v="2"/>
    <x v="2"/>
    <x v="8"/>
    <x v="3"/>
    <x v="12"/>
    <x v="12"/>
    <x v="13"/>
    <x v="13"/>
    <x v="0"/>
    <x v="0"/>
    <x v="8"/>
    <x v="8"/>
    <x v="750"/>
    <x v="750"/>
    <x v="2"/>
    <x v="2"/>
    <x v="4"/>
    <x v="8"/>
    <x v="752"/>
    <x v="5"/>
    <x v="5"/>
    <x v="752"/>
    <x v="752"/>
    <x v="752"/>
    <x v="749"/>
    <x v="751"/>
    <x v="752"/>
    <x v="0"/>
    <x v="0"/>
    <x v="0"/>
    <x v="0"/>
    <x v="11"/>
    <x v="0"/>
    <x v="0"/>
  </r>
  <r>
    <x v="753"/>
    <x v="457"/>
    <x v="349"/>
    <x v="530"/>
    <x v="373"/>
    <x v="720"/>
    <x v="7"/>
    <x v="7"/>
    <x v="2"/>
    <x v="2"/>
    <x v="4"/>
    <x v="0"/>
    <x v="18"/>
    <x v="18"/>
    <x v="19"/>
    <x v="19"/>
    <x v="3"/>
    <x v="1"/>
    <x v="3"/>
    <x v="3"/>
    <x v="751"/>
    <x v="751"/>
    <x v="0"/>
    <x v="0"/>
    <x v="11"/>
    <x v="1"/>
    <x v="753"/>
    <x v="4"/>
    <x v="4"/>
    <x v="753"/>
    <x v="753"/>
    <x v="753"/>
    <x v="750"/>
    <x v="752"/>
    <x v="753"/>
    <x v="3"/>
    <x v="3"/>
    <x v="2"/>
    <x v="2"/>
    <x v="1"/>
    <x v="0"/>
    <x v="2"/>
  </r>
  <r>
    <x v="754"/>
    <x v="656"/>
    <x v="191"/>
    <x v="663"/>
    <x v="221"/>
    <x v="721"/>
    <x v="6"/>
    <x v="6"/>
    <x v="2"/>
    <x v="2"/>
    <x v="2"/>
    <x v="2"/>
    <x v="13"/>
    <x v="13"/>
    <x v="14"/>
    <x v="14"/>
    <x v="0"/>
    <x v="0"/>
    <x v="8"/>
    <x v="8"/>
    <x v="752"/>
    <x v="752"/>
    <x v="3"/>
    <x v="3"/>
    <x v="6"/>
    <x v="2"/>
    <x v="754"/>
    <x v="3"/>
    <x v="3"/>
    <x v="754"/>
    <x v="754"/>
    <x v="754"/>
    <x v="751"/>
    <x v="753"/>
    <x v="754"/>
    <x v="0"/>
    <x v="0"/>
    <x v="0"/>
    <x v="0"/>
    <x v="2"/>
    <x v="1"/>
    <x v="0"/>
  </r>
  <r>
    <x v="755"/>
    <x v="189"/>
    <x v="169"/>
    <x v="616"/>
    <x v="168"/>
    <x v="722"/>
    <x v="8"/>
    <x v="8"/>
    <x v="3"/>
    <x v="3"/>
    <x v="3"/>
    <x v="3"/>
    <x v="4"/>
    <x v="4"/>
    <x v="4"/>
    <x v="4"/>
    <x v="0"/>
    <x v="0"/>
    <x v="8"/>
    <x v="8"/>
    <x v="753"/>
    <x v="753"/>
    <x v="0"/>
    <x v="0"/>
    <x v="5"/>
    <x v="8"/>
    <x v="755"/>
    <x v="0"/>
    <x v="0"/>
    <x v="755"/>
    <x v="755"/>
    <x v="755"/>
    <x v="752"/>
    <x v="754"/>
    <x v="755"/>
    <x v="0"/>
    <x v="0"/>
    <x v="0"/>
    <x v="0"/>
    <x v="0"/>
    <x v="1"/>
    <x v="0"/>
  </r>
  <r>
    <x v="756"/>
    <x v="657"/>
    <x v="458"/>
    <x v="664"/>
    <x v="443"/>
    <x v="723"/>
    <x v="12"/>
    <x v="12"/>
    <x v="0"/>
    <x v="0"/>
    <x v="4"/>
    <x v="0"/>
    <x v="0"/>
    <x v="0"/>
    <x v="0"/>
    <x v="0"/>
    <x v="2"/>
    <x v="2"/>
    <x v="5"/>
    <x v="5"/>
    <x v="754"/>
    <x v="754"/>
    <x v="1"/>
    <x v="1"/>
    <x v="1"/>
    <x v="4"/>
    <x v="756"/>
    <x v="0"/>
    <x v="0"/>
    <x v="756"/>
    <x v="756"/>
    <x v="756"/>
    <x v="753"/>
    <x v="755"/>
    <x v="756"/>
    <x v="0"/>
    <x v="0"/>
    <x v="2"/>
    <x v="2"/>
    <x v="9"/>
    <x v="0"/>
    <x v="0"/>
  </r>
  <r>
    <x v="757"/>
    <x v="658"/>
    <x v="203"/>
    <x v="665"/>
    <x v="173"/>
    <x v="724"/>
    <x v="7"/>
    <x v="7"/>
    <x v="1"/>
    <x v="1"/>
    <x v="2"/>
    <x v="2"/>
    <x v="13"/>
    <x v="13"/>
    <x v="14"/>
    <x v="14"/>
    <x v="1"/>
    <x v="1"/>
    <x v="10"/>
    <x v="10"/>
    <x v="755"/>
    <x v="755"/>
    <x v="3"/>
    <x v="3"/>
    <x v="7"/>
    <x v="1"/>
    <x v="757"/>
    <x v="3"/>
    <x v="3"/>
    <x v="757"/>
    <x v="757"/>
    <x v="757"/>
    <x v="754"/>
    <x v="756"/>
    <x v="757"/>
    <x v="3"/>
    <x v="3"/>
    <x v="1"/>
    <x v="1"/>
    <x v="1"/>
    <x v="1"/>
    <x v="0"/>
  </r>
  <r>
    <x v="758"/>
    <x v="659"/>
    <x v="146"/>
    <x v="666"/>
    <x v="444"/>
    <x v="725"/>
    <x v="10"/>
    <x v="10"/>
    <x v="1"/>
    <x v="1"/>
    <x v="2"/>
    <x v="2"/>
    <x v="11"/>
    <x v="11"/>
    <x v="12"/>
    <x v="12"/>
    <x v="1"/>
    <x v="1"/>
    <x v="4"/>
    <x v="4"/>
    <x v="756"/>
    <x v="756"/>
    <x v="3"/>
    <x v="3"/>
    <x v="9"/>
    <x v="5"/>
    <x v="758"/>
    <x v="1"/>
    <x v="1"/>
    <x v="758"/>
    <x v="758"/>
    <x v="758"/>
    <x v="755"/>
    <x v="757"/>
    <x v="758"/>
    <x v="0"/>
    <x v="0"/>
    <x v="0"/>
    <x v="0"/>
    <x v="4"/>
    <x v="0"/>
    <x v="0"/>
  </r>
  <r>
    <x v="759"/>
    <x v="122"/>
    <x v="43"/>
    <x v="667"/>
    <x v="295"/>
    <x v="726"/>
    <x v="3"/>
    <x v="3"/>
    <x v="3"/>
    <x v="3"/>
    <x v="9"/>
    <x v="2"/>
    <x v="11"/>
    <x v="11"/>
    <x v="12"/>
    <x v="12"/>
    <x v="1"/>
    <x v="1"/>
    <x v="1"/>
    <x v="1"/>
    <x v="757"/>
    <x v="757"/>
    <x v="0"/>
    <x v="0"/>
    <x v="2"/>
    <x v="8"/>
    <x v="759"/>
    <x v="3"/>
    <x v="3"/>
    <x v="759"/>
    <x v="759"/>
    <x v="759"/>
    <x v="756"/>
    <x v="758"/>
    <x v="759"/>
    <x v="0"/>
    <x v="0"/>
    <x v="0"/>
    <x v="0"/>
    <x v="0"/>
    <x v="0"/>
    <x v="0"/>
  </r>
  <r>
    <x v="760"/>
    <x v="660"/>
    <x v="459"/>
    <x v="668"/>
    <x v="315"/>
    <x v="727"/>
    <x v="7"/>
    <x v="7"/>
    <x v="3"/>
    <x v="3"/>
    <x v="1"/>
    <x v="1"/>
    <x v="10"/>
    <x v="10"/>
    <x v="11"/>
    <x v="11"/>
    <x v="0"/>
    <x v="0"/>
    <x v="2"/>
    <x v="2"/>
    <x v="758"/>
    <x v="758"/>
    <x v="0"/>
    <x v="0"/>
    <x v="1"/>
    <x v="2"/>
    <x v="760"/>
    <x v="1"/>
    <x v="1"/>
    <x v="760"/>
    <x v="760"/>
    <x v="760"/>
    <x v="757"/>
    <x v="759"/>
    <x v="760"/>
    <x v="2"/>
    <x v="2"/>
    <x v="2"/>
    <x v="2"/>
    <x v="1"/>
    <x v="0"/>
    <x v="0"/>
  </r>
  <r>
    <x v="761"/>
    <x v="661"/>
    <x v="460"/>
    <x v="669"/>
    <x v="23"/>
    <x v="728"/>
    <x v="2"/>
    <x v="2"/>
    <x v="0"/>
    <x v="0"/>
    <x v="2"/>
    <x v="2"/>
    <x v="11"/>
    <x v="11"/>
    <x v="12"/>
    <x v="12"/>
    <x v="2"/>
    <x v="2"/>
    <x v="12"/>
    <x v="12"/>
    <x v="759"/>
    <x v="759"/>
    <x v="2"/>
    <x v="2"/>
    <x v="5"/>
    <x v="1"/>
    <x v="761"/>
    <x v="1"/>
    <x v="1"/>
    <x v="761"/>
    <x v="761"/>
    <x v="761"/>
    <x v="758"/>
    <x v="760"/>
    <x v="761"/>
    <x v="0"/>
    <x v="0"/>
    <x v="0"/>
    <x v="0"/>
    <x v="1"/>
    <x v="1"/>
    <x v="0"/>
  </r>
  <r>
    <x v="762"/>
    <x v="662"/>
    <x v="461"/>
    <x v="670"/>
    <x v="445"/>
    <x v="729"/>
    <x v="13"/>
    <x v="13"/>
    <x v="2"/>
    <x v="2"/>
    <x v="3"/>
    <x v="3"/>
    <x v="4"/>
    <x v="4"/>
    <x v="4"/>
    <x v="4"/>
    <x v="2"/>
    <x v="2"/>
    <x v="12"/>
    <x v="12"/>
    <x v="760"/>
    <x v="760"/>
    <x v="0"/>
    <x v="0"/>
    <x v="5"/>
    <x v="7"/>
    <x v="762"/>
    <x v="0"/>
    <x v="0"/>
    <x v="762"/>
    <x v="762"/>
    <x v="762"/>
    <x v="759"/>
    <x v="761"/>
    <x v="762"/>
    <x v="1"/>
    <x v="1"/>
    <x v="2"/>
    <x v="2"/>
    <x v="10"/>
    <x v="0"/>
    <x v="0"/>
  </r>
  <r>
    <x v="763"/>
    <x v="663"/>
    <x v="102"/>
    <x v="671"/>
    <x v="446"/>
    <x v="730"/>
    <x v="13"/>
    <x v="13"/>
    <x v="0"/>
    <x v="0"/>
    <x v="4"/>
    <x v="0"/>
    <x v="0"/>
    <x v="0"/>
    <x v="0"/>
    <x v="0"/>
    <x v="1"/>
    <x v="1"/>
    <x v="3"/>
    <x v="3"/>
    <x v="761"/>
    <x v="761"/>
    <x v="1"/>
    <x v="1"/>
    <x v="7"/>
    <x v="3"/>
    <x v="763"/>
    <x v="1"/>
    <x v="1"/>
    <x v="763"/>
    <x v="763"/>
    <x v="763"/>
    <x v="760"/>
    <x v="762"/>
    <x v="763"/>
    <x v="0"/>
    <x v="0"/>
    <x v="0"/>
    <x v="0"/>
    <x v="1"/>
    <x v="1"/>
    <x v="0"/>
  </r>
  <r>
    <x v="764"/>
    <x v="340"/>
    <x v="273"/>
    <x v="554"/>
    <x v="130"/>
    <x v="255"/>
    <x v="8"/>
    <x v="8"/>
    <x v="2"/>
    <x v="2"/>
    <x v="2"/>
    <x v="2"/>
    <x v="13"/>
    <x v="13"/>
    <x v="14"/>
    <x v="14"/>
    <x v="1"/>
    <x v="1"/>
    <x v="10"/>
    <x v="10"/>
    <x v="762"/>
    <x v="762"/>
    <x v="2"/>
    <x v="2"/>
    <x v="6"/>
    <x v="3"/>
    <x v="764"/>
    <x v="5"/>
    <x v="5"/>
    <x v="764"/>
    <x v="764"/>
    <x v="764"/>
    <x v="761"/>
    <x v="763"/>
    <x v="764"/>
    <x v="0"/>
    <x v="0"/>
    <x v="0"/>
    <x v="0"/>
    <x v="5"/>
    <x v="1"/>
    <x v="0"/>
  </r>
  <r>
    <x v="765"/>
    <x v="664"/>
    <x v="173"/>
    <x v="672"/>
    <x v="52"/>
    <x v="731"/>
    <x v="5"/>
    <x v="5"/>
    <x v="2"/>
    <x v="2"/>
    <x v="1"/>
    <x v="1"/>
    <x v="15"/>
    <x v="15"/>
    <x v="16"/>
    <x v="16"/>
    <x v="0"/>
    <x v="0"/>
    <x v="7"/>
    <x v="7"/>
    <x v="763"/>
    <x v="763"/>
    <x v="2"/>
    <x v="2"/>
    <x v="5"/>
    <x v="1"/>
    <x v="765"/>
    <x v="1"/>
    <x v="1"/>
    <x v="765"/>
    <x v="765"/>
    <x v="765"/>
    <x v="762"/>
    <x v="764"/>
    <x v="765"/>
    <x v="0"/>
    <x v="0"/>
    <x v="0"/>
    <x v="0"/>
    <x v="2"/>
    <x v="1"/>
    <x v="0"/>
  </r>
  <r>
    <x v="766"/>
    <x v="665"/>
    <x v="372"/>
    <x v="371"/>
    <x v="301"/>
    <x v="732"/>
    <x v="1"/>
    <x v="1"/>
    <x v="2"/>
    <x v="2"/>
    <x v="3"/>
    <x v="3"/>
    <x v="12"/>
    <x v="12"/>
    <x v="13"/>
    <x v="13"/>
    <x v="0"/>
    <x v="0"/>
    <x v="2"/>
    <x v="2"/>
    <x v="764"/>
    <x v="764"/>
    <x v="0"/>
    <x v="0"/>
    <x v="2"/>
    <x v="6"/>
    <x v="766"/>
    <x v="0"/>
    <x v="0"/>
    <x v="766"/>
    <x v="766"/>
    <x v="766"/>
    <x v="763"/>
    <x v="765"/>
    <x v="766"/>
    <x v="0"/>
    <x v="0"/>
    <x v="1"/>
    <x v="1"/>
    <x v="7"/>
    <x v="0"/>
    <x v="0"/>
  </r>
  <r>
    <x v="767"/>
    <x v="666"/>
    <x v="462"/>
    <x v="673"/>
    <x v="447"/>
    <x v="733"/>
    <x v="4"/>
    <x v="4"/>
    <x v="3"/>
    <x v="3"/>
    <x v="4"/>
    <x v="0"/>
    <x v="8"/>
    <x v="8"/>
    <x v="9"/>
    <x v="9"/>
    <x v="0"/>
    <x v="0"/>
    <x v="9"/>
    <x v="9"/>
    <x v="765"/>
    <x v="765"/>
    <x v="3"/>
    <x v="3"/>
    <x v="4"/>
    <x v="5"/>
    <x v="767"/>
    <x v="3"/>
    <x v="3"/>
    <x v="767"/>
    <x v="767"/>
    <x v="767"/>
    <x v="764"/>
    <x v="766"/>
    <x v="767"/>
    <x v="0"/>
    <x v="0"/>
    <x v="0"/>
    <x v="0"/>
    <x v="4"/>
    <x v="0"/>
    <x v="0"/>
  </r>
  <r>
    <x v="768"/>
    <x v="667"/>
    <x v="463"/>
    <x v="674"/>
    <x v="448"/>
    <x v="734"/>
    <x v="11"/>
    <x v="11"/>
    <x v="3"/>
    <x v="3"/>
    <x v="1"/>
    <x v="1"/>
    <x v="15"/>
    <x v="15"/>
    <x v="16"/>
    <x v="16"/>
    <x v="0"/>
    <x v="0"/>
    <x v="0"/>
    <x v="0"/>
    <x v="766"/>
    <x v="766"/>
    <x v="1"/>
    <x v="1"/>
    <x v="7"/>
    <x v="8"/>
    <x v="768"/>
    <x v="8"/>
    <x v="6"/>
    <x v="768"/>
    <x v="768"/>
    <x v="768"/>
    <x v="765"/>
    <x v="767"/>
    <x v="768"/>
    <x v="0"/>
    <x v="0"/>
    <x v="0"/>
    <x v="0"/>
    <x v="5"/>
    <x v="1"/>
    <x v="0"/>
  </r>
  <r>
    <x v="769"/>
    <x v="668"/>
    <x v="464"/>
    <x v="373"/>
    <x v="302"/>
    <x v="735"/>
    <x v="8"/>
    <x v="8"/>
    <x v="3"/>
    <x v="3"/>
    <x v="3"/>
    <x v="3"/>
    <x v="14"/>
    <x v="14"/>
    <x v="15"/>
    <x v="15"/>
    <x v="1"/>
    <x v="1"/>
    <x v="10"/>
    <x v="10"/>
    <x v="767"/>
    <x v="767"/>
    <x v="1"/>
    <x v="1"/>
    <x v="7"/>
    <x v="1"/>
    <x v="769"/>
    <x v="3"/>
    <x v="3"/>
    <x v="769"/>
    <x v="769"/>
    <x v="769"/>
    <x v="766"/>
    <x v="768"/>
    <x v="769"/>
    <x v="0"/>
    <x v="0"/>
    <x v="0"/>
    <x v="0"/>
    <x v="4"/>
    <x v="0"/>
    <x v="0"/>
  </r>
  <r>
    <x v="770"/>
    <x v="669"/>
    <x v="109"/>
    <x v="675"/>
    <x v="107"/>
    <x v="736"/>
    <x v="6"/>
    <x v="6"/>
    <x v="0"/>
    <x v="0"/>
    <x v="4"/>
    <x v="0"/>
    <x v="8"/>
    <x v="8"/>
    <x v="9"/>
    <x v="9"/>
    <x v="2"/>
    <x v="2"/>
    <x v="6"/>
    <x v="6"/>
    <x v="768"/>
    <x v="768"/>
    <x v="2"/>
    <x v="2"/>
    <x v="7"/>
    <x v="2"/>
    <x v="770"/>
    <x v="9"/>
    <x v="1"/>
    <x v="770"/>
    <x v="770"/>
    <x v="770"/>
    <x v="767"/>
    <x v="769"/>
    <x v="770"/>
    <x v="0"/>
    <x v="0"/>
    <x v="0"/>
    <x v="0"/>
    <x v="6"/>
    <x v="0"/>
    <x v="1"/>
  </r>
  <r>
    <x v="771"/>
    <x v="670"/>
    <x v="444"/>
    <x v="676"/>
    <x v="42"/>
    <x v="118"/>
    <x v="4"/>
    <x v="4"/>
    <x v="0"/>
    <x v="0"/>
    <x v="4"/>
    <x v="0"/>
    <x v="16"/>
    <x v="16"/>
    <x v="17"/>
    <x v="17"/>
    <x v="2"/>
    <x v="2"/>
    <x v="12"/>
    <x v="12"/>
    <x v="769"/>
    <x v="769"/>
    <x v="0"/>
    <x v="0"/>
    <x v="7"/>
    <x v="2"/>
    <x v="771"/>
    <x v="9"/>
    <x v="1"/>
    <x v="771"/>
    <x v="771"/>
    <x v="771"/>
    <x v="768"/>
    <x v="770"/>
    <x v="771"/>
    <x v="0"/>
    <x v="0"/>
    <x v="0"/>
    <x v="0"/>
    <x v="0"/>
    <x v="0"/>
    <x v="1"/>
  </r>
  <r>
    <x v="772"/>
    <x v="18"/>
    <x v="18"/>
    <x v="292"/>
    <x v="247"/>
    <x v="737"/>
    <x v="13"/>
    <x v="13"/>
    <x v="0"/>
    <x v="0"/>
    <x v="2"/>
    <x v="2"/>
    <x v="17"/>
    <x v="17"/>
    <x v="18"/>
    <x v="18"/>
    <x v="1"/>
    <x v="1"/>
    <x v="4"/>
    <x v="4"/>
    <x v="770"/>
    <x v="770"/>
    <x v="1"/>
    <x v="1"/>
    <x v="5"/>
    <x v="5"/>
    <x v="772"/>
    <x v="5"/>
    <x v="5"/>
    <x v="772"/>
    <x v="772"/>
    <x v="772"/>
    <x v="769"/>
    <x v="771"/>
    <x v="772"/>
    <x v="2"/>
    <x v="2"/>
    <x v="1"/>
    <x v="1"/>
    <x v="0"/>
    <x v="1"/>
    <x v="0"/>
  </r>
  <r>
    <x v="773"/>
    <x v="671"/>
    <x v="266"/>
    <x v="677"/>
    <x v="407"/>
    <x v="738"/>
    <x v="0"/>
    <x v="0"/>
    <x v="3"/>
    <x v="3"/>
    <x v="3"/>
    <x v="3"/>
    <x v="12"/>
    <x v="12"/>
    <x v="13"/>
    <x v="13"/>
    <x v="2"/>
    <x v="2"/>
    <x v="11"/>
    <x v="11"/>
    <x v="771"/>
    <x v="771"/>
    <x v="4"/>
    <x v="4"/>
    <x v="6"/>
    <x v="2"/>
    <x v="773"/>
    <x v="0"/>
    <x v="0"/>
    <x v="773"/>
    <x v="773"/>
    <x v="773"/>
    <x v="770"/>
    <x v="772"/>
    <x v="773"/>
    <x v="0"/>
    <x v="0"/>
    <x v="0"/>
    <x v="0"/>
    <x v="6"/>
    <x v="1"/>
    <x v="0"/>
  </r>
  <r>
    <x v="774"/>
    <x v="672"/>
    <x v="383"/>
    <x v="333"/>
    <x v="275"/>
    <x v="739"/>
    <x v="15"/>
    <x v="14"/>
    <x v="0"/>
    <x v="0"/>
    <x v="3"/>
    <x v="3"/>
    <x v="0"/>
    <x v="0"/>
    <x v="7"/>
    <x v="7"/>
    <x v="2"/>
    <x v="2"/>
    <x v="12"/>
    <x v="12"/>
    <x v="772"/>
    <x v="772"/>
    <x v="4"/>
    <x v="4"/>
    <x v="6"/>
    <x v="6"/>
    <x v="774"/>
    <x v="0"/>
    <x v="0"/>
    <x v="774"/>
    <x v="774"/>
    <x v="774"/>
    <x v="771"/>
    <x v="773"/>
    <x v="774"/>
    <x v="0"/>
    <x v="0"/>
    <x v="0"/>
    <x v="0"/>
    <x v="1"/>
    <x v="1"/>
    <x v="0"/>
  </r>
  <r>
    <x v="775"/>
    <x v="673"/>
    <x v="465"/>
    <x v="678"/>
    <x v="449"/>
    <x v="740"/>
    <x v="3"/>
    <x v="3"/>
    <x v="0"/>
    <x v="0"/>
    <x v="4"/>
    <x v="0"/>
    <x v="16"/>
    <x v="16"/>
    <x v="17"/>
    <x v="17"/>
    <x v="2"/>
    <x v="2"/>
    <x v="5"/>
    <x v="5"/>
    <x v="773"/>
    <x v="773"/>
    <x v="3"/>
    <x v="3"/>
    <x v="9"/>
    <x v="0"/>
    <x v="775"/>
    <x v="3"/>
    <x v="3"/>
    <x v="775"/>
    <x v="775"/>
    <x v="775"/>
    <x v="772"/>
    <x v="774"/>
    <x v="775"/>
    <x v="0"/>
    <x v="0"/>
    <x v="0"/>
    <x v="0"/>
    <x v="5"/>
    <x v="0"/>
    <x v="0"/>
  </r>
  <r>
    <x v="776"/>
    <x v="674"/>
    <x v="466"/>
    <x v="436"/>
    <x v="338"/>
    <x v="741"/>
    <x v="7"/>
    <x v="7"/>
    <x v="1"/>
    <x v="1"/>
    <x v="4"/>
    <x v="0"/>
    <x v="0"/>
    <x v="0"/>
    <x v="0"/>
    <x v="0"/>
    <x v="2"/>
    <x v="2"/>
    <x v="6"/>
    <x v="6"/>
    <x v="774"/>
    <x v="774"/>
    <x v="0"/>
    <x v="0"/>
    <x v="1"/>
    <x v="4"/>
    <x v="776"/>
    <x v="1"/>
    <x v="1"/>
    <x v="776"/>
    <x v="776"/>
    <x v="776"/>
    <x v="773"/>
    <x v="775"/>
    <x v="776"/>
    <x v="0"/>
    <x v="0"/>
    <x v="0"/>
    <x v="0"/>
    <x v="2"/>
    <x v="1"/>
    <x v="0"/>
  </r>
  <r>
    <x v="777"/>
    <x v="675"/>
    <x v="467"/>
    <x v="423"/>
    <x v="333"/>
    <x v="742"/>
    <x v="15"/>
    <x v="14"/>
    <x v="1"/>
    <x v="1"/>
    <x v="3"/>
    <x v="3"/>
    <x v="4"/>
    <x v="4"/>
    <x v="4"/>
    <x v="4"/>
    <x v="2"/>
    <x v="2"/>
    <x v="5"/>
    <x v="5"/>
    <x v="775"/>
    <x v="775"/>
    <x v="0"/>
    <x v="0"/>
    <x v="7"/>
    <x v="2"/>
    <x v="777"/>
    <x v="4"/>
    <x v="4"/>
    <x v="777"/>
    <x v="777"/>
    <x v="777"/>
    <x v="774"/>
    <x v="776"/>
    <x v="777"/>
    <x v="3"/>
    <x v="3"/>
    <x v="1"/>
    <x v="1"/>
    <x v="6"/>
    <x v="0"/>
    <x v="0"/>
  </r>
  <r>
    <x v="778"/>
    <x v="676"/>
    <x v="253"/>
    <x v="679"/>
    <x v="114"/>
    <x v="743"/>
    <x v="0"/>
    <x v="0"/>
    <x v="1"/>
    <x v="1"/>
    <x v="4"/>
    <x v="0"/>
    <x v="16"/>
    <x v="16"/>
    <x v="17"/>
    <x v="17"/>
    <x v="2"/>
    <x v="2"/>
    <x v="6"/>
    <x v="6"/>
    <x v="776"/>
    <x v="776"/>
    <x v="0"/>
    <x v="0"/>
    <x v="6"/>
    <x v="2"/>
    <x v="778"/>
    <x v="1"/>
    <x v="1"/>
    <x v="778"/>
    <x v="778"/>
    <x v="778"/>
    <x v="775"/>
    <x v="777"/>
    <x v="778"/>
    <x v="0"/>
    <x v="0"/>
    <x v="0"/>
    <x v="0"/>
    <x v="0"/>
    <x v="0"/>
    <x v="0"/>
  </r>
  <r>
    <x v="779"/>
    <x v="410"/>
    <x v="321"/>
    <x v="680"/>
    <x v="450"/>
    <x v="744"/>
    <x v="8"/>
    <x v="8"/>
    <x v="1"/>
    <x v="1"/>
    <x v="2"/>
    <x v="2"/>
    <x v="5"/>
    <x v="5"/>
    <x v="5"/>
    <x v="5"/>
    <x v="1"/>
    <x v="1"/>
    <x v="4"/>
    <x v="4"/>
    <x v="777"/>
    <x v="777"/>
    <x v="3"/>
    <x v="3"/>
    <x v="1"/>
    <x v="2"/>
    <x v="779"/>
    <x v="5"/>
    <x v="5"/>
    <x v="779"/>
    <x v="779"/>
    <x v="779"/>
    <x v="776"/>
    <x v="778"/>
    <x v="779"/>
    <x v="0"/>
    <x v="0"/>
    <x v="0"/>
    <x v="0"/>
    <x v="10"/>
    <x v="0"/>
    <x v="0"/>
  </r>
  <r>
    <x v="780"/>
    <x v="677"/>
    <x v="390"/>
    <x v="498"/>
    <x v="373"/>
    <x v="745"/>
    <x v="13"/>
    <x v="13"/>
    <x v="1"/>
    <x v="1"/>
    <x v="3"/>
    <x v="3"/>
    <x v="0"/>
    <x v="0"/>
    <x v="7"/>
    <x v="7"/>
    <x v="1"/>
    <x v="1"/>
    <x v="4"/>
    <x v="4"/>
    <x v="778"/>
    <x v="778"/>
    <x v="1"/>
    <x v="1"/>
    <x v="0"/>
    <x v="2"/>
    <x v="780"/>
    <x v="0"/>
    <x v="0"/>
    <x v="780"/>
    <x v="780"/>
    <x v="780"/>
    <x v="777"/>
    <x v="779"/>
    <x v="780"/>
    <x v="0"/>
    <x v="0"/>
    <x v="0"/>
    <x v="0"/>
    <x v="1"/>
    <x v="0"/>
    <x v="0"/>
  </r>
  <r>
    <x v="781"/>
    <x v="678"/>
    <x v="468"/>
    <x v="652"/>
    <x v="379"/>
    <x v="746"/>
    <x v="0"/>
    <x v="0"/>
    <x v="3"/>
    <x v="3"/>
    <x v="3"/>
    <x v="3"/>
    <x v="0"/>
    <x v="0"/>
    <x v="7"/>
    <x v="7"/>
    <x v="0"/>
    <x v="0"/>
    <x v="7"/>
    <x v="7"/>
    <x v="779"/>
    <x v="779"/>
    <x v="2"/>
    <x v="2"/>
    <x v="9"/>
    <x v="1"/>
    <x v="781"/>
    <x v="3"/>
    <x v="3"/>
    <x v="781"/>
    <x v="781"/>
    <x v="781"/>
    <x v="778"/>
    <x v="780"/>
    <x v="781"/>
    <x v="2"/>
    <x v="2"/>
    <x v="2"/>
    <x v="2"/>
    <x v="6"/>
    <x v="0"/>
    <x v="0"/>
  </r>
  <r>
    <x v="782"/>
    <x v="679"/>
    <x v="469"/>
    <x v="681"/>
    <x v="314"/>
    <x v="747"/>
    <x v="1"/>
    <x v="1"/>
    <x v="2"/>
    <x v="2"/>
    <x v="1"/>
    <x v="1"/>
    <x v="6"/>
    <x v="6"/>
    <x v="6"/>
    <x v="6"/>
    <x v="2"/>
    <x v="2"/>
    <x v="6"/>
    <x v="6"/>
    <x v="780"/>
    <x v="780"/>
    <x v="3"/>
    <x v="3"/>
    <x v="9"/>
    <x v="7"/>
    <x v="782"/>
    <x v="4"/>
    <x v="4"/>
    <x v="782"/>
    <x v="782"/>
    <x v="782"/>
    <x v="779"/>
    <x v="781"/>
    <x v="782"/>
    <x v="0"/>
    <x v="0"/>
    <x v="0"/>
    <x v="0"/>
    <x v="11"/>
    <x v="1"/>
    <x v="0"/>
  </r>
  <r>
    <x v="783"/>
    <x v="680"/>
    <x v="125"/>
    <x v="682"/>
    <x v="89"/>
    <x v="748"/>
    <x v="10"/>
    <x v="10"/>
    <x v="1"/>
    <x v="1"/>
    <x v="1"/>
    <x v="1"/>
    <x v="9"/>
    <x v="9"/>
    <x v="10"/>
    <x v="10"/>
    <x v="0"/>
    <x v="0"/>
    <x v="2"/>
    <x v="2"/>
    <x v="781"/>
    <x v="781"/>
    <x v="0"/>
    <x v="0"/>
    <x v="6"/>
    <x v="5"/>
    <x v="783"/>
    <x v="5"/>
    <x v="5"/>
    <x v="783"/>
    <x v="783"/>
    <x v="783"/>
    <x v="780"/>
    <x v="782"/>
    <x v="783"/>
    <x v="0"/>
    <x v="0"/>
    <x v="0"/>
    <x v="0"/>
    <x v="2"/>
    <x v="0"/>
    <x v="0"/>
  </r>
  <r>
    <x v="784"/>
    <x v="681"/>
    <x v="470"/>
    <x v="476"/>
    <x v="27"/>
    <x v="749"/>
    <x v="8"/>
    <x v="8"/>
    <x v="2"/>
    <x v="2"/>
    <x v="4"/>
    <x v="0"/>
    <x v="7"/>
    <x v="7"/>
    <x v="8"/>
    <x v="8"/>
    <x v="2"/>
    <x v="2"/>
    <x v="6"/>
    <x v="6"/>
    <x v="782"/>
    <x v="782"/>
    <x v="2"/>
    <x v="2"/>
    <x v="3"/>
    <x v="2"/>
    <x v="784"/>
    <x v="5"/>
    <x v="5"/>
    <x v="784"/>
    <x v="784"/>
    <x v="784"/>
    <x v="781"/>
    <x v="783"/>
    <x v="784"/>
    <x v="0"/>
    <x v="0"/>
    <x v="0"/>
    <x v="0"/>
    <x v="9"/>
    <x v="1"/>
    <x v="0"/>
  </r>
  <r>
    <x v="785"/>
    <x v="682"/>
    <x v="471"/>
    <x v="496"/>
    <x v="34"/>
    <x v="750"/>
    <x v="13"/>
    <x v="13"/>
    <x v="1"/>
    <x v="1"/>
    <x v="4"/>
    <x v="0"/>
    <x v="16"/>
    <x v="16"/>
    <x v="17"/>
    <x v="17"/>
    <x v="0"/>
    <x v="0"/>
    <x v="8"/>
    <x v="8"/>
    <x v="783"/>
    <x v="783"/>
    <x v="1"/>
    <x v="1"/>
    <x v="0"/>
    <x v="7"/>
    <x v="785"/>
    <x v="3"/>
    <x v="3"/>
    <x v="785"/>
    <x v="785"/>
    <x v="785"/>
    <x v="782"/>
    <x v="784"/>
    <x v="785"/>
    <x v="3"/>
    <x v="3"/>
    <x v="1"/>
    <x v="1"/>
    <x v="4"/>
    <x v="0"/>
    <x v="0"/>
  </r>
  <r>
    <x v="786"/>
    <x v="225"/>
    <x v="197"/>
    <x v="683"/>
    <x v="391"/>
    <x v="751"/>
    <x v="4"/>
    <x v="4"/>
    <x v="2"/>
    <x v="2"/>
    <x v="4"/>
    <x v="0"/>
    <x v="0"/>
    <x v="0"/>
    <x v="0"/>
    <x v="0"/>
    <x v="1"/>
    <x v="1"/>
    <x v="3"/>
    <x v="3"/>
    <x v="784"/>
    <x v="784"/>
    <x v="4"/>
    <x v="4"/>
    <x v="7"/>
    <x v="2"/>
    <x v="786"/>
    <x v="5"/>
    <x v="5"/>
    <x v="786"/>
    <x v="786"/>
    <x v="786"/>
    <x v="783"/>
    <x v="785"/>
    <x v="786"/>
    <x v="1"/>
    <x v="1"/>
    <x v="2"/>
    <x v="2"/>
    <x v="0"/>
    <x v="1"/>
    <x v="0"/>
  </r>
  <r>
    <x v="787"/>
    <x v="235"/>
    <x v="207"/>
    <x v="684"/>
    <x v="451"/>
    <x v="752"/>
    <x v="4"/>
    <x v="4"/>
    <x v="3"/>
    <x v="3"/>
    <x v="1"/>
    <x v="1"/>
    <x v="9"/>
    <x v="9"/>
    <x v="10"/>
    <x v="10"/>
    <x v="0"/>
    <x v="0"/>
    <x v="0"/>
    <x v="0"/>
    <x v="785"/>
    <x v="785"/>
    <x v="0"/>
    <x v="0"/>
    <x v="0"/>
    <x v="7"/>
    <x v="787"/>
    <x v="5"/>
    <x v="5"/>
    <x v="787"/>
    <x v="787"/>
    <x v="787"/>
    <x v="784"/>
    <x v="786"/>
    <x v="787"/>
    <x v="4"/>
    <x v="0"/>
    <x v="0"/>
    <x v="0"/>
    <x v="7"/>
    <x v="0"/>
    <x v="0"/>
  </r>
  <r>
    <x v="788"/>
    <x v="483"/>
    <x v="366"/>
    <x v="685"/>
    <x v="452"/>
    <x v="753"/>
    <x v="2"/>
    <x v="2"/>
    <x v="2"/>
    <x v="2"/>
    <x v="4"/>
    <x v="0"/>
    <x v="8"/>
    <x v="8"/>
    <x v="9"/>
    <x v="9"/>
    <x v="1"/>
    <x v="1"/>
    <x v="4"/>
    <x v="4"/>
    <x v="786"/>
    <x v="786"/>
    <x v="3"/>
    <x v="3"/>
    <x v="3"/>
    <x v="0"/>
    <x v="788"/>
    <x v="8"/>
    <x v="6"/>
    <x v="788"/>
    <x v="788"/>
    <x v="788"/>
    <x v="785"/>
    <x v="787"/>
    <x v="788"/>
    <x v="3"/>
    <x v="3"/>
    <x v="2"/>
    <x v="2"/>
    <x v="1"/>
    <x v="0"/>
    <x v="0"/>
  </r>
  <r>
    <x v="789"/>
    <x v="683"/>
    <x v="225"/>
    <x v="431"/>
    <x v="84"/>
    <x v="754"/>
    <x v="8"/>
    <x v="8"/>
    <x v="3"/>
    <x v="3"/>
    <x v="5"/>
    <x v="4"/>
    <x v="0"/>
    <x v="0"/>
    <x v="7"/>
    <x v="7"/>
    <x v="2"/>
    <x v="2"/>
    <x v="6"/>
    <x v="6"/>
    <x v="787"/>
    <x v="787"/>
    <x v="1"/>
    <x v="1"/>
    <x v="3"/>
    <x v="2"/>
    <x v="789"/>
    <x v="1"/>
    <x v="1"/>
    <x v="789"/>
    <x v="789"/>
    <x v="789"/>
    <x v="786"/>
    <x v="788"/>
    <x v="789"/>
    <x v="0"/>
    <x v="0"/>
    <x v="0"/>
    <x v="0"/>
    <x v="11"/>
    <x v="1"/>
    <x v="0"/>
  </r>
  <r>
    <x v="790"/>
    <x v="684"/>
    <x v="122"/>
    <x v="686"/>
    <x v="453"/>
    <x v="755"/>
    <x v="9"/>
    <x v="9"/>
    <x v="2"/>
    <x v="2"/>
    <x v="2"/>
    <x v="2"/>
    <x v="5"/>
    <x v="5"/>
    <x v="5"/>
    <x v="5"/>
    <x v="0"/>
    <x v="0"/>
    <x v="2"/>
    <x v="2"/>
    <x v="788"/>
    <x v="788"/>
    <x v="3"/>
    <x v="3"/>
    <x v="7"/>
    <x v="0"/>
    <x v="790"/>
    <x v="0"/>
    <x v="0"/>
    <x v="790"/>
    <x v="790"/>
    <x v="790"/>
    <x v="787"/>
    <x v="789"/>
    <x v="790"/>
    <x v="0"/>
    <x v="0"/>
    <x v="0"/>
    <x v="0"/>
    <x v="4"/>
    <x v="0"/>
    <x v="0"/>
  </r>
  <r>
    <x v="791"/>
    <x v="564"/>
    <x v="413"/>
    <x v="687"/>
    <x v="426"/>
    <x v="756"/>
    <x v="9"/>
    <x v="9"/>
    <x v="3"/>
    <x v="3"/>
    <x v="2"/>
    <x v="2"/>
    <x v="11"/>
    <x v="11"/>
    <x v="12"/>
    <x v="12"/>
    <x v="1"/>
    <x v="1"/>
    <x v="10"/>
    <x v="10"/>
    <x v="789"/>
    <x v="789"/>
    <x v="1"/>
    <x v="1"/>
    <x v="5"/>
    <x v="0"/>
    <x v="791"/>
    <x v="3"/>
    <x v="3"/>
    <x v="791"/>
    <x v="791"/>
    <x v="791"/>
    <x v="788"/>
    <x v="790"/>
    <x v="791"/>
    <x v="0"/>
    <x v="0"/>
    <x v="0"/>
    <x v="0"/>
    <x v="9"/>
    <x v="0"/>
    <x v="0"/>
  </r>
  <r>
    <x v="792"/>
    <x v="216"/>
    <x v="191"/>
    <x v="688"/>
    <x v="454"/>
    <x v="757"/>
    <x v="3"/>
    <x v="3"/>
    <x v="1"/>
    <x v="1"/>
    <x v="1"/>
    <x v="1"/>
    <x v="10"/>
    <x v="10"/>
    <x v="11"/>
    <x v="11"/>
    <x v="1"/>
    <x v="1"/>
    <x v="3"/>
    <x v="3"/>
    <x v="790"/>
    <x v="790"/>
    <x v="0"/>
    <x v="0"/>
    <x v="5"/>
    <x v="5"/>
    <x v="792"/>
    <x v="0"/>
    <x v="0"/>
    <x v="792"/>
    <x v="792"/>
    <x v="792"/>
    <x v="789"/>
    <x v="791"/>
    <x v="792"/>
    <x v="0"/>
    <x v="0"/>
    <x v="2"/>
    <x v="2"/>
    <x v="2"/>
    <x v="1"/>
    <x v="0"/>
  </r>
  <r>
    <x v="793"/>
    <x v="214"/>
    <x v="190"/>
    <x v="689"/>
    <x v="156"/>
    <x v="758"/>
    <x v="5"/>
    <x v="5"/>
    <x v="2"/>
    <x v="2"/>
    <x v="4"/>
    <x v="0"/>
    <x v="0"/>
    <x v="0"/>
    <x v="0"/>
    <x v="0"/>
    <x v="2"/>
    <x v="2"/>
    <x v="6"/>
    <x v="6"/>
    <x v="791"/>
    <x v="791"/>
    <x v="0"/>
    <x v="0"/>
    <x v="0"/>
    <x v="8"/>
    <x v="793"/>
    <x v="1"/>
    <x v="1"/>
    <x v="793"/>
    <x v="793"/>
    <x v="793"/>
    <x v="790"/>
    <x v="792"/>
    <x v="793"/>
    <x v="0"/>
    <x v="0"/>
    <x v="0"/>
    <x v="0"/>
    <x v="4"/>
    <x v="0"/>
    <x v="0"/>
  </r>
  <r>
    <x v="794"/>
    <x v="685"/>
    <x v="257"/>
    <x v="690"/>
    <x v="218"/>
    <x v="759"/>
    <x v="11"/>
    <x v="11"/>
    <x v="2"/>
    <x v="2"/>
    <x v="1"/>
    <x v="1"/>
    <x v="10"/>
    <x v="10"/>
    <x v="11"/>
    <x v="11"/>
    <x v="0"/>
    <x v="0"/>
    <x v="0"/>
    <x v="0"/>
    <x v="792"/>
    <x v="792"/>
    <x v="3"/>
    <x v="3"/>
    <x v="7"/>
    <x v="6"/>
    <x v="794"/>
    <x v="4"/>
    <x v="4"/>
    <x v="794"/>
    <x v="794"/>
    <x v="794"/>
    <x v="791"/>
    <x v="793"/>
    <x v="794"/>
    <x v="0"/>
    <x v="0"/>
    <x v="0"/>
    <x v="0"/>
    <x v="2"/>
    <x v="1"/>
    <x v="0"/>
  </r>
  <r>
    <x v="795"/>
    <x v="686"/>
    <x v="80"/>
    <x v="559"/>
    <x v="404"/>
    <x v="760"/>
    <x v="13"/>
    <x v="13"/>
    <x v="3"/>
    <x v="3"/>
    <x v="1"/>
    <x v="1"/>
    <x v="1"/>
    <x v="1"/>
    <x v="1"/>
    <x v="1"/>
    <x v="2"/>
    <x v="2"/>
    <x v="6"/>
    <x v="6"/>
    <x v="793"/>
    <x v="793"/>
    <x v="1"/>
    <x v="1"/>
    <x v="6"/>
    <x v="6"/>
    <x v="795"/>
    <x v="1"/>
    <x v="1"/>
    <x v="795"/>
    <x v="795"/>
    <x v="795"/>
    <x v="792"/>
    <x v="794"/>
    <x v="795"/>
    <x v="1"/>
    <x v="1"/>
    <x v="1"/>
    <x v="1"/>
    <x v="0"/>
    <x v="0"/>
    <x v="0"/>
  </r>
  <r>
    <x v="796"/>
    <x v="134"/>
    <x v="123"/>
    <x v="691"/>
    <x v="175"/>
    <x v="761"/>
    <x v="12"/>
    <x v="12"/>
    <x v="1"/>
    <x v="1"/>
    <x v="2"/>
    <x v="2"/>
    <x v="5"/>
    <x v="5"/>
    <x v="5"/>
    <x v="5"/>
    <x v="2"/>
    <x v="2"/>
    <x v="12"/>
    <x v="12"/>
    <x v="794"/>
    <x v="794"/>
    <x v="2"/>
    <x v="2"/>
    <x v="2"/>
    <x v="3"/>
    <x v="796"/>
    <x v="4"/>
    <x v="4"/>
    <x v="796"/>
    <x v="796"/>
    <x v="796"/>
    <x v="793"/>
    <x v="795"/>
    <x v="796"/>
    <x v="0"/>
    <x v="0"/>
    <x v="0"/>
    <x v="0"/>
    <x v="11"/>
    <x v="0"/>
    <x v="0"/>
  </r>
  <r>
    <x v="797"/>
    <x v="687"/>
    <x v="472"/>
    <x v="678"/>
    <x v="449"/>
    <x v="762"/>
    <x v="10"/>
    <x v="10"/>
    <x v="0"/>
    <x v="0"/>
    <x v="1"/>
    <x v="1"/>
    <x v="1"/>
    <x v="1"/>
    <x v="1"/>
    <x v="1"/>
    <x v="0"/>
    <x v="0"/>
    <x v="9"/>
    <x v="9"/>
    <x v="795"/>
    <x v="795"/>
    <x v="2"/>
    <x v="2"/>
    <x v="5"/>
    <x v="0"/>
    <x v="797"/>
    <x v="1"/>
    <x v="1"/>
    <x v="797"/>
    <x v="797"/>
    <x v="797"/>
    <x v="794"/>
    <x v="796"/>
    <x v="797"/>
    <x v="3"/>
    <x v="3"/>
    <x v="1"/>
    <x v="1"/>
    <x v="5"/>
    <x v="0"/>
    <x v="0"/>
  </r>
  <r>
    <x v="798"/>
    <x v="688"/>
    <x v="473"/>
    <x v="692"/>
    <x v="368"/>
    <x v="763"/>
    <x v="7"/>
    <x v="7"/>
    <x v="2"/>
    <x v="2"/>
    <x v="4"/>
    <x v="0"/>
    <x v="18"/>
    <x v="18"/>
    <x v="19"/>
    <x v="19"/>
    <x v="1"/>
    <x v="1"/>
    <x v="3"/>
    <x v="3"/>
    <x v="796"/>
    <x v="796"/>
    <x v="3"/>
    <x v="3"/>
    <x v="12"/>
    <x v="6"/>
    <x v="798"/>
    <x v="1"/>
    <x v="1"/>
    <x v="798"/>
    <x v="798"/>
    <x v="798"/>
    <x v="795"/>
    <x v="797"/>
    <x v="798"/>
    <x v="0"/>
    <x v="0"/>
    <x v="0"/>
    <x v="0"/>
    <x v="0"/>
    <x v="1"/>
    <x v="2"/>
  </r>
  <r>
    <x v="799"/>
    <x v="689"/>
    <x v="37"/>
    <x v="474"/>
    <x v="359"/>
    <x v="764"/>
    <x v="2"/>
    <x v="2"/>
    <x v="3"/>
    <x v="3"/>
    <x v="4"/>
    <x v="0"/>
    <x v="16"/>
    <x v="16"/>
    <x v="17"/>
    <x v="17"/>
    <x v="2"/>
    <x v="2"/>
    <x v="5"/>
    <x v="5"/>
    <x v="797"/>
    <x v="797"/>
    <x v="4"/>
    <x v="4"/>
    <x v="2"/>
    <x v="8"/>
    <x v="799"/>
    <x v="5"/>
    <x v="5"/>
    <x v="799"/>
    <x v="799"/>
    <x v="799"/>
    <x v="796"/>
    <x v="798"/>
    <x v="799"/>
    <x v="0"/>
    <x v="0"/>
    <x v="2"/>
    <x v="2"/>
    <x v="9"/>
    <x v="0"/>
    <x v="0"/>
  </r>
  <r>
    <x v="800"/>
    <x v="690"/>
    <x v="178"/>
    <x v="693"/>
    <x v="335"/>
    <x v="765"/>
    <x v="5"/>
    <x v="5"/>
    <x v="1"/>
    <x v="1"/>
    <x v="3"/>
    <x v="3"/>
    <x v="3"/>
    <x v="3"/>
    <x v="3"/>
    <x v="3"/>
    <x v="0"/>
    <x v="0"/>
    <x v="8"/>
    <x v="8"/>
    <x v="798"/>
    <x v="798"/>
    <x v="0"/>
    <x v="0"/>
    <x v="0"/>
    <x v="3"/>
    <x v="800"/>
    <x v="4"/>
    <x v="4"/>
    <x v="800"/>
    <x v="800"/>
    <x v="800"/>
    <x v="797"/>
    <x v="799"/>
    <x v="800"/>
    <x v="0"/>
    <x v="0"/>
    <x v="0"/>
    <x v="0"/>
    <x v="11"/>
    <x v="0"/>
    <x v="0"/>
  </r>
  <r>
    <x v="801"/>
    <x v="691"/>
    <x v="136"/>
    <x v="42"/>
    <x v="41"/>
    <x v="766"/>
    <x v="10"/>
    <x v="10"/>
    <x v="3"/>
    <x v="3"/>
    <x v="1"/>
    <x v="1"/>
    <x v="1"/>
    <x v="1"/>
    <x v="1"/>
    <x v="1"/>
    <x v="2"/>
    <x v="2"/>
    <x v="5"/>
    <x v="5"/>
    <x v="799"/>
    <x v="799"/>
    <x v="0"/>
    <x v="0"/>
    <x v="2"/>
    <x v="1"/>
    <x v="801"/>
    <x v="0"/>
    <x v="0"/>
    <x v="801"/>
    <x v="801"/>
    <x v="801"/>
    <x v="798"/>
    <x v="800"/>
    <x v="801"/>
    <x v="2"/>
    <x v="2"/>
    <x v="1"/>
    <x v="1"/>
    <x v="9"/>
    <x v="1"/>
    <x v="0"/>
  </r>
  <r>
    <x v="802"/>
    <x v="692"/>
    <x v="403"/>
    <x v="694"/>
    <x v="390"/>
    <x v="767"/>
    <x v="12"/>
    <x v="12"/>
    <x v="1"/>
    <x v="1"/>
    <x v="1"/>
    <x v="1"/>
    <x v="10"/>
    <x v="10"/>
    <x v="11"/>
    <x v="11"/>
    <x v="1"/>
    <x v="1"/>
    <x v="3"/>
    <x v="3"/>
    <x v="800"/>
    <x v="800"/>
    <x v="0"/>
    <x v="0"/>
    <x v="6"/>
    <x v="3"/>
    <x v="802"/>
    <x v="1"/>
    <x v="1"/>
    <x v="802"/>
    <x v="802"/>
    <x v="802"/>
    <x v="799"/>
    <x v="801"/>
    <x v="802"/>
    <x v="3"/>
    <x v="3"/>
    <x v="2"/>
    <x v="2"/>
    <x v="6"/>
    <x v="1"/>
    <x v="0"/>
  </r>
  <r>
    <x v="803"/>
    <x v="693"/>
    <x v="161"/>
    <x v="695"/>
    <x v="455"/>
    <x v="768"/>
    <x v="12"/>
    <x v="12"/>
    <x v="0"/>
    <x v="0"/>
    <x v="5"/>
    <x v="4"/>
    <x v="15"/>
    <x v="15"/>
    <x v="16"/>
    <x v="16"/>
    <x v="0"/>
    <x v="0"/>
    <x v="7"/>
    <x v="7"/>
    <x v="801"/>
    <x v="801"/>
    <x v="2"/>
    <x v="2"/>
    <x v="5"/>
    <x v="5"/>
    <x v="803"/>
    <x v="1"/>
    <x v="1"/>
    <x v="803"/>
    <x v="803"/>
    <x v="803"/>
    <x v="800"/>
    <x v="802"/>
    <x v="803"/>
    <x v="0"/>
    <x v="0"/>
    <x v="0"/>
    <x v="0"/>
    <x v="8"/>
    <x v="0"/>
    <x v="0"/>
  </r>
  <r>
    <x v="804"/>
    <x v="694"/>
    <x v="411"/>
    <x v="696"/>
    <x v="92"/>
    <x v="769"/>
    <x v="9"/>
    <x v="9"/>
    <x v="3"/>
    <x v="3"/>
    <x v="2"/>
    <x v="2"/>
    <x v="2"/>
    <x v="2"/>
    <x v="2"/>
    <x v="2"/>
    <x v="1"/>
    <x v="1"/>
    <x v="3"/>
    <x v="3"/>
    <x v="802"/>
    <x v="802"/>
    <x v="3"/>
    <x v="3"/>
    <x v="9"/>
    <x v="5"/>
    <x v="804"/>
    <x v="5"/>
    <x v="5"/>
    <x v="804"/>
    <x v="804"/>
    <x v="804"/>
    <x v="801"/>
    <x v="803"/>
    <x v="804"/>
    <x v="0"/>
    <x v="0"/>
    <x v="0"/>
    <x v="0"/>
    <x v="7"/>
    <x v="1"/>
    <x v="0"/>
  </r>
  <r>
    <x v="805"/>
    <x v="233"/>
    <x v="205"/>
    <x v="190"/>
    <x v="170"/>
    <x v="726"/>
    <x v="8"/>
    <x v="8"/>
    <x v="3"/>
    <x v="3"/>
    <x v="1"/>
    <x v="1"/>
    <x v="10"/>
    <x v="10"/>
    <x v="11"/>
    <x v="11"/>
    <x v="0"/>
    <x v="0"/>
    <x v="9"/>
    <x v="9"/>
    <x v="803"/>
    <x v="803"/>
    <x v="0"/>
    <x v="0"/>
    <x v="3"/>
    <x v="7"/>
    <x v="805"/>
    <x v="3"/>
    <x v="3"/>
    <x v="805"/>
    <x v="805"/>
    <x v="805"/>
    <x v="802"/>
    <x v="804"/>
    <x v="805"/>
    <x v="0"/>
    <x v="0"/>
    <x v="0"/>
    <x v="0"/>
    <x v="5"/>
    <x v="1"/>
    <x v="0"/>
  </r>
  <r>
    <x v="806"/>
    <x v="695"/>
    <x v="299"/>
    <x v="697"/>
    <x v="456"/>
    <x v="770"/>
    <x v="2"/>
    <x v="2"/>
    <x v="3"/>
    <x v="3"/>
    <x v="4"/>
    <x v="0"/>
    <x v="0"/>
    <x v="0"/>
    <x v="0"/>
    <x v="0"/>
    <x v="2"/>
    <x v="2"/>
    <x v="6"/>
    <x v="6"/>
    <x v="804"/>
    <x v="804"/>
    <x v="3"/>
    <x v="3"/>
    <x v="0"/>
    <x v="5"/>
    <x v="806"/>
    <x v="0"/>
    <x v="0"/>
    <x v="806"/>
    <x v="806"/>
    <x v="806"/>
    <x v="803"/>
    <x v="805"/>
    <x v="806"/>
    <x v="3"/>
    <x v="3"/>
    <x v="1"/>
    <x v="1"/>
    <x v="3"/>
    <x v="0"/>
    <x v="0"/>
  </r>
  <r>
    <x v="807"/>
    <x v="226"/>
    <x v="198"/>
    <x v="421"/>
    <x v="96"/>
    <x v="771"/>
    <x v="0"/>
    <x v="0"/>
    <x v="1"/>
    <x v="1"/>
    <x v="2"/>
    <x v="2"/>
    <x v="2"/>
    <x v="2"/>
    <x v="2"/>
    <x v="2"/>
    <x v="0"/>
    <x v="0"/>
    <x v="7"/>
    <x v="7"/>
    <x v="805"/>
    <x v="805"/>
    <x v="3"/>
    <x v="3"/>
    <x v="3"/>
    <x v="7"/>
    <x v="807"/>
    <x v="8"/>
    <x v="6"/>
    <x v="807"/>
    <x v="807"/>
    <x v="807"/>
    <x v="804"/>
    <x v="806"/>
    <x v="807"/>
    <x v="0"/>
    <x v="0"/>
    <x v="0"/>
    <x v="0"/>
    <x v="6"/>
    <x v="1"/>
    <x v="0"/>
  </r>
  <r>
    <x v="808"/>
    <x v="696"/>
    <x v="474"/>
    <x v="375"/>
    <x v="304"/>
    <x v="772"/>
    <x v="10"/>
    <x v="10"/>
    <x v="1"/>
    <x v="1"/>
    <x v="2"/>
    <x v="2"/>
    <x v="17"/>
    <x v="17"/>
    <x v="18"/>
    <x v="18"/>
    <x v="1"/>
    <x v="1"/>
    <x v="3"/>
    <x v="3"/>
    <x v="806"/>
    <x v="806"/>
    <x v="2"/>
    <x v="2"/>
    <x v="8"/>
    <x v="4"/>
    <x v="808"/>
    <x v="0"/>
    <x v="0"/>
    <x v="808"/>
    <x v="808"/>
    <x v="808"/>
    <x v="805"/>
    <x v="807"/>
    <x v="808"/>
    <x v="0"/>
    <x v="0"/>
    <x v="0"/>
    <x v="0"/>
    <x v="1"/>
    <x v="1"/>
    <x v="2"/>
  </r>
  <r>
    <x v="809"/>
    <x v="274"/>
    <x v="206"/>
    <x v="698"/>
    <x v="384"/>
    <x v="773"/>
    <x v="3"/>
    <x v="3"/>
    <x v="1"/>
    <x v="1"/>
    <x v="5"/>
    <x v="4"/>
    <x v="7"/>
    <x v="7"/>
    <x v="8"/>
    <x v="8"/>
    <x v="0"/>
    <x v="0"/>
    <x v="9"/>
    <x v="9"/>
    <x v="807"/>
    <x v="807"/>
    <x v="0"/>
    <x v="0"/>
    <x v="6"/>
    <x v="3"/>
    <x v="809"/>
    <x v="8"/>
    <x v="6"/>
    <x v="809"/>
    <x v="809"/>
    <x v="809"/>
    <x v="806"/>
    <x v="808"/>
    <x v="809"/>
    <x v="0"/>
    <x v="0"/>
    <x v="0"/>
    <x v="0"/>
    <x v="2"/>
    <x v="1"/>
    <x v="0"/>
  </r>
  <r>
    <x v="810"/>
    <x v="697"/>
    <x v="285"/>
    <x v="699"/>
    <x v="319"/>
    <x v="510"/>
    <x v="15"/>
    <x v="14"/>
    <x v="11"/>
    <x v="3"/>
    <x v="3"/>
    <x v="3"/>
    <x v="12"/>
    <x v="12"/>
    <x v="13"/>
    <x v="13"/>
    <x v="2"/>
    <x v="2"/>
    <x v="6"/>
    <x v="6"/>
    <x v="808"/>
    <x v="808"/>
    <x v="2"/>
    <x v="2"/>
    <x v="1"/>
    <x v="5"/>
    <x v="810"/>
    <x v="3"/>
    <x v="3"/>
    <x v="810"/>
    <x v="810"/>
    <x v="810"/>
    <x v="807"/>
    <x v="809"/>
    <x v="810"/>
    <x v="0"/>
    <x v="0"/>
    <x v="0"/>
    <x v="0"/>
    <x v="5"/>
    <x v="0"/>
    <x v="0"/>
  </r>
  <r>
    <x v="811"/>
    <x v="698"/>
    <x v="475"/>
    <x v="700"/>
    <x v="457"/>
    <x v="774"/>
    <x v="12"/>
    <x v="12"/>
    <x v="3"/>
    <x v="3"/>
    <x v="4"/>
    <x v="0"/>
    <x v="16"/>
    <x v="16"/>
    <x v="17"/>
    <x v="17"/>
    <x v="2"/>
    <x v="2"/>
    <x v="5"/>
    <x v="5"/>
    <x v="809"/>
    <x v="809"/>
    <x v="2"/>
    <x v="2"/>
    <x v="2"/>
    <x v="7"/>
    <x v="811"/>
    <x v="0"/>
    <x v="0"/>
    <x v="811"/>
    <x v="811"/>
    <x v="811"/>
    <x v="808"/>
    <x v="810"/>
    <x v="811"/>
    <x v="0"/>
    <x v="0"/>
    <x v="0"/>
    <x v="0"/>
    <x v="8"/>
    <x v="0"/>
    <x v="0"/>
  </r>
  <r>
    <x v="812"/>
    <x v="699"/>
    <x v="270"/>
    <x v="701"/>
    <x v="277"/>
    <x v="775"/>
    <x v="11"/>
    <x v="11"/>
    <x v="1"/>
    <x v="1"/>
    <x v="1"/>
    <x v="1"/>
    <x v="15"/>
    <x v="15"/>
    <x v="16"/>
    <x v="16"/>
    <x v="1"/>
    <x v="1"/>
    <x v="1"/>
    <x v="1"/>
    <x v="810"/>
    <x v="810"/>
    <x v="2"/>
    <x v="2"/>
    <x v="1"/>
    <x v="0"/>
    <x v="812"/>
    <x v="1"/>
    <x v="1"/>
    <x v="812"/>
    <x v="812"/>
    <x v="812"/>
    <x v="809"/>
    <x v="811"/>
    <x v="812"/>
    <x v="0"/>
    <x v="0"/>
    <x v="0"/>
    <x v="0"/>
    <x v="2"/>
    <x v="0"/>
    <x v="0"/>
  </r>
  <r>
    <x v="813"/>
    <x v="700"/>
    <x v="205"/>
    <x v="702"/>
    <x v="210"/>
    <x v="776"/>
    <x v="12"/>
    <x v="12"/>
    <x v="0"/>
    <x v="0"/>
    <x v="1"/>
    <x v="1"/>
    <x v="1"/>
    <x v="1"/>
    <x v="1"/>
    <x v="1"/>
    <x v="1"/>
    <x v="1"/>
    <x v="10"/>
    <x v="10"/>
    <x v="338"/>
    <x v="338"/>
    <x v="3"/>
    <x v="3"/>
    <x v="5"/>
    <x v="7"/>
    <x v="813"/>
    <x v="1"/>
    <x v="1"/>
    <x v="813"/>
    <x v="813"/>
    <x v="813"/>
    <x v="810"/>
    <x v="812"/>
    <x v="813"/>
    <x v="0"/>
    <x v="0"/>
    <x v="0"/>
    <x v="0"/>
    <x v="5"/>
    <x v="1"/>
    <x v="0"/>
  </r>
  <r>
    <x v="814"/>
    <x v="245"/>
    <x v="215"/>
    <x v="96"/>
    <x v="90"/>
    <x v="777"/>
    <x v="3"/>
    <x v="3"/>
    <x v="0"/>
    <x v="0"/>
    <x v="3"/>
    <x v="3"/>
    <x v="4"/>
    <x v="4"/>
    <x v="4"/>
    <x v="4"/>
    <x v="0"/>
    <x v="0"/>
    <x v="7"/>
    <x v="7"/>
    <x v="811"/>
    <x v="811"/>
    <x v="2"/>
    <x v="2"/>
    <x v="1"/>
    <x v="7"/>
    <x v="814"/>
    <x v="3"/>
    <x v="3"/>
    <x v="814"/>
    <x v="814"/>
    <x v="814"/>
    <x v="811"/>
    <x v="813"/>
    <x v="814"/>
    <x v="0"/>
    <x v="0"/>
    <x v="0"/>
    <x v="0"/>
    <x v="1"/>
    <x v="1"/>
    <x v="0"/>
  </r>
  <r>
    <x v="815"/>
    <x v="458"/>
    <x v="350"/>
    <x v="703"/>
    <x v="319"/>
    <x v="778"/>
    <x v="13"/>
    <x v="13"/>
    <x v="0"/>
    <x v="0"/>
    <x v="1"/>
    <x v="1"/>
    <x v="1"/>
    <x v="1"/>
    <x v="1"/>
    <x v="1"/>
    <x v="2"/>
    <x v="2"/>
    <x v="12"/>
    <x v="12"/>
    <x v="812"/>
    <x v="812"/>
    <x v="3"/>
    <x v="3"/>
    <x v="2"/>
    <x v="4"/>
    <x v="815"/>
    <x v="4"/>
    <x v="4"/>
    <x v="815"/>
    <x v="815"/>
    <x v="815"/>
    <x v="812"/>
    <x v="814"/>
    <x v="815"/>
    <x v="2"/>
    <x v="2"/>
    <x v="1"/>
    <x v="1"/>
    <x v="5"/>
    <x v="0"/>
    <x v="0"/>
  </r>
  <r>
    <x v="816"/>
    <x v="701"/>
    <x v="476"/>
    <x v="704"/>
    <x v="458"/>
    <x v="779"/>
    <x v="9"/>
    <x v="9"/>
    <x v="1"/>
    <x v="1"/>
    <x v="1"/>
    <x v="1"/>
    <x v="15"/>
    <x v="15"/>
    <x v="16"/>
    <x v="16"/>
    <x v="1"/>
    <x v="1"/>
    <x v="3"/>
    <x v="3"/>
    <x v="813"/>
    <x v="813"/>
    <x v="2"/>
    <x v="2"/>
    <x v="4"/>
    <x v="5"/>
    <x v="816"/>
    <x v="8"/>
    <x v="6"/>
    <x v="816"/>
    <x v="816"/>
    <x v="108"/>
    <x v="813"/>
    <x v="815"/>
    <x v="816"/>
    <x v="0"/>
    <x v="0"/>
    <x v="0"/>
    <x v="0"/>
    <x v="3"/>
    <x v="0"/>
    <x v="0"/>
  </r>
  <r>
    <x v="817"/>
    <x v="702"/>
    <x v="477"/>
    <x v="705"/>
    <x v="459"/>
    <x v="780"/>
    <x v="11"/>
    <x v="11"/>
    <x v="0"/>
    <x v="0"/>
    <x v="1"/>
    <x v="1"/>
    <x v="9"/>
    <x v="9"/>
    <x v="10"/>
    <x v="10"/>
    <x v="0"/>
    <x v="0"/>
    <x v="9"/>
    <x v="9"/>
    <x v="814"/>
    <x v="814"/>
    <x v="3"/>
    <x v="3"/>
    <x v="6"/>
    <x v="3"/>
    <x v="817"/>
    <x v="3"/>
    <x v="3"/>
    <x v="817"/>
    <x v="817"/>
    <x v="816"/>
    <x v="814"/>
    <x v="816"/>
    <x v="817"/>
    <x v="0"/>
    <x v="0"/>
    <x v="0"/>
    <x v="0"/>
    <x v="5"/>
    <x v="1"/>
    <x v="0"/>
  </r>
  <r>
    <x v="818"/>
    <x v="703"/>
    <x v="408"/>
    <x v="706"/>
    <x v="348"/>
    <x v="781"/>
    <x v="8"/>
    <x v="8"/>
    <x v="1"/>
    <x v="1"/>
    <x v="3"/>
    <x v="3"/>
    <x v="3"/>
    <x v="3"/>
    <x v="3"/>
    <x v="3"/>
    <x v="0"/>
    <x v="0"/>
    <x v="7"/>
    <x v="7"/>
    <x v="815"/>
    <x v="815"/>
    <x v="2"/>
    <x v="2"/>
    <x v="0"/>
    <x v="0"/>
    <x v="818"/>
    <x v="16"/>
    <x v="1"/>
    <x v="818"/>
    <x v="818"/>
    <x v="817"/>
    <x v="815"/>
    <x v="817"/>
    <x v="818"/>
    <x v="0"/>
    <x v="0"/>
    <x v="0"/>
    <x v="0"/>
    <x v="7"/>
    <x v="0"/>
    <x v="1"/>
  </r>
  <r>
    <x v="819"/>
    <x v="290"/>
    <x v="243"/>
    <x v="707"/>
    <x v="19"/>
    <x v="782"/>
    <x v="0"/>
    <x v="0"/>
    <x v="3"/>
    <x v="3"/>
    <x v="2"/>
    <x v="2"/>
    <x v="13"/>
    <x v="13"/>
    <x v="14"/>
    <x v="14"/>
    <x v="2"/>
    <x v="2"/>
    <x v="12"/>
    <x v="12"/>
    <x v="816"/>
    <x v="816"/>
    <x v="3"/>
    <x v="3"/>
    <x v="6"/>
    <x v="0"/>
    <x v="819"/>
    <x v="1"/>
    <x v="1"/>
    <x v="819"/>
    <x v="819"/>
    <x v="818"/>
    <x v="816"/>
    <x v="818"/>
    <x v="819"/>
    <x v="3"/>
    <x v="3"/>
    <x v="1"/>
    <x v="1"/>
    <x v="0"/>
    <x v="0"/>
    <x v="0"/>
  </r>
  <r>
    <x v="820"/>
    <x v="704"/>
    <x v="478"/>
    <x v="708"/>
    <x v="214"/>
    <x v="783"/>
    <x v="4"/>
    <x v="4"/>
    <x v="3"/>
    <x v="3"/>
    <x v="4"/>
    <x v="0"/>
    <x v="8"/>
    <x v="8"/>
    <x v="9"/>
    <x v="9"/>
    <x v="1"/>
    <x v="1"/>
    <x v="10"/>
    <x v="10"/>
    <x v="817"/>
    <x v="817"/>
    <x v="3"/>
    <x v="3"/>
    <x v="5"/>
    <x v="7"/>
    <x v="820"/>
    <x v="0"/>
    <x v="0"/>
    <x v="820"/>
    <x v="820"/>
    <x v="819"/>
    <x v="817"/>
    <x v="819"/>
    <x v="820"/>
    <x v="0"/>
    <x v="0"/>
    <x v="0"/>
    <x v="0"/>
    <x v="6"/>
    <x v="1"/>
    <x v="0"/>
  </r>
  <r>
    <x v="821"/>
    <x v="705"/>
    <x v="479"/>
    <x v="709"/>
    <x v="460"/>
    <x v="784"/>
    <x v="10"/>
    <x v="10"/>
    <x v="2"/>
    <x v="2"/>
    <x v="2"/>
    <x v="2"/>
    <x v="11"/>
    <x v="11"/>
    <x v="12"/>
    <x v="12"/>
    <x v="2"/>
    <x v="2"/>
    <x v="5"/>
    <x v="5"/>
    <x v="818"/>
    <x v="818"/>
    <x v="2"/>
    <x v="2"/>
    <x v="4"/>
    <x v="4"/>
    <x v="821"/>
    <x v="0"/>
    <x v="0"/>
    <x v="821"/>
    <x v="821"/>
    <x v="820"/>
    <x v="818"/>
    <x v="820"/>
    <x v="821"/>
    <x v="0"/>
    <x v="0"/>
    <x v="0"/>
    <x v="0"/>
    <x v="0"/>
    <x v="0"/>
    <x v="0"/>
  </r>
  <r>
    <x v="822"/>
    <x v="706"/>
    <x v="379"/>
    <x v="710"/>
    <x v="461"/>
    <x v="785"/>
    <x v="1"/>
    <x v="1"/>
    <x v="2"/>
    <x v="2"/>
    <x v="1"/>
    <x v="1"/>
    <x v="10"/>
    <x v="10"/>
    <x v="11"/>
    <x v="11"/>
    <x v="1"/>
    <x v="1"/>
    <x v="3"/>
    <x v="3"/>
    <x v="819"/>
    <x v="819"/>
    <x v="0"/>
    <x v="0"/>
    <x v="10"/>
    <x v="2"/>
    <x v="822"/>
    <x v="0"/>
    <x v="0"/>
    <x v="822"/>
    <x v="822"/>
    <x v="821"/>
    <x v="819"/>
    <x v="821"/>
    <x v="822"/>
    <x v="2"/>
    <x v="2"/>
    <x v="2"/>
    <x v="2"/>
    <x v="9"/>
    <x v="0"/>
    <x v="2"/>
  </r>
  <r>
    <x v="823"/>
    <x v="707"/>
    <x v="480"/>
    <x v="574"/>
    <x v="398"/>
    <x v="786"/>
    <x v="1"/>
    <x v="1"/>
    <x v="3"/>
    <x v="3"/>
    <x v="3"/>
    <x v="3"/>
    <x v="14"/>
    <x v="14"/>
    <x v="15"/>
    <x v="15"/>
    <x v="0"/>
    <x v="0"/>
    <x v="0"/>
    <x v="0"/>
    <x v="820"/>
    <x v="820"/>
    <x v="1"/>
    <x v="1"/>
    <x v="0"/>
    <x v="1"/>
    <x v="823"/>
    <x v="4"/>
    <x v="4"/>
    <x v="823"/>
    <x v="823"/>
    <x v="822"/>
    <x v="820"/>
    <x v="822"/>
    <x v="823"/>
    <x v="0"/>
    <x v="0"/>
    <x v="0"/>
    <x v="0"/>
    <x v="10"/>
    <x v="1"/>
    <x v="0"/>
  </r>
  <r>
    <x v="824"/>
    <x v="708"/>
    <x v="269"/>
    <x v="391"/>
    <x v="314"/>
    <x v="787"/>
    <x v="8"/>
    <x v="8"/>
    <x v="0"/>
    <x v="0"/>
    <x v="3"/>
    <x v="3"/>
    <x v="14"/>
    <x v="14"/>
    <x v="15"/>
    <x v="15"/>
    <x v="0"/>
    <x v="0"/>
    <x v="0"/>
    <x v="0"/>
    <x v="821"/>
    <x v="821"/>
    <x v="2"/>
    <x v="2"/>
    <x v="3"/>
    <x v="0"/>
    <x v="824"/>
    <x v="5"/>
    <x v="5"/>
    <x v="824"/>
    <x v="824"/>
    <x v="823"/>
    <x v="821"/>
    <x v="823"/>
    <x v="824"/>
    <x v="0"/>
    <x v="0"/>
    <x v="0"/>
    <x v="0"/>
    <x v="11"/>
    <x v="1"/>
    <x v="0"/>
  </r>
  <r>
    <x v="825"/>
    <x v="709"/>
    <x v="68"/>
    <x v="711"/>
    <x v="365"/>
    <x v="788"/>
    <x v="5"/>
    <x v="5"/>
    <x v="1"/>
    <x v="1"/>
    <x v="4"/>
    <x v="0"/>
    <x v="8"/>
    <x v="8"/>
    <x v="9"/>
    <x v="9"/>
    <x v="2"/>
    <x v="2"/>
    <x v="12"/>
    <x v="12"/>
    <x v="822"/>
    <x v="822"/>
    <x v="2"/>
    <x v="2"/>
    <x v="3"/>
    <x v="5"/>
    <x v="825"/>
    <x v="1"/>
    <x v="1"/>
    <x v="825"/>
    <x v="825"/>
    <x v="824"/>
    <x v="822"/>
    <x v="824"/>
    <x v="825"/>
    <x v="0"/>
    <x v="0"/>
    <x v="0"/>
    <x v="0"/>
    <x v="5"/>
    <x v="1"/>
    <x v="0"/>
  </r>
  <r>
    <x v="826"/>
    <x v="710"/>
    <x v="281"/>
    <x v="712"/>
    <x v="179"/>
    <x v="789"/>
    <x v="7"/>
    <x v="7"/>
    <x v="0"/>
    <x v="0"/>
    <x v="3"/>
    <x v="3"/>
    <x v="0"/>
    <x v="0"/>
    <x v="7"/>
    <x v="7"/>
    <x v="2"/>
    <x v="2"/>
    <x v="5"/>
    <x v="5"/>
    <x v="823"/>
    <x v="823"/>
    <x v="3"/>
    <x v="3"/>
    <x v="5"/>
    <x v="8"/>
    <x v="826"/>
    <x v="3"/>
    <x v="3"/>
    <x v="826"/>
    <x v="826"/>
    <x v="825"/>
    <x v="823"/>
    <x v="825"/>
    <x v="826"/>
    <x v="0"/>
    <x v="0"/>
    <x v="0"/>
    <x v="0"/>
    <x v="1"/>
    <x v="1"/>
    <x v="0"/>
  </r>
  <r>
    <x v="827"/>
    <x v="711"/>
    <x v="434"/>
    <x v="713"/>
    <x v="358"/>
    <x v="790"/>
    <x v="8"/>
    <x v="8"/>
    <x v="3"/>
    <x v="3"/>
    <x v="2"/>
    <x v="2"/>
    <x v="17"/>
    <x v="17"/>
    <x v="18"/>
    <x v="18"/>
    <x v="0"/>
    <x v="0"/>
    <x v="0"/>
    <x v="0"/>
    <x v="824"/>
    <x v="824"/>
    <x v="1"/>
    <x v="1"/>
    <x v="2"/>
    <x v="5"/>
    <x v="827"/>
    <x v="3"/>
    <x v="3"/>
    <x v="827"/>
    <x v="827"/>
    <x v="826"/>
    <x v="824"/>
    <x v="826"/>
    <x v="827"/>
    <x v="0"/>
    <x v="0"/>
    <x v="1"/>
    <x v="1"/>
    <x v="3"/>
    <x v="0"/>
    <x v="0"/>
  </r>
  <r>
    <x v="828"/>
    <x v="712"/>
    <x v="39"/>
    <x v="714"/>
    <x v="462"/>
    <x v="791"/>
    <x v="22"/>
    <x v="0"/>
    <x v="2"/>
    <x v="2"/>
    <x v="1"/>
    <x v="1"/>
    <x v="1"/>
    <x v="1"/>
    <x v="1"/>
    <x v="1"/>
    <x v="1"/>
    <x v="1"/>
    <x v="4"/>
    <x v="4"/>
    <x v="825"/>
    <x v="825"/>
    <x v="0"/>
    <x v="0"/>
    <x v="3"/>
    <x v="4"/>
    <x v="828"/>
    <x v="5"/>
    <x v="5"/>
    <x v="828"/>
    <x v="828"/>
    <x v="827"/>
    <x v="825"/>
    <x v="827"/>
    <x v="828"/>
    <x v="3"/>
    <x v="3"/>
    <x v="1"/>
    <x v="1"/>
    <x v="9"/>
    <x v="1"/>
    <x v="0"/>
  </r>
  <r>
    <x v="829"/>
    <x v="713"/>
    <x v="371"/>
    <x v="715"/>
    <x v="98"/>
    <x v="792"/>
    <x v="7"/>
    <x v="7"/>
    <x v="1"/>
    <x v="1"/>
    <x v="3"/>
    <x v="3"/>
    <x v="14"/>
    <x v="14"/>
    <x v="15"/>
    <x v="15"/>
    <x v="1"/>
    <x v="1"/>
    <x v="3"/>
    <x v="3"/>
    <x v="826"/>
    <x v="826"/>
    <x v="0"/>
    <x v="0"/>
    <x v="7"/>
    <x v="4"/>
    <x v="829"/>
    <x v="8"/>
    <x v="6"/>
    <x v="829"/>
    <x v="829"/>
    <x v="828"/>
    <x v="826"/>
    <x v="828"/>
    <x v="829"/>
    <x v="0"/>
    <x v="0"/>
    <x v="0"/>
    <x v="0"/>
    <x v="6"/>
    <x v="0"/>
    <x v="0"/>
  </r>
  <r>
    <x v="830"/>
    <x v="714"/>
    <x v="18"/>
    <x v="123"/>
    <x v="115"/>
    <x v="793"/>
    <x v="7"/>
    <x v="7"/>
    <x v="1"/>
    <x v="1"/>
    <x v="5"/>
    <x v="4"/>
    <x v="17"/>
    <x v="17"/>
    <x v="18"/>
    <x v="18"/>
    <x v="2"/>
    <x v="2"/>
    <x v="12"/>
    <x v="12"/>
    <x v="827"/>
    <x v="827"/>
    <x v="2"/>
    <x v="2"/>
    <x v="4"/>
    <x v="3"/>
    <x v="830"/>
    <x v="8"/>
    <x v="6"/>
    <x v="830"/>
    <x v="830"/>
    <x v="829"/>
    <x v="827"/>
    <x v="829"/>
    <x v="830"/>
    <x v="0"/>
    <x v="0"/>
    <x v="0"/>
    <x v="0"/>
    <x v="0"/>
    <x v="1"/>
    <x v="0"/>
  </r>
  <r>
    <x v="831"/>
    <x v="715"/>
    <x v="438"/>
    <x v="716"/>
    <x v="68"/>
    <x v="794"/>
    <x v="13"/>
    <x v="13"/>
    <x v="3"/>
    <x v="3"/>
    <x v="5"/>
    <x v="4"/>
    <x v="16"/>
    <x v="16"/>
    <x v="17"/>
    <x v="17"/>
    <x v="1"/>
    <x v="1"/>
    <x v="4"/>
    <x v="4"/>
    <x v="828"/>
    <x v="828"/>
    <x v="2"/>
    <x v="2"/>
    <x v="6"/>
    <x v="6"/>
    <x v="831"/>
    <x v="4"/>
    <x v="4"/>
    <x v="831"/>
    <x v="831"/>
    <x v="830"/>
    <x v="828"/>
    <x v="830"/>
    <x v="831"/>
    <x v="3"/>
    <x v="3"/>
    <x v="2"/>
    <x v="2"/>
    <x v="5"/>
    <x v="1"/>
    <x v="0"/>
  </r>
  <r>
    <x v="832"/>
    <x v="716"/>
    <x v="214"/>
    <x v="717"/>
    <x v="163"/>
    <x v="795"/>
    <x v="15"/>
    <x v="14"/>
    <x v="1"/>
    <x v="1"/>
    <x v="2"/>
    <x v="2"/>
    <x v="5"/>
    <x v="5"/>
    <x v="5"/>
    <x v="5"/>
    <x v="2"/>
    <x v="2"/>
    <x v="11"/>
    <x v="11"/>
    <x v="829"/>
    <x v="829"/>
    <x v="0"/>
    <x v="0"/>
    <x v="7"/>
    <x v="6"/>
    <x v="832"/>
    <x v="5"/>
    <x v="5"/>
    <x v="832"/>
    <x v="832"/>
    <x v="831"/>
    <x v="829"/>
    <x v="831"/>
    <x v="832"/>
    <x v="0"/>
    <x v="0"/>
    <x v="0"/>
    <x v="0"/>
    <x v="4"/>
    <x v="1"/>
    <x v="0"/>
  </r>
  <r>
    <x v="833"/>
    <x v="717"/>
    <x v="481"/>
    <x v="718"/>
    <x v="463"/>
    <x v="796"/>
    <x v="9"/>
    <x v="9"/>
    <x v="3"/>
    <x v="3"/>
    <x v="1"/>
    <x v="1"/>
    <x v="6"/>
    <x v="6"/>
    <x v="6"/>
    <x v="6"/>
    <x v="1"/>
    <x v="1"/>
    <x v="10"/>
    <x v="10"/>
    <x v="830"/>
    <x v="830"/>
    <x v="2"/>
    <x v="2"/>
    <x v="6"/>
    <x v="3"/>
    <x v="833"/>
    <x v="1"/>
    <x v="1"/>
    <x v="833"/>
    <x v="833"/>
    <x v="832"/>
    <x v="830"/>
    <x v="832"/>
    <x v="833"/>
    <x v="0"/>
    <x v="0"/>
    <x v="0"/>
    <x v="0"/>
    <x v="2"/>
    <x v="0"/>
    <x v="0"/>
  </r>
  <r>
    <x v="834"/>
    <x v="718"/>
    <x v="103"/>
    <x v="719"/>
    <x v="439"/>
    <x v="797"/>
    <x v="10"/>
    <x v="10"/>
    <x v="3"/>
    <x v="3"/>
    <x v="2"/>
    <x v="2"/>
    <x v="2"/>
    <x v="2"/>
    <x v="2"/>
    <x v="2"/>
    <x v="0"/>
    <x v="0"/>
    <x v="2"/>
    <x v="2"/>
    <x v="831"/>
    <x v="831"/>
    <x v="2"/>
    <x v="2"/>
    <x v="5"/>
    <x v="3"/>
    <x v="834"/>
    <x v="1"/>
    <x v="1"/>
    <x v="834"/>
    <x v="834"/>
    <x v="833"/>
    <x v="831"/>
    <x v="833"/>
    <x v="834"/>
    <x v="0"/>
    <x v="0"/>
    <x v="0"/>
    <x v="0"/>
    <x v="9"/>
    <x v="0"/>
    <x v="0"/>
  </r>
  <r>
    <x v="835"/>
    <x v="719"/>
    <x v="300"/>
    <x v="169"/>
    <x v="119"/>
    <x v="798"/>
    <x v="8"/>
    <x v="8"/>
    <x v="1"/>
    <x v="1"/>
    <x v="1"/>
    <x v="1"/>
    <x v="10"/>
    <x v="10"/>
    <x v="11"/>
    <x v="11"/>
    <x v="2"/>
    <x v="2"/>
    <x v="11"/>
    <x v="11"/>
    <x v="832"/>
    <x v="832"/>
    <x v="0"/>
    <x v="0"/>
    <x v="9"/>
    <x v="4"/>
    <x v="835"/>
    <x v="5"/>
    <x v="5"/>
    <x v="835"/>
    <x v="835"/>
    <x v="834"/>
    <x v="832"/>
    <x v="834"/>
    <x v="835"/>
    <x v="0"/>
    <x v="0"/>
    <x v="0"/>
    <x v="0"/>
    <x v="7"/>
    <x v="1"/>
    <x v="0"/>
  </r>
  <r>
    <x v="836"/>
    <x v="720"/>
    <x v="352"/>
    <x v="720"/>
    <x v="120"/>
    <x v="799"/>
    <x v="2"/>
    <x v="2"/>
    <x v="1"/>
    <x v="1"/>
    <x v="4"/>
    <x v="0"/>
    <x v="0"/>
    <x v="0"/>
    <x v="0"/>
    <x v="0"/>
    <x v="0"/>
    <x v="0"/>
    <x v="7"/>
    <x v="7"/>
    <x v="833"/>
    <x v="833"/>
    <x v="0"/>
    <x v="0"/>
    <x v="4"/>
    <x v="7"/>
    <x v="836"/>
    <x v="1"/>
    <x v="1"/>
    <x v="836"/>
    <x v="836"/>
    <x v="835"/>
    <x v="833"/>
    <x v="835"/>
    <x v="836"/>
    <x v="0"/>
    <x v="0"/>
    <x v="0"/>
    <x v="0"/>
    <x v="8"/>
    <x v="0"/>
    <x v="0"/>
  </r>
  <r>
    <x v="837"/>
    <x v="77"/>
    <x v="75"/>
    <x v="721"/>
    <x v="464"/>
    <x v="800"/>
    <x v="0"/>
    <x v="0"/>
    <x v="3"/>
    <x v="3"/>
    <x v="3"/>
    <x v="3"/>
    <x v="3"/>
    <x v="3"/>
    <x v="3"/>
    <x v="3"/>
    <x v="0"/>
    <x v="0"/>
    <x v="0"/>
    <x v="0"/>
    <x v="834"/>
    <x v="834"/>
    <x v="2"/>
    <x v="2"/>
    <x v="3"/>
    <x v="1"/>
    <x v="837"/>
    <x v="3"/>
    <x v="3"/>
    <x v="837"/>
    <x v="837"/>
    <x v="836"/>
    <x v="834"/>
    <x v="836"/>
    <x v="837"/>
    <x v="0"/>
    <x v="0"/>
    <x v="0"/>
    <x v="0"/>
    <x v="7"/>
    <x v="1"/>
    <x v="0"/>
  </r>
  <r>
    <x v="838"/>
    <x v="715"/>
    <x v="438"/>
    <x v="722"/>
    <x v="170"/>
    <x v="801"/>
    <x v="4"/>
    <x v="4"/>
    <x v="1"/>
    <x v="1"/>
    <x v="3"/>
    <x v="3"/>
    <x v="14"/>
    <x v="14"/>
    <x v="15"/>
    <x v="15"/>
    <x v="0"/>
    <x v="0"/>
    <x v="0"/>
    <x v="0"/>
    <x v="835"/>
    <x v="835"/>
    <x v="1"/>
    <x v="1"/>
    <x v="5"/>
    <x v="5"/>
    <x v="838"/>
    <x v="1"/>
    <x v="1"/>
    <x v="838"/>
    <x v="838"/>
    <x v="837"/>
    <x v="835"/>
    <x v="837"/>
    <x v="838"/>
    <x v="0"/>
    <x v="0"/>
    <x v="2"/>
    <x v="2"/>
    <x v="5"/>
    <x v="1"/>
    <x v="0"/>
  </r>
  <r>
    <x v="839"/>
    <x v="721"/>
    <x v="482"/>
    <x v="723"/>
    <x v="268"/>
    <x v="802"/>
    <x v="12"/>
    <x v="12"/>
    <x v="3"/>
    <x v="3"/>
    <x v="1"/>
    <x v="1"/>
    <x v="1"/>
    <x v="1"/>
    <x v="1"/>
    <x v="1"/>
    <x v="2"/>
    <x v="2"/>
    <x v="11"/>
    <x v="11"/>
    <x v="836"/>
    <x v="836"/>
    <x v="3"/>
    <x v="3"/>
    <x v="7"/>
    <x v="0"/>
    <x v="839"/>
    <x v="8"/>
    <x v="6"/>
    <x v="839"/>
    <x v="839"/>
    <x v="838"/>
    <x v="836"/>
    <x v="838"/>
    <x v="839"/>
    <x v="0"/>
    <x v="0"/>
    <x v="0"/>
    <x v="0"/>
    <x v="7"/>
    <x v="0"/>
    <x v="0"/>
  </r>
  <r>
    <x v="840"/>
    <x v="347"/>
    <x v="278"/>
    <x v="407"/>
    <x v="324"/>
    <x v="803"/>
    <x v="6"/>
    <x v="6"/>
    <x v="3"/>
    <x v="3"/>
    <x v="4"/>
    <x v="0"/>
    <x v="18"/>
    <x v="18"/>
    <x v="19"/>
    <x v="19"/>
    <x v="1"/>
    <x v="1"/>
    <x v="4"/>
    <x v="4"/>
    <x v="837"/>
    <x v="837"/>
    <x v="1"/>
    <x v="1"/>
    <x v="6"/>
    <x v="2"/>
    <x v="840"/>
    <x v="1"/>
    <x v="1"/>
    <x v="840"/>
    <x v="840"/>
    <x v="839"/>
    <x v="837"/>
    <x v="839"/>
    <x v="840"/>
    <x v="0"/>
    <x v="0"/>
    <x v="0"/>
    <x v="0"/>
    <x v="7"/>
    <x v="1"/>
    <x v="0"/>
  </r>
  <r>
    <x v="841"/>
    <x v="722"/>
    <x v="478"/>
    <x v="724"/>
    <x v="223"/>
    <x v="804"/>
    <x v="4"/>
    <x v="4"/>
    <x v="1"/>
    <x v="1"/>
    <x v="1"/>
    <x v="1"/>
    <x v="9"/>
    <x v="9"/>
    <x v="10"/>
    <x v="10"/>
    <x v="0"/>
    <x v="0"/>
    <x v="2"/>
    <x v="2"/>
    <x v="838"/>
    <x v="838"/>
    <x v="3"/>
    <x v="3"/>
    <x v="0"/>
    <x v="6"/>
    <x v="841"/>
    <x v="3"/>
    <x v="3"/>
    <x v="841"/>
    <x v="841"/>
    <x v="840"/>
    <x v="838"/>
    <x v="840"/>
    <x v="841"/>
    <x v="0"/>
    <x v="0"/>
    <x v="0"/>
    <x v="0"/>
    <x v="6"/>
    <x v="1"/>
    <x v="0"/>
  </r>
  <r>
    <x v="842"/>
    <x v="723"/>
    <x v="354"/>
    <x v="725"/>
    <x v="175"/>
    <x v="805"/>
    <x v="15"/>
    <x v="14"/>
    <x v="0"/>
    <x v="0"/>
    <x v="4"/>
    <x v="0"/>
    <x v="16"/>
    <x v="16"/>
    <x v="17"/>
    <x v="17"/>
    <x v="2"/>
    <x v="2"/>
    <x v="12"/>
    <x v="12"/>
    <x v="839"/>
    <x v="839"/>
    <x v="2"/>
    <x v="2"/>
    <x v="11"/>
    <x v="2"/>
    <x v="842"/>
    <x v="4"/>
    <x v="4"/>
    <x v="842"/>
    <x v="842"/>
    <x v="841"/>
    <x v="839"/>
    <x v="841"/>
    <x v="842"/>
    <x v="0"/>
    <x v="0"/>
    <x v="2"/>
    <x v="2"/>
    <x v="11"/>
    <x v="0"/>
    <x v="2"/>
  </r>
  <r>
    <x v="843"/>
    <x v="724"/>
    <x v="362"/>
    <x v="726"/>
    <x v="465"/>
    <x v="806"/>
    <x v="8"/>
    <x v="8"/>
    <x v="1"/>
    <x v="1"/>
    <x v="4"/>
    <x v="0"/>
    <x v="8"/>
    <x v="8"/>
    <x v="9"/>
    <x v="9"/>
    <x v="2"/>
    <x v="2"/>
    <x v="11"/>
    <x v="11"/>
    <x v="840"/>
    <x v="840"/>
    <x v="2"/>
    <x v="2"/>
    <x v="2"/>
    <x v="6"/>
    <x v="843"/>
    <x v="23"/>
    <x v="1"/>
    <x v="843"/>
    <x v="843"/>
    <x v="842"/>
    <x v="840"/>
    <x v="842"/>
    <x v="843"/>
    <x v="0"/>
    <x v="0"/>
    <x v="0"/>
    <x v="0"/>
    <x v="0"/>
    <x v="1"/>
    <x v="1"/>
  </r>
  <r>
    <x v="844"/>
    <x v="725"/>
    <x v="143"/>
    <x v="727"/>
    <x v="466"/>
    <x v="807"/>
    <x v="7"/>
    <x v="7"/>
    <x v="3"/>
    <x v="3"/>
    <x v="3"/>
    <x v="3"/>
    <x v="14"/>
    <x v="14"/>
    <x v="15"/>
    <x v="15"/>
    <x v="0"/>
    <x v="0"/>
    <x v="2"/>
    <x v="2"/>
    <x v="841"/>
    <x v="841"/>
    <x v="2"/>
    <x v="2"/>
    <x v="1"/>
    <x v="5"/>
    <x v="844"/>
    <x v="1"/>
    <x v="1"/>
    <x v="844"/>
    <x v="844"/>
    <x v="843"/>
    <x v="841"/>
    <x v="843"/>
    <x v="844"/>
    <x v="0"/>
    <x v="0"/>
    <x v="0"/>
    <x v="0"/>
    <x v="10"/>
    <x v="1"/>
    <x v="0"/>
  </r>
  <r>
    <x v="845"/>
    <x v="726"/>
    <x v="339"/>
    <x v="728"/>
    <x v="209"/>
    <x v="159"/>
    <x v="0"/>
    <x v="0"/>
    <x v="0"/>
    <x v="0"/>
    <x v="1"/>
    <x v="1"/>
    <x v="1"/>
    <x v="1"/>
    <x v="1"/>
    <x v="1"/>
    <x v="1"/>
    <x v="1"/>
    <x v="1"/>
    <x v="1"/>
    <x v="842"/>
    <x v="842"/>
    <x v="2"/>
    <x v="2"/>
    <x v="5"/>
    <x v="6"/>
    <x v="845"/>
    <x v="3"/>
    <x v="3"/>
    <x v="845"/>
    <x v="845"/>
    <x v="844"/>
    <x v="842"/>
    <x v="844"/>
    <x v="845"/>
    <x v="2"/>
    <x v="2"/>
    <x v="2"/>
    <x v="2"/>
    <x v="6"/>
    <x v="0"/>
    <x v="0"/>
  </r>
  <r>
    <x v="846"/>
    <x v="727"/>
    <x v="465"/>
    <x v="729"/>
    <x v="449"/>
    <x v="808"/>
    <x v="8"/>
    <x v="8"/>
    <x v="1"/>
    <x v="1"/>
    <x v="3"/>
    <x v="3"/>
    <x v="12"/>
    <x v="12"/>
    <x v="13"/>
    <x v="13"/>
    <x v="1"/>
    <x v="1"/>
    <x v="10"/>
    <x v="10"/>
    <x v="843"/>
    <x v="843"/>
    <x v="3"/>
    <x v="3"/>
    <x v="9"/>
    <x v="7"/>
    <x v="846"/>
    <x v="1"/>
    <x v="1"/>
    <x v="846"/>
    <x v="846"/>
    <x v="845"/>
    <x v="843"/>
    <x v="845"/>
    <x v="846"/>
    <x v="2"/>
    <x v="2"/>
    <x v="2"/>
    <x v="2"/>
    <x v="5"/>
    <x v="0"/>
    <x v="0"/>
  </r>
  <r>
    <x v="847"/>
    <x v="728"/>
    <x v="10"/>
    <x v="730"/>
    <x v="286"/>
    <x v="809"/>
    <x v="13"/>
    <x v="13"/>
    <x v="3"/>
    <x v="3"/>
    <x v="1"/>
    <x v="1"/>
    <x v="1"/>
    <x v="1"/>
    <x v="1"/>
    <x v="1"/>
    <x v="1"/>
    <x v="1"/>
    <x v="1"/>
    <x v="1"/>
    <x v="844"/>
    <x v="844"/>
    <x v="0"/>
    <x v="0"/>
    <x v="7"/>
    <x v="7"/>
    <x v="847"/>
    <x v="0"/>
    <x v="0"/>
    <x v="847"/>
    <x v="847"/>
    <x v="846"/>
    <x v="844"/>
    <x v="846"/>
    <x v="847"/>
    <x v="0"/>
    <x v="0"/>
    <x v="0"/>
    <x v="0"/>
    <x v="4"/>
    <x v="1"/>
    <x v="0"/>
  </r>
  <r>
    <x v="848"/>
    <x v="729"/>
    <x v="256"/>
    <x v="731"/>
    <x v="467"/>
    <x v="810"/>
    <x v="9"/>
    <x v="9"/>
    <x v="3"/>
    <x v="3"/>
    <x v="2"/>
    <x v="2"/>
    <x v="17"/>
    <x v="17"/>
    <x v="18"/>
    <x v="18"/>
    <x v="1"/>
    <x v="1"/>
    <x v="3"/>
    <x v="3"/>
    <x v="845"/>
    <x v="845"/>
    <x v="0"/>
    <x v="0"/>
    <x v="7"/>
    <x v="5"/>
    <x v="848"/>
    <x v="3"/>
    <x v="3"/>
    <x v="848"/>
    <x v="848"/>
    <x v="847"/>
    <x v="845"/>
    <x v="847"/>
    <x v="848"/>
    <x v="0"/>
    <x v="0"/>
    <x v="0"/>
    <x v="0"/>
    <x v="4"/>
    <x v="1"/>
    <x v="0"/>
  </r>
  <r>
    <x v="849"/>
    <x v="730"/>
    <x v="238"/>
    <x v="192"/>
    <x v="135"/>
    <x v="811"/>
    <x v="2"/>
    <x v="2"/>
    <x v="3"/>
    <x v="3"/>
    <x v="3"/>
    <x v="3"/>
    <x v="12"/>
    <x v="12"/>
    <x v="13"/>
    <x v="13"/>
    <x v="1"/>
    <x v="1"/>
    <x v="10"/>
    <x v="10"/>
    <x v="846"/>
    <x v="846"/>
    <x v="3"/>
    <x v="3"/>
    <x v="0"/>
    <x v="1"/>
    <x v="849"/>
    <x v="0"/>
    <x v="0"/>
    <x v="849"/>
    <x v="849"/>
    <x v="848"/>
    <x v="846"/>
    <x v="848"/>
    <x v="849"/>
    <x v="0"/>
    <x v="0"/>
    <x v="3"/>
    <x v="0"/>
    <x v="11"/>
    <x v="0"/>
    <x v="0"/>
  </r>
  <r>
    <x v="850"/>
    <x v="389"/>
    <x v="305"/>
    <x v="732"/>
    <x v="468"/>
    <x v="812"/>
    <x v="8"/>
    <x v="8"/>
    <x v="3"/>
    <x v="3"/>
    <x v="1"/>
    <x v="1"/>
    <x v="6"/>
    <x v="6"/>
    <x v="6"/>
    <x v="6"/>
    <x v="0"/>
    <x v="0"/>
    <x v="0"/>
    <x v="0"/>
    <x v="847"/>
    <x v="847"/>
    <x v="2"/>
    <x v="2"/>
    <x v="4"/>
    <x v="3"/>
    <x v="850"/>
    <x v="1"/>
    <x v="1"/>
    <x v="850"/>
    <x v="850"/>
    <x v="849"/>
    <x v="847"/>
    <x v="849"/>
    <x v="850"/>
    <x v="0"/>
    <x v="0"/>
    <x v="0"/>
    <x v="0"/>
    <x v="2"/>
    <x v="0"/>
    <x v="0"/>
  </r>
  <r>
    <x v="851"/>
    <x v="731"/>
    <x v="483"/>
    <x v="603"/>
    <x v="421"/>
    <x v="813"/>
    <x v="0"/>
    <x v="0"/>
    <x v="1"/>
    <x v="1"/>
    <x v="3"/>
    <x v="3"/>
    <x v="12"/>
    <x v="12"/>
    <x v="13"/>
    <x v="13"/>
    <x v="2"/>
    <x v="2"/>
    <x v="5"/>
    <x v="5"/>
    <x v="848"/>
    <x v="848"/>
    <x v="2"/>
    <x v="2"/>
    <x v="0"/>
    <x v="7"/>
    <x v="851"/>
    <x v="0"/>
    <x v="0"/>
    <x v="851"/>
    <x v="851"/>
    <x v="850"/>
    <x v="848"/>
    <x v="850"/>
    <x v="851"/>
    <x v="0"/>
    <x v="0"/>
    <x v="0"/>
    <x v="0"/>
    <x v="11"/>
    <x v="0"/>
    <x v="0"/>
  </r>
  <r>
    <x v="852"/>
    <x v="732"/>
    <x v="350"/>
    <x v="699"/>
    <x v="319"/>
    <x v="814"/>
    <x v="4"/>
    <x v="4"/>
    <x v="0"/>
    <x v="0"/>
    <x v="1"/>
    <x v="1"/>
    <x v="10"/>
    <x v="10"/>
    <x v="11"/>
    <x v="11"/>
    <x v="1"/>
    <x v="1"/>
    <x v="1"/>
    <x v="1"/>
    <x v="849"/>
    <x v="849"/>
    <x v="0"/>
    <x v="0"/>
    <x v="2"/>
    <x v="4"/>
    <x v="852"/>
    <x v="4"/>
    <x v="4"/>
    <x v="852"/>
    <x v="852"/>
    <x v="851"/>
    <x v="849"/>
    <x v="851"/>
    <x v="852"/>
    <x v="2"/>
    <x v="2"/>
    <x v="1"/>
    <x v="1"/>
    <x v="5"/>
    <x v="0"/>
    <x v="0"/>
  </r>
  <r>
    <x v="853"/>
    <x v="733"/>
    <x v="484"/>
    <x v="730"/>
    <x v="286"/>
    <x v="815"/>
    <x v="3"/>
    <x v="3"/>
    <x v="2"/>
    <x v="2"/>
    <x v="2"/>
    <x v="2"/>
    <x v="17"/>
    <x v="17"/>
    <x v="18"/>
    <x v="18"/>
    <x v="2"/>
    <x v="2"/>
    <x v="5"/>
    <x v="5"/>
    <x v="850"/>
    <x v="850"/>
    <x v="1"/>
    <x v="1"/>
    <x v="0"/>
    <x v="0"/>
    <x v="853"/>
    <x v="0"/>
    <x v="0"/>
    <x v="853"/>
    <x v="853"/>
    <x v="852"/>
    <x v="850"/>
    <x v="852"/>
    <x v="853"/>
    <x v="0"/>
    <x v="0"/>
    <x v="0"/>
    <x v="0"/>
    <x v="4"/>
    <x v="1"/>
    <x v="0"/>
  </r>
  <r>
    <x v="854"/>
    <x v="734"/>
    <x v="360"/>
    <x v="733"/>
    <x v="278"/>
    <x v="816"/>
    <x v="8"/>
    <x v="8"/>
    <x v="0"/>
    <x v="0"/>
    <x v="2"/>
    <x v="2"/>
    <x v="11"/>
    <x v="11"/>
    <x v="12"/>
    <x v="12"/>
    <x v="1"/>
    <x v="1"/>
    <x v="10"/>
    <x v="10"/>
    <x v="851"/>
    <x v="851"/>
    <x v="0"/>
    <x v="0"/>
    <x v="9"/>
    <x v="2"/>
    <x v="854"/>
    <x v="5"/>
    <x v="5"/>
    <x v="854"/>
    <x v="854"/>
    <x v="853"/>
    <x v="851"/>
    <x v="853"/>
    <x v="854"/>
    <x v="0"/>
    <x v="0"/>
    <x v="0"/>
    <x v="0"/>
    <x v="11"/>
    <x v="1"/>
    <x v="0"/>
  </r>
  <r>
    <x v="855"/>
    <x v="735"/>
    <x v="201"/>
    <x v="734"/>
    <x v="452"/>
    <x v="332"/>
    <x v="9"/>
    <x v="9"/>
    <x v="0"/>
    <x v="0"/>
    <x v="4"/>
    <x v="0"/>
    <x v="0"/>
    <x v="0"/>
    <x v="0"/>
    <x v="0"/>
    <x v="0"/>
    <x v="0"/>
    <x v="7"/>
    <x v="7"/>
    <x v="852"/>
    <x v="852"/>
    <x v="0"/>
    <x v="0"/>
    <x v="9"/>
    <x v="7"/>
    <x v="855"/>
    <x v="3"/>
    <x v="3"/>
    <x v="855"/>
    <x v="855"/>
    <x v="854"/>
    <x v="852"/>
    <x v="854"/>
    <x v="855"/>
    <x v="0"/>
    <x v="0"/>
    <x v="0"/>
    <x v="0"/>
    <x v="0"/>
    <x v="0"/>
    <x v="0"/>
  </r>
  <r>
    <x v="856"/>
    <x v="736"/>
    <x v="111"/>
    <x v="117"/>
    <x v="109"/>
    <x v="390"/>
    <x v="12"/>
    <x v="12"/>
    <x v="3"/>
    <x v="3"/>
    <x v="2"/>
    <x v="2"/>
    <x v="17"/>
    <x v="17"/>
    <x v="18"/>
    <x v="18"/>
    <x v="0"/>
    <x v="0"/>
    <x v="8"/>
    <x v="8"/>
    <x v="853"/>
    <x v="853"/>
    <x v="3"/>
    <x v="3"/>
    <x v="2"/>
    <x v="2"/>
    <x v="856"/>
    <x v="14"/>
    <x v="1"/>
    <x v="856"/>
    <x v="856"/>
    <x v="855"/>
    <x v="853"/>
    <x v="855"/>
    <x v="856"/>
    <x v="3"/>
    <x v="3"/>
    <x v="1"/>
    <x v="1"/>
    <x v="2"/>
    <x v="0"/>
    <x v="1"/>
  </r>
  <r>
    <x v="857"/>
    <x v="737"/>
    <x v="481"/>
    <x v="735"/>
    <x v="463"/>
    <x v="660"/>
    <x v="11"/>
    <x v="11"/>
    <x v="3"/>
    <x v="3"/>
    <x v="2"/>
    <x v="2"/>
    <x v="13"/>
    <x v="13"/>
    <x v="14"/>
    <x v="14"/>
    <x v="0"/>
    <x v="0"/>
    <x v="8"/>
    <x v="8"/>
    <x v="854"/>
    <x v="854"/>
    <x v="2"/>
    <x v="2"/>
    <x v="6"/>
    <x v="3"/>
    <x v="857"/>
    <x v="3"/>
    <x v="3"/>
    <x v="857"/>
    <x v="857"/>
    <x v="856"/>
    <x v="854"/>
    <x v="856"/>
    <x v="857"/>
    <x v="0"/>
    <x v="0"/>
    <x v="0"/>
    <x v="0"/>
    <x v="2"/>
    <x v="0"/>
    <x v="0"/>
  </r>
  <r>
    <x v="858"/>
    <x v="584"/>
    <x v="146"/>
    <x v="236"/>
    <x v="207"/>
    <x v="817"/>
    <x v="3"/>
    <x v="3"/>
    <x v="0"/>
    <x v="0"/>
    <x v="1"/>
    <x v="1"/>
    <x v="1"/>
    <x v="1"/>
    <x v="1"/>
    <x v="1"/>
    <x v="2"/>
    <x v="2"/>
    <x v="5"/>
    <x v="5"/>
    <x v="855"/>
    <x v="855"/>
    <x v="0"/>
    <x v="0"/>
    <x v="2"/>
    <x v="2"/>
    <x v="858"/>
    <x v="1"/>
    <x v="1"/>
    <x v="858"/>
    <x v="858"/>
    <x v="857"/>
    <x v="855"/>
    <x v="857"/>
    <x v="858"/>
    <x v="0"/>
    <x v="0"/>
    <x v="0"/>
    <x v="0"/>
    <x v="4"/>
    <x v="0"/>
    <x v="0"/>
  </r>
  <r>
    <x v="859"/>
    <x v="657"/>
    <x v="458"/>
    <x v="736"/>
    <x v="443"/>
    <x v="818"/>
    <x v="7"/>
    <x v="7"/>
    <x v="2"/>
    <x v="2"/>
    <x v="2"/>
    <x v="2"/>
    <x v="17"/>
    <x v="17"/>
    <x v="18"/>
    <x v="18"/>
    <x v="2"/>
    <x v="2"/>
    <x v="11"/>
    <x v="11"/>
    <x v="856"/>
    <x v="856"/>
    <x v="3"/>
    <x v="3"/>
    <x v="1"/>
    <x v="3"/>
    <x v="859"/>
    <x v="5"/>
    <x v="5"/>
    <x v="859"/>
    <x v="859"/>
    <x v="858"/>
    <x v="856"/>
    <x v="858"/>
    <x v="859"/>
    <x v="0"/>
    <x v="0"/>
    <x v="0"/>
    <x v="0"/>
    <x v="9"/>
    <x v="0"/>
    <x v="0"/>
  </r>
  <r>
    <x v="860"/>
    <x v="738"/>
    <x v="468"/>
    <x v="737"/>
    <x v="469"/>
    <x v="819"/>
    <x v="5"/>
    <x v="5"/>
    <x v="3"/>
    <x v="3"/>
    <x v="4"/>
    <x v="0"/>
    <x v="8"/>
    <x v="8"/>
    <x v="9"/>
    <x v="9"/>
    <x v="0"/>
    <x v="0"/>
    <x v="8"/>
    <x v="8"/>
    <x v="857"/>
    <x v="857"/>
    <x v="0"/>
    <x v="0"/>
    <x v="7"/>
    <x v="5"/>
    <x v="860"/>
    <x v="5"/>
    <x v="5"/>
    <x v="860"/>
    <x v="860"/>
    <x v="859"/>
    <x v="857"/>
    <x v="859"/>
    <x v="860"/>
    <x v="0"/>
    <x v="0"/>
    <x v="0"/>
    <x v="0"/>
    <x v="6"/>
    <x v="0"/>
    <x v="0"/>
  </r>
  <r>
    <x v="861"/>
    <x v="739"/>
    <x v="485"/>
    <x v="738"/>
    <x v="470"/>
    <x v="820"/>
    <x v="8"/>
    <x v="8"/>
    <x v="3"/>
    <x v="3"/>
    <x v="4"/>
    <x v="0"/>
    <x v="18"/>
    <x v="18"/>
    <x v="19"/>
    <x v="19"/>
    <x v="1"/>
    <x v="1"/>
    <x v="3"/>
    <x v="3"/>
    <x v="858"/>
    <x v="858"/>
    <x v="1"/>
    <x v="1"/>
    <x v="3"/>
    <x v="2"/>
    <x v="861"/>
    <x v="0"/>
    <x v="0"/>
    <x v="861"/>
    <x v="861"/>
    <x v="860"/>
    <x v="858"/>
    <x v="860"/>
    <x v="861"/>
    <x v="0"/>
    <x v="0"/>
    <x v="0"/>
    <x v="0"/>
    <x v="11"/>
    <x v="1"/>
    <x v="0"/>
  </r>
  <r>
    <x v="862"/>
    <x v="740"/>
    <x v="486"/>
    <x v="739"/>
    <x v="50"/>
    <x v="821"/>
    <x v="8"/>
    <x v="8"/>
    <x v="1"/>
    <x v="1"/>
    <x v="1"/>
    <x v="1"/>
    <x v="15"/>
    <x v="15"/>
    <x v="16"/>
    <x v="16"/>
    <x v="0"/>
    <x v="0"/>
    <x v="9"/>
    <x v="9"/>
    <x v="859"/>
    <x v="859"/>
    <x v="2"/>
    <x v="2"/>
    <x v="1"/>
    <x v="8"/>
    <x v="862"/>
    <x v="1"/>
    <x v="1"/>
    <x v="862"/>
    <x v="862"/>
    <x v="861"/>
    <x v="859"/>
    <x v="861"/>
    <x v="862"/>
    <x v="0"/>
    <x v="0"/>
    <x v="1"/>
    <x v="1"/>
    <x v="11"/>
    <x v="1"/>
    <x v="0"/>
  </r>
  <r>
    <x v="863"/>
    <x v="741"/>
    <x v="487"/>
    <x v="740"/>
    <x v="471"/>
    <x v="822"/>
    <x v="10"/>
    <x v="10"/>
    <x v="3"/>
    <x v="3"/>
    <x v="3"/>
    <x v="3"/>
    <x v="4"/>
    <x v="4"/>
    <x v="4"/>
    <x v="4"/>
    <x v="1"/>
    <x v="1"/>
    <x v="3"/>
    <x v="3"/>
    <x v="860"/>
    <x v="860"/>
    <x v="1"/>
    <x v="1"/>
    <x v="7"/>
    <x v="1"/>
    <x v="863"/>
    <x v="1"/>
    <x v="1"/>
    <x v="863"/>
    <x v="863"/>
    <x v="862"/>
    <x v="860"/>
    <x v="862"/>
    <x v="863"/>
    <x v="0"/>
    <x v="0"/>
    <x v="0"/>
    <x v="0"/>
    <x v="7"/>
    <x v="1"/>
    <x v="0"/>
  </r>
  <r>
    <x v="864"/>
    <x v="742"/>
    <x v="488"/>
    <x v="741"/>
    <x v="472"/>
    <x v="823"/>
    <x v="5"/>
    <x v="5"/>
    <x v="0"/>
    <x v="0"/>
    <x v="2"/>
    <x v="2"/>
    <x v="17"/>
    <x v="17"/>
    <x v="18"/>
    <x v="18"/>
    <x v="2"/>
    <x v="2"/>
    <x v="11"/>
    <x v="11"/>
    <x v="861"/>
    <x v="861"/>
    <x v="2"/>
    <x v="2"/>
    <x v="4"/>
    <x v="8"/>
    <x v="864"/>
    <x v="1"/>
    <x v="1"/>
    <x v="864"/>
    <x v="864"/>
    <x v="863"/>
    <x v="861"/>
    <x v="863"/>
    <x v="864"/>
    <x v="0"/>
    <x v="0"/>
    <x v="0"/>
    <x v="0"/>
    <x v="7"/>
    <x v="1"/>
    <x v="0"/>
  </r>
  <r>
    <x v="865"/>
    <x v="704"/>
    <x v="478"/>
    <x v="355"/>
    <x v="290"/>
    <x v="824"/>
    <x v="15"/>
    <x v="14"/>
    <x v="0"/>
    <x v="0"/>
    <x v="3"/>
    <x v="3"/>
    <x v="3"/>
    <x v="3"/>
    <x v="3"/>
    <x v="3"/>
    <x v="0"/>
    <x v="0"/>
    <x v="7"/>
    <x v="7"/>
    <x v="862"/>
    <x v="862"/>
    <x v="0"/>
    <x v="0"/>
    <x v="9"/>
    <x v="7"/>
    <x v="865"/>
    <x v="1"/>
    <x v="1"/>
    <x v="865"/>
    <x v="865"/>
    <x v="864"/>
    <x v="862"/>
    <x v="864"/>
    <x v="865"/>
    <x v="0"/>
    <x v="0"/>
    <x v="0"/>
    <x v="0"/>
    <x v="6"/>
    <x v="1"/>
    <x v="0"/>
  </r>
  <r>
    <x v="866"/>
    <x v="743"/>
    <x v="180"/>
    <x v="742"/>
    <x v="473"/>
    <x v="825"/>
    <x v="8"/>
    <x v="8"/>
    <x v="0"/>
    <x v="0"/>
    <x v="1"/>
    <x v="1"/>
    <x v="9"/>
    <x v="9"/>
    <x v="10"/>
    <x v="10"/>
    <x v="1"/>
    <x v="1"/>
    <x v="10"/>
    <x v="10"/>
    <x v="863"/>
    <x v="863"/>
    <x v="2"/>
    <x v="2"/>
    <x v="9"/>
    <x v="6"/>
    <x v="866"/>
    <x v="0"/>
    <x v="0"/>
    <x v="866"/>
    <x v="866"/>
    <x v="865"/>
    <x v="863"/>
    <x v="865"/>
    <x v="866"/>
    <x v="2"/>
    <x v="2"/>
    <x v="1"/>
    <x v="1"/>
    <x v="6"/>
    <x v="1"/>
    <x v="0"/>
  </r>
  <r>
    <x v="867"/>
    <x v="744"/>
    <x v="428"/>
    <x v="743"/>
    <x v="220"/>
    <x v="826"/>
    <x v="9"/>
    <x v="9"/>
    <x v="3"/>
    <x v="3"/>
    <x v="2"/>
    <x v="2"/>
    <x v="5"/>
    <x v="5"/>
    <x v="5"/>
    <x v="5"/>
    <x v="2"/>
    <x v="2"/>
    <x v="5"/>
    <x v="5"/>
    <x v="864"/>
    <x v="864"/>
    <x v="1"/>
    <x v="1"/>
    <x v="3"/>
    <x v="3"/>
    <x v="867"/>
    <x v="3"/>
    <x v="3"/>
    <x v="867"/>
    <x v="867"/>
    <x v="866"/>
    <x v="864"/>
    <x v="866"/>
    <x v="867"/>
    <x v="3"/>
    <x v="3"/>
    <x v="1"/>
    <x v="1"/>
    <x v="3"/>
    <x v="0"/>
    <x v="0"/>
  </r>
  <r>
    <x v="868"/>
    <x v="137"/>
    <x v="126"/>
    <x v="396"/>
    <x v="186"/>
    <x v="827"/>
    <x v="5"/>
    <x v="5"/>
    <x v="3"/>
    <x v="3"/>
    <x v="2"/>
    <x v="2"/>
    <x v="11"/>
    <x v="11"/>
    <x v="12"/>
    <x v="12"/>
    <x v="0"/>
    <x v="0"/>
    <x v="8"/>
    <x v="8"/>
    <x v="865"/>
    <x v="865"/>
    <x v="1"/>
    <x v="1"/>
    <x v="5"/>
    <x v="6"/>
    <x v="868"/>
    <x v="5"/>
    <x v="5"/>
    <x v="868"/>
    <x v="868"/>
    <x v="867"/>
    <x v="865"/>
    <x v="867"/>
    <x v="868"/>
    <x v="0"/>
    <x v="0"/>
    <x v="0"/>
    <x v="0"/>
    <x v="5"/>
    <x v="1"/>
    <x v="0"/>
  </r>
  <r>
    <x v="869"/>
    <x v="745"/>
    <x v="388"/>
    <x v="137"/>
    <x v="126"/>
    <x v="828"/>
    <x v="12"/>
    <x v="12"/>
    <x v="3"/>
    <x v="3"/>
    <x v="5"/>
    <x v="4"/>
    <x v="18"/>
    <x v="18"/>
    <x v="19"/>
    <x v="19"/>
    <x v="1"/>
    <x v="1"/>
    <x v="4"/>
    <x v="4"/>
    <x v="346"/>
    <x v="346"/>
    <x v="1"/>
    <x v="1"/>
    <x v="3"/>
    <x v="3"/>
    <x v="869"/>
    <x v="8"/>
    <x v="6"/>
    <x v="869"/>
    <x v="869"/>
    <x v="868"/>
    <x v="866"/>
    <x v="868"/>
    <x v="869"/>
    <x v="0"/>
    <x v="0"/>
    <x v="0"/>
    <x v="0"/>
    <x v="11"/>
    <x v="1"/>
    <x v="0"/>
  </r>
  <r>
    <x v="870"/>
    <x v="746"/>
    <x v="290"/>
    <x v="744"/>
    <x v="406"/>
    <x v="829"/>
    <x v="5"/>
    <x v="5"/>
    <x v="2"/>
    <x v="2"/>
    <x v="3"/>
    <x v="3"/>
    <x v="14"/>
    <x v="14"/>
    <x v="15"/>
    <x v="15"/>
    <x v="1"/>
    <x v="1"/>
    <x v="1"/>
    <x v="1"/>
    <x v="866"/>
    <x v="866"/>
    <x v="3"/>
    <x v="3"/>
    <x v="3"/>
    <x v="6"/>
    <x v="870"/>
    <x v="4"/>
    <x v="4"/>
    <x v="870"/>
    <x v="870"/>
    <x v="869"/>
    <x v="867"/>
    <x v="869"/>
    <x v="870"/>
    <x v="0"/>
    <x v="0"/>
    <x v="1"/>
    <x v="1"/>
    <x v="2"/>
    <x v="1"/>
    <x v="0"/>
  </r>
  <r>
    <x v="871"/>
    <x v="747"/>
    <x v="99"/>
    <x v="745"/>
    <x v="225"/>
    <x v="789"/>
    <x v="6"/>
    <x v="6"/>
    <x v="1"/>
    <x v="1"/>
    <x v="2"/>
    <x v="2"/>
    <x v="2"/>
    <x v="2"/>
    <x v="2"/>
    <x v="2"/>
    <x v="2"/>
    <x v="2"/>
    <x v="5"/>
    <x v="5"/>
    <x v="867"/>
    <x v="867"/>
    <x v="2"/>
    <x v="2"/>
    <x v="7"/>
    <x v="6"/>
    <x v="871"/>
    <x v="1"/>
    <x v="1"/>
    <x v="871"/>
    <x v="871"/>
    <x v="870"/>
    <x v="868"/>
    <x v="870"/>
    <x v="871"/>
    <x v="1"/>
    <x v="1"/>
    <x v="1"/>
    <x v="1"/>
    <x v="6"/>
    <x v="0"/>
    <x v="0"/>
  </r>
  <r>
    <x v="872"/>
    <x v="748"/>
    <x v="489"/>
    <x v="746"/>
    <x v="58"/>
    <x v="603"/>
    <x v="0"/>
    <x v="0"/>
    <x v="2"/>
    <x v="2"/>
    <x v="1"/>
    <x v="1"/>
    <x v="6"/>
    <x v="6"/>
    <x v="6"/>
    <x v="6"/>
    <x v="1"/>
    <x v="1"/>
    <x v="3"/>
    <x v="3"/>
    <x v="868"/>
    <x v="868"/>
    <x v="3"/>
    <x v="3"/>
    <x v="3"/>
    <x v="8"/>
    <x v="872"/>
    <x v="0"/>
    <x v="0"/>
    <x v="872"/>
    <x v="872"/>
    <x v="871"/>
    <x v="869"/>
    <x v="871"/>
    <x v="872"/>
    <x v="0"/>
    <x v="0"/>
    <x v="0"/>
    <x v="0"/>
    <x v="3"/>
    <x v="0"/>
    <x v="0"/>
  </r>
  <r>
    <x v="873"/>
    <x v="749"/>
    <x v="97"/>
    <x v="747"/>
    <x v="96"/>
    <x v="830"/>
    <x v="7"/>
    <x v="7"/>
    <x v="3"/>
    <x v="3"/>
    <x v="3"/>
    <x v="3"/>
    <x v="12"/>
    <x v="12"/>
    <x v="13"/>
    <x v="13"/>
    <x v="0"/>
    <x v="0"/>
    <x v="8"/>
    <x v="8"/>
    <x v="869"/>
    <x v="869"/>
    <x v="0"/>
    <x v="0"/>
    <x v="2"/>
    <x v="0"/>
    <x v="873"/>
    <x v="8"/>
    <x v="6"/>
    <x v="873"/>
    <x v="873"/>
    <x v="872"/>
    <x v="870"/>
    <x v="872"/>
    <x v="873"/>
    <x v="0"/>
    <x v="0"/>
    <x v="0"/>
    <x v="0"/>
    <x v="6"/>
    <x v="1"/>
    <x v="0"/>
  </r>
  <r>
    <x v="874"/>
    <x v="714"/>
    <x v="18"/>
    <x v="748"/>
    <x v="94"/>
    <x v="831"/>
    <x v="5"/>
    <x v="5"/>
    <x v="1"/>
    <x v="1"/>
    <x v="3"/>
    <x v="3"/>
    <x v="3"/>
    <x v="3"/>
    <x v="3"/>
    <x v="3"/>
    <x v="0"/>
    <x v="0"/>
    <x v="0"/>
    <x v="0"/>
    <x v="870"/>
    <x v="870"/>
    <x v="3"/>
    <x v="3"/>
    <x v="3"/>
    <x v="0"/>
    <x v="874"/>
    <x v="5"/>
    <x v="5"/>
    <x v="874"/>
    <x v="874"/>
    <x v="873"/>
    <x v="871"/>
    <x v="873"/>
    <x v="874"/>
    <x v="0"/>
    <x v="0"/>
    <x v="0"/>
    <x v="0"/>
    <x v="0"/>
    <x v="1"/>
    <x v="0"/>
  </r>
  <r>
    <x v="875"/>
    <x v="750"/>
    <x v="76"/>
    <x v="749"/>
    <x v="474"/>
    <x v="832"/>
    <x v="1"/>
    <x v="1"/>
    <x v="2"/>
    <x v="2"/>
    <x v="3"/>
    <x v="3"/>
    <x v="3"/>
    <x v="3"/>
    <x v="3"/>
    <x v="3"/>
    <x v="2"/>
    <x v="2"/>
    <x v="6"/>
    <x v="6"/>
    <x v="871"/>
    <x v="871"/>
    <x v="2"/>
    <x v="2"/>
    <x v="3"/>
    <x v="4"/>
    <x v="875"/>
    <x v="0"/>
    <x v="0"/>
    <x v="875"/>
    <x v="875"/>
    <x v="874"/>
    <x v="872"/>
    <x v="874"/>
    <x v="875"/>
    <x v="0"/>
    <x v="0"/>
    <x v="0"/>
    <x v="0"/>
    <x v="1"/>
    <x v="0"/>
    <x v="0"/>
  </r>
  <r>
    <x v="876"/>
    <x v="751"/>
    <x v="356"/>
    <x v="750"/>
    <x v="475"/>
    <x v="833"/>
    <x v="8"/>
    <x v="8"/>
    <x v="0"/>
    <x v="0"/>
    <x v="3"/>
    <x v="3"/>
    <x v="0"/>
    <x v="0"/>
    <x v="7"/>
    <x v="7"/>
    <x v="1"/>
    <x v="1"/>
    <x v="4"/>
    <x v="4"/>
    <x v="245"/>
    <x v="245"/>
    <x v="2"/>
    <x v="2"/>
    <x v="7"/>
    <x v="3"/>
    <x v="876"/>
    <x v="1"/>
    <x v="1"/>
    <x v="876"/>
    <x v="876"/>
    <x v="875"/>
    <x v="873"/>
    <x v="875"/>
    <x v="876"/>
    <x v="0"/>
    <x v="0"/>
    <x v="0"/>
    <x v="0"/>
    <x v="3"/>
    <x v="0"/>
    <x v="0"/>
  </r>
  <r>
    <x v="877"/>
    <x v="752"/>
    <x v="424"/>
    <x v="523"/>
    <x v="382"/>
    <x v="834"/>
    <x v="10"/>
    <x v="10"/>
    <x v="0"/>
    <x v="0"/>
    <x v="3"/>
    <x v="3"/>
    <x v="0"/>
    <x v="0"/>
    <x v="7"/>
    <x v="7"/>
    <x v="0"/>
    <x v="0"/>
    <x v="8"/>
    <x v="8"/>
    <x v="872"/>
    <x v="872"/>
    <x v="0"/>
    <x v="0"/>
    <x v="9"/>
    <x v="3"/>
    <x v="877"/>
    <x v="8"/>
    <x v="6"/>
    <x v="877"/>
    <x v="877"/>
    <x v="876"/>
    <x v="874"/>
    <x v="876"/>
    <x v="877"/>
    <x v="0"/>
    <x v="0"/>
    <x v="0"/>
    <x v="0"/>
    <x v="1"/>
    <x v="1"/>
    <x v="0"/>
  </r>
  <r>
    <x v="878"/>
    <x v="376"/>
    <x v="165"/>
    <x v="751"/>
    <x v="376"/>
    <x v="835"/>
    <x v="0"/>
    <x v="0"/>
    <x v="2"/>
    <x v="2"/>
    <x v="1"/>
    <x v="1"/>
    <x v="6"/>
    <x v="6"/>
    <x v="6"/>
    <x v="6"/>
    <x v="0"/>
    <x v="0"/>
    <x v="0"/>
    <x v="0"/>
    <x v="873"/>
    <x v="873"/>
    <x v="2"/>
    <x v="2"/>
    <x v="6"/>
    <x v="0"/>
    <x v="878"/>
    <x v="5"/>
    <x v="5"/>
    <x v="878"/>
    <x v="878"/>
    <x v="877"/>
    <x v="875"/>
    <x v="877"/>
    <x v="878"/>
    <x v="0"/>
    <x v="0"/>
    <x v="0"/>
    <x v="0"/>
    <x v="10"/>
    <x v="0"/>
    <x v="0"/>
  </r>
  <r>
    <x v="879"/>
    <x v="753"/>
    <x v="460"/>
    <x v="752"/>
    <x v="304"/>
    <x v="836"/>
    <x v="4"/>
    <x v="4"/>
    <x v="3"/>
    <x v="3"/>
    <x v="4"/>
    <x v="0"/>
    <x v="8"/>
    <x v="8"/>
    <x v="9"/>
    <x v="9"/>
    <x v="0"/>
    <x v="0"/>
    <x v="2"/>
    <x v="2"/>
    <x v="874"/>
    <x v="874"/>
    <x v="3"/>
    <x v="3"/>
    <x v="3"/>
    <x v="3"/>
    <x v="879"/>
    <x v="4"/>
    <x v="4"/>
    <x v="879"/>
    <x v="879"/>
    <x v="878"/>
    <x v="876"/>
    <x v="878"/>
    <x v="879"/>
    <x v="0"/>
    <x v="0"/>
    <x v="0"/>
    <x v="0"/>
    <x v="1"/>
    <x v="1"/>
    <x v="0"/>
  </r>
  <r>
    <x v="880"/>
    <x v="754"/>
    <x v="490"/>
    <x v="753"/>
    <x v="476"/>
    <x v="837"/>
    <x v="10"/>
    <x v="10"/>
    <x v="1"/>
    <x v="1"/>
    <x v="5"/>
    <x v="4"/>
    <x v="7"/>
    <x v="7"/>
    <x v="8"/>
    <x v="8"/>
    <x v="1"/>
    <x v="1"/>
    <x v="4"/>
    <x v="4"/>
    <x v="875"/>
    <x v="875"/>
    <x v="2"/>
    <x v="2"/>
    <x v="2"/>
    <x v="8"/>
    <x v="880"/>
    <x v="1"/>
    <x v="1"/>
    <x v="880"/>
    <x v="880"/>
    <x v="879"/>
    <x v="877"/>
    <x v="879"/>
    <x v="880"/>
    <x v="0"/>
    <x v="0"/>
    <x v="0"/>
    <x v="0"/>
    <x v="11"/>
    <x v="0"/>
    <x v="0"/>
  </r>
  <r>
    <x v="881"/>
    <x v="755"/>
    <x v="264"/>
    <x v="754"/>
    <x v="477"/>
    <x v="838"/>
    <x v="4"/>
    <x v="4"/>
    <x v="1"/>
    <x v="1"/>
    <x v="2"/>
    <x v="2"/>
    <x v="5"/>
    <x v="5"/>
    <x v="5"/>
    <x v="5"/>
    <x v="2"/>
    <x v="2"/>
    <x v="6"/>
    <x v="6"/>
    <x v="876"/>
    <x v="876"/>
    <x v="0"/>
    <x v="0"/>
    <x v="5"/>
    <x v="6"/>
    <x v="881"/>
    <x v="3"/>
    <x v="3"/>
    <x v="881"/>
    <x v="881"/>
    <x v="880"/>
    <x v="878"/>
    <x v="880"/>
    <x v="881"/>
    <x v="0"/>
    <x v="0"/>
    <x v="0"/>
    <x v="0"/>
    <x v="8"/>
    <x v="0"/>
    <x v="0"/>
  </r>
  <r>
    <x v="882"/>
    <x v="756"/>
    <x v="429"/>
    <x v="244"/>
    <x v="214"/>
    <x v="839"/>
    <x v="11"/>
    <x v="11"/>
    <x v="2"/>
    <x v="2"/>
    <x v="1"/>
    <x v="1"/>
    <x v="9"/>
    <x v="9"/>
    <x v="10"/>
    <x v="10"/>
    <x v="2"/>
    <x v="2"/>
    <x v="5"/>
    <x v="5"/>
    <x v="877"/>
    <x v="877"/>
    <x v="3"/>
    <x v="3"/>
    <x v="9"/>
    <x v="2"/>
    <x v="882"/>
    <x v="1"/>
    <x v="1"/>
    <x v="882"/>
    <x v="882"/>
    <x v="881"/>
    <x v="879"/>
    <x v="881"/>
    <x v="882"/>
    <x v="2"/>
    <x v="2"/>
    <x v="2"/>
    <x v="2"/>
    <x v="6"/>
    <x v="1"/>
    <x v="0"/>
  </r>
  <r>
    <x v="883"/>
    <x v="757"/>
    <x v="491"/>
    <x v="755"/>
    <x v="478"/>
    <x v="840"/>
    <x v="10"/>
    <x v="10"/>
    <x v="1"/>
    <x v="1"/>
    <x v="3"/>
    <x v="3"/>
    <x v="14"/>
    <x v="14"/>
    <x v="15"/>
    <x v="15"/>
    <x v="0"/>
    <x v="0"/>
    <x v="8"/>
    <x v="8"/>
    <x v="878"/>
    <x v="878"/>
    <x v="1"/>
    <x v="1"/>
    <x v="4"/>
    <x v="5"/>
    <x v="883"/>
    <x v="1"/>
    <x v="1"/>
    <x v="883"/>
    <x v="883"/>
    <x v="882"/>
    <x v="880"/>
    <x v="882"/>
    <x v="883"/>
    <x v="0"/>
    <x v="0"/>
    <x v="0"/>
    <x v="0"/>
    <x v="5"/>
    <x v="1"/>
    <x v="0"/>
  </r>
  <r>
    <x v="884"/>
    <x v="758"/>
    <x v="492"/>
    <x v="756"/>
    <x v="466"/>
    <x v="841"/>
    <x v="6"/>
    <x v="6"/>
    <x v="3"/>
    <x v="3"/>
    <x v="2"/>
    <x v="2"/>
    <x v="11"/>
    <x v="11"/>
    <x v="12"/>
    <x v="12"/>
    <x v="0"/>
    <x v="0"/>
    <x v="8"/>
    <x v="8"/>
    <x v="879"/>
    <x v="879"/>
    <x v="1"/>
    <x v="1"/>
    <x v="2"/>
    <x v="7"/>
    <x v="884"/>
    <x v="4"/>
    <x v="4"/>
    <x v="884"/>
    <x v="884"/>
    <x v="883"/>
    <x v="881"/>
    <x v="883"/>
    <x v="884"/>
    <x v="0"/>
    <x v="0"/>
    <x v="0"/>
    <x v="0"/>
    <x v="10"/>
    <x v="1"/>
    <x v="0"/>
  </r>
  <r>
    <x v="885"/>
    <x v="759"/>
    <x v="493"/>
    <x v="757"/>
    <x v="445"/>
    <x v="842"/>
    <x v="13"/>
    <x v="13"/>
    <x v="0"/>
    <x v="0"/>
    <x v="4"/>
    <x v="0"/>
    <x v="0"/>
    <x v="0"/>
    <x v="0"/>
    <x v="0"/>
    <x v="1"/>
    <x v="1"/>
    <x v="1"/>
    <x v="1"/>
    <x v="880"/>
    <x v="880"/>
    <x v="3"/>
    <x v="3"/>
    <x v="6"/>
    <x v="5"/>
    <x v="885"/>
    <x v="3"/>
    <x v="3"/>
    <x v="885"/>
    <x v="885"/>
    <x v="884"/>
    <x v="882"/>
    <x v="884"/>
    <x v="885"/>
    <x v="0"/>
    <x v="0"/>
    <x v="0"/>
    <x v="0"/>
    <x v="10"/>
    <x v="0"/>
    <x v="0"/>
  </r>
  <r>
    <x v="886"/>
    <x v="760"/>
    <x v="494"/>
    <x v="758"/>
    <x v="479"/>
    <x v="843"/>
    <x v="3"/>
    <x v="3"/>
    <x v="3"/>
    <x v="3"/>
    <x v="2"/>
    <x v="2"/>
    <x v="17"/>
    <x v="17"/>
    <x v="18"/>
    <x v="18"/>
    <x v="2"/>
    <x v="2"/>
    <x v="5"/>
    <x v="5"/>
    <x v="881"/>
    <x v="881"/>
    <x v="2"/>
    <x v="2"/>
    <x v="2"/>
    <x v="4"/>
    <x v="886"/>
    <x v="4"/>
    <x v="4"/>
    <x v="886"/>
    <x v="886"/>
    <x v="885"/>
    <x v="883"/>
    <x v="885"/>
    <x v="886"/>
    <x v="0"/>
    <x v="0"/>
    <x v="1"/>
    <x v="1"/>
    <x v="5"/>
    <x v="1"/>
    <x v="0"/>
  </r>
  <r>
    <x v="887"/>
    <x v="736"/>
    <x v="111"/>
    <x v="116"/>
    <x v="108"/>
    <x v="844"/>
    <x v="10"/>
    <x v="10"/>
    <x v="1"/>
    <x v="1"/>
    <x v="2"/>
    <x v="2"/>
    <x v="5"/>
    <x v="5"/>
    <x v="5"/>
    <x v="5"/>
    <x v="0"/>
    <x v="0"/>
    <x v="2"/>
    <x v="2"/>
    <x v="882"/>
    <x v="882"/>
    <x v="3"/>
    <x v="3"/>
    <x v="0"/>
    <x v="2"/>
    <x v="887"/>
    <x v="1"/>
    <x v="1"/>
    <x v="887"/>
    <x v="887"/>
    <x v="886"/>
    <x v="884"/>
    <x v="886"/>
    <x v="887"/>
    <x v="0"/>
    <x v="0"/>
    <x v="0"/>
    <x v="0"/>
    <x v="2"/>
    <x v="0"/>
    <x v="0"/>
  </r>
  <r>
    <x v="888"/>
    <x v="761"/>
    <x v="215"/>
    <x v="759"/>
    <x v="275"/>
    <x v="845"/>
    <x v="9"/>
    <x v="9"/>
    <x v="1"/>
    <x v="1"/>
    <x v="3"/>
    <x v="3"/>
    <x v="3"/>
    <x v="3"/>
    <x v="3"/>
    <x v="3"/>
    <x v="0"/>
    <x v="0"/>
    <x v="2"/>
    <x v="2"/>
    <x v="883"/>
    <x v="883"/>
    <x v="3"/>
    <x v="3"/>
    <x v="3"/>
    <x v="2"/>
    <x v="888"/>
    <x v="8"/>
    <x v="6"/>
    <x v="888"/>
    <x v="888"/>
    <x v="887"/>
    <x v="885"/>
    <x v="887"/>
    <x v="888"/>
    <x v="1"/>
    <x v="1"/>
    <x v="1"/>
    <x v="1"/>
    <x v="1"/>
    <x v="1"/>
    <x v="0"/>
  </r>
  <r>
    <x v="889"/>
    <x v="762"/>
    <x v="495"/>
    <x v="760"/>
    <x v="480"/>
    <x v="254"/>
    <x v="7"/>
    <x v="7"/>
    <x v="3"/>
    <x v="3"/>
    <x v="3"/>
    <x v="3"/>
    <x v="4"/>
    <x v="4"/>
    <x v="4"/>
    <x v="4"/>
    <x v="0"/>
    <x v="0"/>
    <x v="8"/>
    <x v="8"/>
    <x v="884"/>
    <x v="884"/>
    <x v="2"/>
    <x v="2"/>
    <x v="3"/>
    <x v="7"/>
    <x v="889"/>
    <x v="3"/>
    <x v="3"/>
    <x v="889"/>
    <x v="889"/>
    <x v="888"/>
    <x v="886"/>
    <x v="888"/>
    <x v="889"/>
    <x v="0"/>
    <x v="0"/>
    <x v="2"/>
    <x v="2"/>
    <x v="11"/>
    <x v="1"/>
    <x v="0"/>
  </r>
  <r>
    <x v="890"/>
    <x v="763"/>
    <x v="176"/>
    <x v="206"/>
    <x v="183"/>
    <x v="846"/>
    <x v="0"/>
    <x v="0"/>
    <x v="0"/>
    <x v="0"/>
    <x v="3"/>
    <x v="3"/>
    <x v="14"/>
    <x v="14"/>
    <x v="15"/>
    <x v="15"/>
    <x v="0"/>
    <x v="0"/>
    <x v="8"/>
    <x v="8"/>
    <x v="885"/>
    <x v="885"/>
    <x v="3"/>
    <x v="3"/>
    <x v="0"/>
    <x v="3"/>
    <x v="890"/>
    <x v="0"/>
    <x v="0"/>
    <x v="890"/>
    <x v="890"/>
    <x v="889"/>
    <x v="887"/>
    <x v="889"/>
    <x v="890"/>
    <x v="0"/>
    <x v="0"/>
    <x v="0"/>
    <x v="0"/>
    <x v="4"/>
    <x v="0"/>
    <x v="0"/>
  </r>
  <r>
    <x v="891"/>
    <x v="764"/>
    <x v="496"/>
    <x v="477"/>
    <x v="360"/>
    <x v="847"/>
    <x v="15"/>
    <x v="14"/>
    <x v="2"/>
    <x v="2"/>
    <x v="2"/>
    <x v="2"/>
    <x v="17"/>
    <x v="17"/>
    <x v="18"/>
    <x v="18"/>
    <x v="2"/>
    <x v="2"/>
    <x v="12"/>
    <x v="12"/>
    <x v="886"/>
    <x v="886"/>
    <x v="1"/>
    <x v="1"/>
    <x v="3"/>
    <x v="8"/>
    <x v="891"/>
    <x v="8"/>
    <x v="6"/>
    <x v="891"/>
    <x v="891"/>
    <x v="890"/>
    <x v="888"/>
    <x v="890"/>
    <x v="891"/>
    <x v="3"/>
    <x v="3"/>
    <x v="1"/>
    <x v="1"/>
    <x v="9"/>
    <x v="0"/>
    <x v="0"/>
  </r>
  <r>
    <x v="892"/>
    <x v="765"/>
    <x v="312"/>
    <x v="761"/>
    <x v="481"/>
    <x v="848"/>
    <x v="2"/>
    <x v="2"/>
    <x v="1"/>
    <x v="1"/>
    <x v="1"/>
    <x v="1"/>
    <x v="15"/>
    <x v="15"/>
    <x v="16"/>
    <x v="16"/>
    <x v="2"/>
    <x v="2"/>
    <x v="6"/>
    <x v="6"/>
    <x v="887"/>
    <x v="887"/>
    <x v="1"/>
    <x v="1"/>
    <x v="0"/>
    <x v="5"/>
    <x v="892"/>
    <x v="0"/>
    <x v="0"/>
    <x v="892"/>
    <x v="892"/>
    <x v="891"/>
    <x v="889"/>
    <x v="891"/>
    <x v="892"/>
    <x v="0"/>
    <x v="0"/>
    <x v="0"/>
    <x v="0"/>
    <x v="5"/>
    <x v="1"/>
    <x v="0"/>
  </r>
  <r>
    <x v="893"/>
    <x v="766"/>
    <x v="286"/>
    <x v="762"/>
    <x v="482"/>
    <x v="849"/>
    <x v="10"/>
    <x v="10"/>
    <x v="2"/>
    <x v="2"/>
    <x v="2"/>
    <x v="2"/>
    <x v="11"/>
    <x v="11"/>
    <x v="12"/>
    <x v="12"/>
    <x v="1"/>
    <x v="1"/>
    <x v="1"/>
    <x v="1"/>
    <x v="888"/>
    <x v="888"/>
    <x v="0"/>
    <x v="0"/>
    <x v="7"/>
    <x v="1"/>
    <x v="893"/>
    <x v="5"/>
    <x v="5"/>
    <x v="893"/>
    <x v="893"/>
    <x v="892"/>
    <x v="890"/>
    <x v="892"/>
    <x v="893"/>
    <x v="0"/>
    <x v="0"/>
    <x v="2"/>
    <x v="2"/>
    <x v="2"/>
    <x v="0"/>
    <x v="0"/>
  </r>
  <r>
    <x v="894"/>
    <x v="767"/>
    <x v="393"/>
    <x v="763"/>
    <x v="257"/>
    <x v="850"/>
    <x v="2"/>
    <x v="2"/>
    <x v="3"/>
    <x v="3"/>
    <x v="2"/>
    <x v="2"/>
    <x v="2"/>
    <x v="2"/>
    <x v="2"/>
    <x v="2"/>
    <x v="1"/>
    <x v="1"/>
    <x v="1"/>
    <x v="1"/>
    <x v="889"/>
    <x v="889"/>
    <x v="2"/>
    <x v="2"/>
    <x v="2"/>
    <x v="3"/>
    <x v="894"/>
    <x v="1"/>
    <x v="1"/>
    <x v="894"/>
    <x v="894"/>
    <x v="893"/>
    <x v="891"/>
    <x v="893"/>
    <x v="894"/>
    <x v="0"/>
    <x v="0"/>
    <x v="0"/>
    <x v="0"/>
    <x v="6"/>
    <x v="0"/>
    <x v="0"/>
  </r>
  <r>
    <x v="895"/>
    <x v="768"/>
    <x v="8"/>
    <x v="8"/>
    <x v="8"/>
    <x v="851"/>
    <x v="3"/>
    <x v="3"/>
    <x v="0"/>
    <x v="0"/>
    <x v="2"/>
    <x v="2"/>
    <x v="13"/>
    <x v="13"/>
    <x v="14"/>
    <x v="14"/>
    <x v="1"/>
    <x v="1"/>
    <x v="4"/>
    <x v="4"/>
    <x v="890"/>
    <x v="890"/>
    <x v="1"/>
    <x v="1"/>
    <x v="1"/>
    <x v="2"/>
    <x v="895"/>
    <x v="4"/>
    <x v="4"/>
    <x v="895"/>
    <x v="895"/>
    <x v="894"/>
    <x v="892"/>
    <x v="894"/>
    <x v="895"/>
    <x v="2"/>
    <x v="2"/>
    <x v="2"/>
    <x v="2"/>
    <x v="3"/>
    <x v="0"/>
    <x v="0"/>
  </r>
  <r>
    <x v="896"/>
    <x v="769"/>
    <x v="497"/>
    <x v="438"/>
    <x v="224"/>
    <x v="852"/>
    <x v="4"/>
    <x v="4"/>
    <x v="1"/>
    <x v="1"/>
    <x v="2"/>
    <x v="2"/>
    <x v="17"/>
    <x v="17"/>
    <x v="18"/>
    <x v="18"/>
    <x v="2"/>
    <x v="2"/>
    <x v="6"/>
    <x v="6"/>
    <x v="891"/>
    <x v="891"/>
    <x v="0"/>
    <x v="0"/>
    <x v="3"/>
    <x v="5"/>
    <x v="896"/>
    <x v="5"/>
    <x v="5"/>
    <x v="896"/>
    <x v="896"/>
    <x v="895"/>
    <x v="893"/>
    <x v="895"/>
    <x v="896"/>
    <x v="3"/>
    <x v="3"/>
    <x v="2"/>
    <x v="2"/>
    <x v="8"/>
    <x v="0"/>
    <x v="0"/>
  </r>
  <r>
    <x v="897"/>
    <x v="206"/>
    <x v="184"/>
    <x v="764"/>
    <x v="479"/>
    <x v="652"/>
    <x v="12"/>
    <x v="12"/>
    <x v="2"/>
    <x v="2"/>
    <x v="4"/>
    <x v="0"/>
    <x v="16"/>
    <x v="16"/>
    <x v="17"/>
    <x v="17"/>
    <x v="0"/>
    <x v="0"/>
    <x v="0"/>
    <x v="0"/>
    <x v="892"/>
    <x v="892"/>
    <x v="2"/>
    <x v="2"/>
    <x v="5"/>
    <x v="2"/>
    <x v="897"/>
    <x v="5"/>
    <x v="5"/>
    <x v="897"/>
    <x v="897"/>
    <x v="896"/>
    <x v="894"/>
    <x v="896"/>
    <x v="897"/>
    <x v="0"/>
    <x v="0"/>
    <x v="0"/>
    <x v="0"/>
    <x v="5"/>
    <x v="1"/>
    <x v="0"/>
  </r>
  <r>
    <x v="898"/>
    <x v="770"/>
    <x v="202"/>
    <x v="765"/>
    <x v="482"/>
    <x v="853"/>
    <x v="5"/>
    <x v="5"/>
    <x v="0"/>
    <x v="0"/>
    <x v="4"/>
    <x v="0"/>
    <x v="18"/>
    <x v="18"/>
    <x v="19"/>
    <x v="19"/>
    <x v="1"/>
    <x v="1"/>
    <x v="1"/>
    <x v="1"/>
    <x v="893"/>
    <x v="893"/>
    <x v="2"/>
    <x v="2"/>
    <x v="0"/>
    <x v="2"/>
    <x v="898"/>
    <x v="0"/>
    <x v="0"/>
    <x v="898"/>
    <x v="898"/>
    <x v="897"/>
    <x v="895"/>
    <x v="897"/>
    <x v="898"/>
    <x v="0"/>
    <x v="0"/>
    <x v="0"/>
    <x v="0"/>
    <x v="2"/>
    <x v="0"/>
    <x v="0"/>
  </r>
  <r>
    <x v="899"/>
    <x v="308"/>
    <x v="256"/>
    <x v="766"/>
    <x v="483"/>
    <x v="854"/>
    <x v="0"/>
    <x v="0"/>
    <x v="0"/>
    <x v="0"/>
    <x v="4"/>
    <x v="0"/>
    <x v="7"/>
    <x v="7"/>
    <x v="8"/>
    <x v="8"/>
    <x v="1"/>
    <x v="1"/>
    <x v="4"/>
    <x v="4"/>
    <x v="894"/>
    <x v="894"/>
    <x v="2"/>
    <x v="2"/>
    <x v="2"/>
    <x v="8"/>
    <x v="899"/>
    <x v="3"/>
    <x v="3"/>
    <x v="899"/>
    <x v="899"/>
    <x v="898"/>
    <x v="896"/>
    <x v="898"/>
    <x v="899"/>
    <x v="3"/>
    <x v="3"/>
    <x v="1"/>
    <x v="1"/>
    <x v="4"/>
    <x v="1"/>
    <x v="0"/>
  </r>
  <r>
    <x v="502"/>
    <x v="458"/>
    <x v="350"/>
    <x v="455"/>
    <x v="347"/>
    <x v="490"/>
    <x v="8"/>
    <x v="8"/>
    <x v="1"/>
    <x v="1"/>
    <x v="7"/>
    <x v="1"/>
    <x v="1"/>
    <x v="1"/>
    <x v="1"/>
    <x v="1"/>
    <x v="2"/>
    <x v="2"/>
    <x v="6"/>
    <x v="6"/>
    <x v="501"/>
    <x v="501"/>
    <x v="0"/>
    <x v="0"/>
    <x v="9"/>
    <x v="3"/>
    <x v="502"/>
    <x v="8"/>
    <x v="6"/>
    <x v="502"/>
    <x v="502"/>
    <x v="502"/>
    <x v="501"/>
    <x v="502"/>
    <x v="502"/>
    <x v="0"/>
    <x v="0"/>
    <x v="0"/>
    <x v="0"/>
    <x v="5"/>
    <x v="0"/>
    <x v="0"/>
  </r>
  <r>
    <x v="598"/>
    <x v="536"/>
    <x v="396"/>
    <x v="542"/>
    <x v="206"/>
    <x v="581"/>
    <x v="4"/>
    <x v="4"/>
    <x v="2"/>
    <x v="2"/>
    <x v="1"/>
    <x v="1"/>
    <x v="6"/>
    <x v="6"/>
    <x v="6"/>
    <x v="6"/>
    <x v="2"/>
    <x v="2"/>
    <x v="6"/>
    <x v="6"/>
    <x v="596"/>
    <x v="596"/>
    <x v="1"/>
    <x v="1"/>
    <x v="2"/>
    <x v="1"/>
    <x v="598"/>
    <x v="3"/>
    <x v="3"/>
    <x v="598"/>
    <x v="598"/>
    <x v="598"/>
    <x v="597"/>
    <x v="598"/>
    <x v="598"/>
    <x v="0"/>
    <x v="0"/>
    <x v="0"/>
    <x v="0"/>
    <x v="1"/>
    <x v="0"/>
    <x v="0"/>
  </r>
  <r>
    <x v="694"/>
    <x v="611"/>
    <x v="203"/>
    <x v="590"/>
    <x v="417"/>
    <x v="337"/>
    <x v="2"/>
    <x v="2"/>
    <x v="0"/>
    <x v="0"/>
    <x v="2"/>
    <x v="2"/>
    <x v="5"/>
    <x v="5"/>
    <x v="5"/>
    <x v="5"/>
    <x v="0"/>
    <x v="0"/>
    <x v="8"/>
    <x v="8"/>
    <x v="692"/>
    <x v="692"/>
    <x v="2"/>
    <x v="2"/>
    <x v="9"/>
    <x v="8"/>
    <x v="694"/>
    <x v="4"/>
    <x v="4"/>
    <x v="694"/>
    <x v="694"/>
    <x v="694"/>
    <x v="691"/>
    <x v="693"/>
    <x v="694"/>
    <x v="0"/>
    <x v="0"/>
    <x v="0"/>
    <x v="0"/>
    <x v="1"/>
    <x v="1"/>
    <x v="0"/>
  </r>
  <r>
    <x v="704"/>
    <x v="620"/>
    <x v="441"/>
    <x v="628"/>
    <x v="289"/>
    <x v="675"/>
    <x v="8"/>
    <x v="8"/>
    <x v="3"/>
    <x v="3"/>
    <x v="2"/>
    <x v="2"/>
    <x v="17"/>
    <x v="17"/>
    <x v="18"/>
    <x v="18"/>
    <x v="1"/>
    <x v="1"/>
    <x v="10"/>
    <x v="10"/>
    <x v="702"/>
    <x v="702"/>
    <x v="4"/>
    <x v="4"/>
    <x v="2"/>
    <x v="5"/>
    <x v="704"/>
    <x v="4"/>
    <x v="4"/>
    <x v="704"/>
    <x v="704"/>
    <x v="704"/>
    <x v="701"/>
    <x v="703"/>
    <x v="704"/>
    <x v="0"/>
    <x v="0"/>
    <x v="0"/>
    <x v="0"/>
    <x v="11"/>
    <x v="0"/>
    <x v="0"/>
  </r>
  <r>
    <x v="276"/>
    <x v="183"/>
    <x v="165"/>
    <x v="263"/>
    <x v="226"/>
    <x v="271"/>
    <x v="10"/>
    <x v="10"/>
    <x v="1"/>
    <x v="1"/>
    <x v="5"/>
    <x v="4"/>
    <x v="10"/>
    <x v="10"/>
    <x v="11"/>
    <x v="11"/>
    <x v="1"/>
    <x v="1"/>
    <x v="4"/>
    <x v="4"/>
    <x v="276"/>
    <x v="276"/>
    <x v="0"/>
    <x v="0"/>
    <x v="3"/>
    <x v="3"/>
    <x v="276"/>
    <x v="16"/>
    <x v="1"/>
    <x v="276"/>
    <x v="276"/>
    <x v="276"/>
    <x v="275"/>
    <x v="276"/>
    <x v="276"/>
    <x v="0"/>
    <x v="0"/>
    <x v="0"/>
    <x v="0"/>
    <x v="10"/>
    <x v="0"/>
    <x v="1"/>
  </r>
  <r>
    <x v="632"/>
    <x v="561"/>
    <x v="353"/>
    <x v="572"/>
    <x v="6"/>
    <x v="612"/>
    <x v="11"/>
    <x v="11"/>
    <x v="1"/>
    <x v="1"/>
    <x v="2"/>
    <x v="2"/>
    <x v="11"/>
    <x v="11"/>
    <x v="12"/>
    <x v="12"/>
    <x v="1"/>
    <x v="1"/>
    <x v="3"/>
    <x v="3"/>
    <x v="630"/>
    <x v="630"/>
    <x v="2"/>
    <x v="2"/>
    <x v="3"/>
    <x v="8"/>
    <x v="632"/>
    <x v="1"/>
    <x v="1"/>
    <x v="632"/>
    <x v="632"/>
    <x v="632"/>
    <x v="629"/>
    <x v="631"/>
    <x v="632"/>
    <x v="0"/>
    <x v="0"/>
    <x v="0"/>
    <x v="0"/>
    <x v="5"/>
    <x v="1"/>
    <x v="0"/>
  </r>
  <r>
    <x v="729"/>
    <x v="637"/>
    <x v="449"/>
    <x v="645"/>
    <x v="436"/>
    <x v="698"/>
    <x v="4"/>
    <x v="4"/>
    <x v="2"/>
    <x v="2"/>
    <x v="2"/>
    <x v="2"/>
    <x v="17"/>
    <x v="17"/>
    <x v="18"/>
    <x v="18"/>
    <x v="2"/>
    <x v="2"/>
    <x v="12"/>
    <x v="12"/>
    <x v="727"/>
    <x v="727"/>
    <x v="1"/>
    <x v="1"/>
    <x v="9"/>
    <x v="3"/>
    <x v="729"/>
    <x v="4"/>
    <x v="4"/>
    <x v="729"/>
    <x v="729"/>
    <x v="729"/>
    <x v="726"/>
    <x v="728"/>
    <x v="729"/>
    <x v="0"/>
    <x v="0"/>
    <x v="0"/>
    <x v="0"/>
    <x v="4"/>
    <x v="1"/>
    <x v="0"/>
  </r>
  <r>
    <x v="133"/>
    <x v="126"/>
    <x v="115"/>
    <x v="131"/>
    <x v="120"/>
    <x v="132"/>
    <x v="0"/>
    <x v="0"/>
    <x v="0"/>
    <x v="0"/>
    <x v="3"/>
    <x v="3"/>
    <x v="14"/>
    <x v="14"/>
    <x v="15"/>
    <x v="15"/>
    <x v="2"/>
    <x v="2"/>
    <x v="11"/>
    <x v="11"/>
    <x v="133"/>
    <x v="133"/>
    <x v="0"/>
    <x v="0"/>
    <x v="1"/>
    <x v="0"/>
    <x v="133"/>
    <x v="4"/>
    <x v="4"/>
    <x v="133"/>
    <x v="133"/>
    <x v="133"/>
    <x v="133"/>
    <x v="133"/>
    <x v="133"/>
    <x v="0"/>
    <x v="0"/>
    <x v="0"/>
    <x v="0"/>
    <x v="8"/>
    <x v="0"/>
    <x v="0"/>
  </r>
  <r>
    <x v="719"/>
    <x v="316"/>
    <x v="260"/>
    <x v="321"/>
    <x v="267"/>
    <x v="20"/>
    <x v="15"/>
    <x v="14"/>
    <x v="2"/>
    <x v="2"/>
    <x v="3"/>
    <x v="3"/>
    <x v="12"/>
    <x v="12"/>
    <x v="13"/>
    <x v="13"/>
    <x v="0"/>
    <x v="0"/>
    <x v="2"/>
    <x v="2"/>
    <x v="717"/>
    <x v="717"/>
    <x v="1"/>
    <x v="1"/>
    <x v="3"/>
    <x v="7"/>
    <x v="719"/>
    <x v="0"/>
    <x v="0"/>
    <x v="719"/>
    <x v="719"/>
    <x v="719"/>
    <x v="716"/>
    <x v="718"/>
    <x v="719"/>
    <x v="0"/>
    <x v="0"/>
    <x v="0"/>
    <x v="0"/>
    <x v="7"/>
    <x v="1"/>
    <x v="0"/>
  </r>
  <r>
    <x v="399"/>
    <x v="364"/>
    <x v="289"/>
    <x v="365"/>
    <x v="296"/>
    <x v="390"/>
    <x v="13"/>
    <x v="13"/>
    <x v="1"/>
    <x v="1"/>
    <x v="2"/>
    <x v="2"/>
    <x v="5"/>
    <x v="5"/>
    <x v="5"/>
    <x v="5"/>
    <x v="0"/>
    <x v="0"/>
    <x v="0"/>
    <x v="0"/>
    <x v="398"/>
    <x v="398"/>
    <x v="1"/>
    <x v="1"/>
    <x v="1"/>
    <x v="5"/>
    <x v="399"/>
    <x v="3"/>
    <x v="3"/>
    <x v="399"/>
    <x v="399"/>
    <x v="399"/>
    <x v="398"/>
    <x v="399"/>
    <x v="399"/>
    <x v="0"/>
    <x v="0"/>
    <x v="0"/>
    <x v="0"/>
    <x v="5"/>
    <x v="1"/>
    <x v="0"/>
  </r>
  <r>
    <x v="123"/>
    <x v="117"/>
    <x v="5"/>
    <x v="121"/>
    <x v="113"/>
    <x v="122"/>
    <x v="11"/>
    <x v="11"/>
    <x v="1"/>
    <x v="1"/>
    <x v="4"/>
    <x v="0"/>
    <x v="7"/>
    <x v="7"/>
    <x v="8"/>
    <x v="8"/>
    <x v="2"/>
    <x v="2"/>
    <x v="6"/>
    <x v="6"/>
    <x v="123"/>
    <x v="123"/>
    <x v="1"/>
    <x v="1"/>
    <x v="3"/>
    <x v="5"/>
    <x v="123"/>
    <x v="1"/>
    <x v="1"/>
    <x v="123"/>
    <x v="123"/>
    <x v="123"/>
    <x v="123"/>
    <x v="123"/>
    <x v="123"/>
    <x v="1"/>
    <x v="1"/>
    <x v="1"/>
    <x v="1"/>
    <x v="4"/>
    <x v="0"/>
    <x v="0"/>
  </r>
  <r>
    <x v="250"/>
    <x v="232"/>
    <x v="204"/>
    <x v="239"/>
    <x v="209"/>
    <x v="246"/>
    <x v="3"/>
    <x v="3"/>
    <x v="1"/>
    <x v="1"/>
    <x v="1"/>
    <x v="1"/>
    <x v="6"/>
    <x v="6"/>
    <x v="6"/>
    <x v="6"/>
    <x v="1"/>
    <x v="1"/>
    <x v="3"/>
    <x v="3"/>
    <x v="250"/>
    <x v="250"/>
    <x v="3"/>
    <x v="3"/>
    <x v="0"/>
    <x v="8"/>
    <x v="250"/>
    <x v="4"/>
    <x v="4"/>
    <x v="250"/>
    <x v="250"/>
    <x v="250"/>
    <x v="250"/>
    <x v="250"/>
    <x v="250"/>
    <x v="2"/>
    <x v="2"/>
    <x v="2"/>
    <x v="2"/>
    <x v="6"/>
    <x v="0"/>
    <x v="0"/>
  </r>
  <r>
    <x v="377"/>
    <x v="275"/>
    <x v="235"/>
    <x v="349"/>
    <x v="285"/>
    <x v="369"/>
    <x v="15"/>
    <x v="14"/>
    <x v="1"/>
    <x v="1"/>
    <x v="1"/>
    <x v="1"/>
    <x v="1"/>
    <x v="1"/>
    <x v="1"/>
    <x v="1"/>
    <x v="0"/>
    <x v="0"/>
    <x v="8"/>
    <x v="8"/>
    <x v="376"/>
    <x v="376"/>
    <x v="1"/>
    <x v="1"/>
    <x v="0"/>
    <x v="5"/>
    <x v="377"/>
    <x v="1"/>
    <x v="1"/>
    <x v="377"/>
    <x v="377"/>
    <x v="377"/>
    <x v="376"/>
    <x v="377"/>
    <x v="377"/>
    <x v="0"/>
    <x v="0"/>
    <x v="0"/>
    <x v="0"/>
    <x v="4"/>
    <x v="1"/>
    <x v="0"/>
  </r>
  <r>
    <x v="280"/>
    <x v="259"/>
    <x v="61"/>
    <x v="267"/>
    <x v="229"/>
    <x v="274"/>
    <x v="7"/>
    <x v="7"/>
    <x v="0"/>
    <x v="0"/>
    <x v="2"/>
    <x v="2"/>
    <x v="11"/>
    <x v="11"/>
    <x v="12"/>
    <x v="12"/>
    <x v="2"/>
    <x v="2"/>
    <x v="6"/>
    <x v="6"/>
    <x v="280"/>
    <x v="280"/>
    <x v="3"/>
    <x v="3"/>
    <x v="4"/>
    <x v="6"/>
    <x v="280"/>
    <x v="1"/>
    <x v="1"/>
    <x v="280"/>
    <x v="280"/>
    <x v="280"/>
    <x v="279"/>
    <x v="280"/>
    <x v="280"/>
    <x v="0"/>
    <x v="0"/>
    <x v="0"/>
    <x v="0"/>
    <x v="8"/>
    <x v="0"/>
    <x v="0"/>
  </r>
  <r>
    <x v="712"/>
    <x v="394"/>
    <x v="310"/>
    <x v="633"/>
    <x v="251"/>
    <x v="683"/>
    <x v="2"/>
    <x v="2"/>
    <x v="3"/>
    <x v="3"/>
    <x v="3"/>
    <x v="3"/>
    <x v="4"/>
    <x v="4"/>
    <x v="4"/>
    <x v="4"/>
    <x v="1"/>
    <x v="1"/>
    <x v="4"/>
    <x v="4"/>
    <x v="710"/>
    <x v="710"/>
    <x v="2"/>
    <x v="2"/>
    <x v="9"/>
    <x v="4"/>
    <x v="712"/>
    <x v="1"/>
    <x v="1"/>
    <x v="712"/>
    <x v="712"/>
    <x v="712"/>
    <x v="709"/>
    <x v="711"/>
    <x v="712"/>
    <x v="0"/>
    <x v="0"/>
    <x v="0"/>
    <x v="0"/>
    <x v="6"/>
    <x v="0"/>
    <x v="0"/>
  </r>
  <r>
    <x v="549"/>
    <x v="500"/>
    <x v="376"/>
    <x v="497"/>
    <x v="372"/>
    <x v="535"/>
    <x v="1"/>
    <x v="1"/>
    <x v="2"/>
    <x v="2"/>
    <x v="2"/>
    <x v="2"/>
    <x v="2"/>
    <x v="2"/>
    <x v="2"/>
    <x v="2"/>
    <x v="0"/>
    <x v="0"/>
    <x v="2"/>
    <x v="2"/>
    <x v="548"/>
    <x v="548"/>
    <x v="0"/>
    <x v="0"/>
    <x v="7"/>
    <x v="1"/>
    <x v="549"/>
    <x v="8"/>
    <x v="6"/>
    <x v="549"/>
    <x v="549"/>
    <x v="549"/>
    <x v="548"/>
    <x v="549"/>
    <x v="549"/>
    <x v="0"/>
    <x v="0"/>
    <x v="0"/>
    <x v="0"/>
    <x v="9"/>
    <x v="1"/>
    <x v="0"/>
  </r>
  <r>
    <x v="849"/>
    <x v="730"/>
    <x v="238"/>
    <x v="192"/>
    <x v="135"/>
    <x v="811"/>
    <x v="2"/>
    <x v="2"/>
    <x v="3"/>
    <x v="3"/>
    <x v="3"/>
    <x v="3"/>
    <x v="12"/>
    <x v="12"/>
    <x v="13"/>
    <x v="13"/>
    <x v="1"/>
    <x v="1"/>
    <x v="10"/>
    <x v="10"/>
    <x v="846"/>
    <x v="846"/>
    <x v="3"/>
    <x v="3"/>
    <x v="0"/>
    <x v="1"/>
    <x v="849"/>
    <x v="0"/>
    <x v="0"/>
    <x v="849"/>
    <x v="849"/>
    <x v="848"/>
    <x v="846"/>
    <x v="848"/>
    <x v="849"/>
    <x v="0"/>
    <x v="0"/>
    <x v="3"/>
    <x v="0"/>
    <x v="11"/>
    <x v="0"/>
    <x v="0"/>
  </r>
  <r>
    <x v="127"/>
    <x v="120"/>
    <x v="45"/>
    <x v="125"/>
    <x v="85"/>
    <x v="126"/>
    <x v="8"/>
    <x v="8"/>
    <x v="2"/>
    <x v="2"/>
    <x v="3"/>
    <x v="3"/>
    <x v="4"/>
    <x v="4"/>
    <x v="4"/>
    <x v="4"/>
    <x v="0"/>
    <x v="0"/>
    <x v="8"/>
    <x v="8"/>
    <x v="127"/>
    <x v="127"/>
    <x v="0"/>
    <x v="0"/>
    <x v="10"/>
    <x v="7"/>
    <x v="127"/>
    <x v="5"/>
    <x v="5"/>
    <x v="127"/>
    <x v="127"/>
    <x v="127"/>
    <x v="127"/>
    <x v="127"/>
    <x v="127"/>
    <x v="0"/>
    <x v="0"/>
    <x v="0"/>
    <x v="0"/>
    <x v="10"/>
    <x v="1"/>
    <x v="2"/>
  </r>
  <r>
    <x v="676"/>
    <x v="596"/>
    <x v="433"/>
    <x v="609"/>
    <x v="92"/>
    <x v="650"/>
    <x v="9"/>
    <x v="9"/>
    <x v="1"/>
    <x v="1"/>
    <x v="4"/>
    <x v="0"/>
    <x v="18"/>
    <x v="18"/>
    <x v="19"/>
    <x v="19"/>
    <x v="2"/>
    <x v="2"/>
    <x v="11"/>
    <x v="11"/>
    <x v="674"/>
    <x v="674"/>
    <x v="1"/>
    <x v="1"/>
    <x v="2"/>
    <x v="4"/>
    <x v="676"/>
    <x v="4"/>
    <x v="4"/>
    <x v="676"/>
    <x v="676"/>
    <x v="676"/>
    <x v="673"/>
    <x v="675"/>
    <x v="676"/>
    <x v="0"/>
    <x v="0"/>
    <x v="0"/>
    <x v="0"/>
    <x v="7"/>
    <x v="1"/>
    <x v="0"/>
  </r>
  <r>
    <x v="6"/>
    <x v="6"/>
    <x v="6"/>
    <x v="6"/>
    <x v="6"/>
    <x v="6"/>
    <x v="6"/>
    <x v="6"/>
    <x v="0"/>
    <x v="0"/>
    <x v="1"/>
    <x v="1"/>
    <x v="1"/>
    <x v="1"/>
    <x v="1"/>
    <x v="1"/>
    <x v="2"/>
    <x v="2"/>
    <x v="6"/>
    <x v="6"/>
    <x v="6"/>
    <x v="6"/>
    <x v="3"/>
    <x v="3"/>
    <x v="0"/>
    <x v="2"/>
    <x v="6"/>
    <x v="4"/>
    <x v="4"/>
    <x v="6"/>
    <x v="6"/>
    <x v="6"/>
    <x v="6"/>
    <x v="6"/>
    <x v="6"/>
    <x v="0"/>
    <x v="0"/>
    <x v="0"/>
    <x v="0"/>
    <x v="5"/>
    <x v="1"/>
    <x v="0"/>
  </r>
  <r>
    <x v="331"/>
    <x v="307"/>
    <x v="248"/>
    <x v="311"/>
    <x v="255"/>
    <x v="325"/>
    <x v="11"/>
    <x v="11"/>
    <x v="3"/>
    <x v="3"/>
    <x v="1"/>
    <x v="1"/>
    <x v="1"/>
    <x v="1"/>
    <x v="1"/>
    <x v="1"/>
    <x v="0"/>
    <x v="0"/>
    <x v="9"/>
    <x v="9"/>
    <x v="330"/>
    <x v="330"/>
    <x v="0"/>
    <x v="0"/>
    <x v="7"/>
    <x v="2"/>
    <x v="331"/>
    <x v="1"/>
    <x v="1"/>
    <x v="900"/>
    <x v="331"/>
    <x v="331"/>
    <x v="330"/>
    <x v="331"/>
    <x v="331"/>
    <x v="0"/>
    <x v="0"/>
    <x v="0"/>
    <x v="0"/>
    <x v="8"/>
    <x v="0"/>
    <x v="0"/>
  </r>
  <r>
    <x v="90"/>
    <x v="87"/>
    <x v="85"/>
    <x v="89"/>
    <x v="83"/>
    <x v="90"/>
    <x v="10"/>
    <x v="10"/>
    <x v="1"/>
    <x v="1"/>
    <x v="1"/>
    <x v="1"/>
    <x v="9"/>
    <x v="9"/>
    <x v="10"/>
    <x v="10"/>
    <x v="2"/>
    <x v="2"/>
    <x v="6"/>
    <x v="6"/>
    <x v="90"/>
    <x v="90"/>
    <x v="2"/>
    <x v="2"/>
    <x v="1"/>
    <x v="1"/>
    <x v="90"/>
    <x v="4"/>
    <x v="4"/>
    <x v="901"/>
    <x v="90"/>
    <x v="90"/>
    <x v="90"/>
    <x v="90"/>
    <x v="90"/>
    <x v="0"/>
    <x v="0"/>
    <x v="2"/>
    <x v="2"/>
    <x v="1"/>
    <x v="1"/>
    <x v="0"/>
  </r>
  <r>
    <x v="373"/>
    <x v="340"/>
    <x v="273"/>
    <x v="346"/>
    <x v="130"/>
    <x v="365"/>
    <x v="11"/>
    <x v="11"/>
    <x v="1"/>
    <x v="1"/>
    <x v="4"/>
    <x v="0"/>
    <x v="8"/>
    <x v="8"/>
    <x v="9"/>
    <x v="9"/>
    <x v="0"/>
    <x v="0"/>
    <x v="8"/>
    <x v="8"/>
    <x v="372"/>
    <x v="372"/>
    <x v="0"/>
    <x v="0"/>
    <x v="6"/>
    <x v="6"/>
    <x v="373"/>
    <x v="1"/>
    <x v="1"/>
    <x v="902"/>
    <x v="373"/>
    <x v="373"/>
    <x v="372"/>
    <x v="373"/>
    <x v="373"/>
    <x v="0"/>
    <x v="0"/>
    <x v="2"/>
    <x v="2"/>
    <x v="5"/>
    <x v="1"/>
    <x v="0"/>
  </r>
  <r>
    <x v="224"/>
    <x v="208"/>
    <x v="186"/>
    <x v="216"/>
    <x v="191"/>
    <x v="220"/>
    <x v="2"/>
    <x v="2"/>
    <x v="1"/>
    <x v="1"/>
    <x v="4"/>
    <x v="0"/>
    <x v="7"/>
    <x v="7"/>
    <x v="8"/>
    <x v="8"/>
    <x v="1"/>
    <x v="1"/>
    <x v="3"/>
    <x v="3"/>
    <x v="224"/>
    <x v="224"/>
    <x v="3"/>
    <x v="3"/>
    <x v="0"/>
    <x v="2"/>
    <x v="224"/>
    <x v="3"/>
    <x v="3"/>
    <x v="903"/>
    <x v="224"/>
    <x v="224"/>
    <x v="224"/>
    <x v="224"/>
    <x v="224"/>
    <x v="0"/>
    <x v="0"/>
    <x v="2"/>
    <x v="2"/>
    <x v="9"/>
    <x v="1"/>
    <x v="0"/>
  </r>
  <r>
    <x v="314"/>
    <x v="191"/>
    <x v="171"/>
    <x v="199"/>
    <x v="10"/>
    <x v="308"/>
    <x v="2"/>
    <x v="2"/>
    <x v="2"/>
    <x v="2"/>
    <x v="3"/>
    <x v="3"/>
    <x v="4"/>
    <x v="4"/>
    <x v="4"/>
    <x v="4"/>
    <x v="0"/>
    <x v="0"/>
    <x v="7"/>
    <x v="7"/>
    <x v="314"/>
    <x v="314"/>
    <x v="3"/>
    <x v="3"/>
    <x v="7"/>
    <x v="6"/>
    <x v="314"/>
    <x v="4"/>
    <x v="4"/>
    <x v="904"/>
    <x v="314"/>
    <x v="314"/>
    <x v="313"/>
    <x v="314"/>
    <x v="314"/>
    <x v="3"/>
    <x v="3"/>
    <x v="0"/>
    <x v="0"/>
    <x v="4"/>
    <x v="1"/>
    <x v="0"/>
  </r>
  <r>
    <x v="170"/>
    <x v="9"/>
    <x v="9"/>
    <x v="165"/>
    <x v="150"/>
    <x v="168"/>
    <x v="12"/>
    <x v="12"/>
    <x v="2"/>
    <x v="2"/>
    <x v="1"/>
    <x v="1"/>
    <x v="9"/>
    <x v="9"/>
    <x v="10"/>
    <x v="10"/>
    <x v="2"/>
    <x v="2"/>
    <x v="6"/>
    <x v="6"/>
    <x v="170"/>
    <x v="170"/>
    <x v="3"/>
    <x v="3"/>
    <x v="9"/>
    <x v="1"/>
    <x v="170"/>
    <x v="1"/>
    <x v="1"/>
    <x v="905"/>
    <x v="170"/>
    <x v="170"/>
    <x v="170"/>
    <x v="170"/>
    <x v="170"/>
    <x v="0"/>
    <x v="0"/>
    <x v="2"/>
    <x v="2"/>
    <x v="7"/>
    <x v="1"/>
    <x v="0"/>
  </r>
  <r>
    <x v="423"/>
    <x v="386"/>
    <x v="99"/>
    <x v="386"/>
    <x v="209"/>
    <x v="414"/>
    <x v="13"/>
    <x v="13"/>
    <x v="0"/>
    <x v="0"/>
    <x v="2"/>
    <x v="2"/>
    <x v="13"/>
    <x v="13"/>
    <x v="14"/>
    <x v="14"/>
    <x v="2"/>
    <x v="2"/>
    <x v="5"/>
    <x v="5"/>
    <x v="422"/>
    <x v="422"/>
    <x v="2"/>
    <x v="2"/>
    <x v="2"/>
    <x v="6"/>
    <x v="423"/>
    <x v="0"/>
    <x v="0"/>
    <x v="906"/>
    <x v="423"/>
    <x v="423"/>
    <x v="422"/>
    <x v="423"/>
    <x v="423"/>
    <x v="0"/>
    <x v="0"/>
    <x v="2"/>
    <x v="2"/>
    <x v="6"/>
    <x v="0"/>
    <x v="0"/>
  </r>
  <r>
    <x v="571"/>
    <x v="514"/>
    <x v="220"/>
    <x v="517"/>
    <x v="290"/>
    <x v="557"/>
    <x v="8"/>
    <x v="8"/>
    <x v="1"/>
    <x v="1"/>
    <x v="4"/>
    <x v="0"/>
    <x v="8"/>
    <x v="8"/>
    <x v="9"/>
    <x v="9"/>
    <x v="2"/>
    <x v="2"/>
    <x v="11"/>
    <x v="11"/>
    <x v="569"/>
    <x v="569"/>
    <x v="4"/>
    <x v="4"/>
    <x v="5"/>
    <x v="8"/>
    <x v="571"/>
    <x v="1"/>
    <x v="1"/>
    <x v="907"/>
    <x v="571"/>
    <x v="571"/>
    <x v="570"/>
    <x v="571"/>
    <x v="571"/>
    <x v="3"/>
    <x v="3"/>
    <x v="0"/>
    <x v="0"/>
    <x v="6"/>
    <x v="1"/>
    <x v="0"/>
  </r>
  <r>
    <x v="142"/>
    <x v="135"/>
    <x v="124"/>
    <x v="140"/>
    <x v="129"/>
    <x v="141"/>
    <x v="7"/>
    <x v="7"/>
    <x v="3"/>
    <x v="3"/>
    <x v="4"/>
    <x v="0"/>
    <x v="0"/>
    <x v="0"/>
    <x v="0"/>
    <x v="0"/>
    <x v="2"/>
    <x v="2"/>
    <x v="11"/>
    <x v="11"/>
    <x v="142"/>
    <x v="142"/>
    <x v="0"/>
    <x v="0"/>
    <x v="10"/>
    <x v="8"/>
    <x v="142"/>
    <x v="4"/>
    <x v="4"/>
    <x v="908"/>
    <x v="142"/>
    <x v="142"/>
    <x v="142"/>
    <x v="142"/>
    <x v="142"/>
    <x v="0"/>
    <x v="0"/>
    <x v="2"/>
    <x v="2"/>
    <x v="11"/>
    <x v="0"/>
    <x v="2"/>
  </r>
  <r>
    <x v="272"/>
    <x v="253"/>
    <x v="222"/>
    <x v="259"/>
    <x v="206"/>
    <x v="267"/>
    <x v="3"/>
    <x v="3"/>
    <x v="0"/>
    <x v="0"/>
    <x v="2"/>
    <x v="2"/>
    <x v="5"/>
    <x v="5"/>
    <x v="5"/>
    <x v="5"/>
    <x v="1"/>
    <x v="1"/>
    <x v="4"/>
    <x v="4"/>
    <x v="272"/>
    <x v="272"/>
    <x v="2"/>
    <x v="2"/>
    <x v="0"/>
    <x v="4"/>
    <x v="272"/>
    <x v="8"/>
    <x v="6"/>
    <x v="909"/>
    <x v="272"/>
    <x v="272"/>
    <x v="271"/>
    <x v="272"/>
    <x v="272"/>
    <x v="0"/>
    <x v="0"/>
    <x v="2"/>
    <x v="2"/>
    <x v="1"/>
    <x v="0"/>
    <x v="0"/>
  </r>
  <r>
    <x v="123"/>
    <x v="117"/>
    <x v="5"/>
    <x v="121"/>
    <x v="113"/>
    <x v="122"/>
    <x v="11"/>
    <x v="11"/>
    <x v="1"/>
    <x v="1"/>
    <x v="4"/>
    <x v="0"/>
    <x v="7"/>
    <x v="7"/>
    <x v="8"/>
    <x v="8"/>
    <x v="2"/>
    <x v="2"/>
    <x v="6"/>
    <x v="6"/>
    <x v="123"/>
    <x v="123"/>
    <x v="1"/>
    <x v="1"/>
    <x v="3"/>
    <x v="5"/>
    <x v="123"/>
    <x v="1"/>
    <x v="1"/>
    <x v="910"/>
    <x v="123"/>
    <x v="123"/>
    <x v="123"/>
    <x v="123"/>
    <x v="123"/>
    <x v="1"/>
    <x v="1"/>
    <x v="2"/>
    <x v="2"/>
    <x v="4"/>
    <x v="0"/>
    <x v="0"/>
  </r>
  <r>
    <x v="335"/>
    <x v="311"/>
    <x v="258"/>
    <x v="315"/>
    <x v="262"/>
    <x v="329"/>
    <x v="9"/>
    <x v="9"/>
    <x v="3"/>
    <x v="3"/>
    <x v="3"/>
    <x v="3"/>
    <x v="4"/>
    <x v="4"/>
    <x v="4"/>
    <x v="4"/>
    <x v="0"/>
    <x v="0"/>
    <x v="0"/>
    <x v="0"/>
    <x v="334"/>
    <x v="334"/>
    <x v="2"/>
    <x v="2"/>
    <x v="7"/>
    <x v="1"/>
    <x v="335"/>
    <x v="8"/>
    <x v="6"/>
    <x v="911"/>
    <x v="335"/>
    <x v="335"/>
    <x v="334"/>
    <x v="335"/>
    <x v="335"/>
    <x v="0"/>
    <x v="0"/>
    <x v="2"/>
    <x v="2"/>
    <x v="2"/>
    <x v="1"/>
    <x v="0"/>
  </r>
  <r>
    <x v="900"/>
    <x v="771"/>
    <x v="498"/>
    <x v="767"/>
    <x v="484"/>
    <x v="855"/>
    <x v="23"/>
    <x v="15"/>
    <x v="12"/>
    <x v="4"/>
    <x v="5"/>
    <x v="5"/>
    <x v="19"/>
    <x v="19"/>
    <x v="20"/>
    <x v="20"/>
    <x v="9"/>
    <x v="3"/>
    <x v="16"/>
    <x v="13"/>
    <x v="895"/>
    <x v="895"/>
    <x v="4"/>
    <x v="5"/>
    <x v="13"/>
    <x v="9"/>
    <x v="900"/>
    <x v="9"/>
    <x v="10"/>
    <x v="912"/>
    <x v="900"/>
    <x v="899"/>
    <x v="897"/>
    <x v="899"/>
    <x v="900"/>
    <x v="6"/>
    <x v="4"/>
    <x v="6"/>
    <x v="3"/>
    <x v="1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4" firstHeaderRow="0" firstDataRow="1" firstDataCol="1"/>
  <pivotFields count="4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1">
        <item x="7"/>
        <item x="0"/>
        <item x="9"/>
        <item x="1"/>
        <item x="4"/>
        <item x="6"/>
        <item x="2"/>
        <item x="3"/>
        <item x="8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914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x="912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29" baseField="0" baseItem="0"/>
    <dataField name="Sum of profit" fld="32" baseField="0" baseItem="0"/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4" firstHeaderRow="0" firstDataRow="1" firstDataCol="1"/>
  <pivotFields count="42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1">
        <item x="3"/>
        <item x="8"/>
        <item x="1"/>
        <item x="5"/>
        <item x="6"/>
        <item x="0"/>
        <item x="7"/>
        <item x="2"/>
        <item x="4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29" baseField="0" baseItem="0"/>
    <dataField name="Sum of profit" fld="32" baseField="0" baseItem="0"/>
    <dataField name="Sum of quantity" fld="2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7" firstHeaderRow="0" firstDataRow="1" firstDataCol="1"/>
  <pivotFields count="42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4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x="12"/>
        <item t="default"/>
      </items>
    </pivotField>
    <pivotField compact="0" showAll="0"/>
    <pivotField compact="0" showAll="0"/>
  </pivotFields>
  <rowFields count="1">
    <field x="3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9" baseField="0" baseItem="0"/>
    <dataField name="Sum of profit" fld="3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4"/>
  <sheetViews>
    <sheetView workbookViewId="0">
      <selection activeCell="F10" sqref="F10"/>
    </sheetView>
  </sheetViews>
  <sheetFormatPr defaultColWidth="8.8" defaultRowHeight="13.8" outlineLevelCol="3"/>
  <cols>
    <col min="1" max="1" width="11.8"/>
    <col min="2" max="4" width="16.1"/>
    <col min="5" max="914" width="9.5"/>
    <col min="915" max="915" width="11.3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>
        <v>8930.84</v>
      </c>
      <c r="C4">
        <v>2176.64</v>
      </c>
      <c r="D4">
        <v>2</v>
      </c>
    </row>
    <row r="5" spans="1:4">
      <c r="A5" t="s">
        <v>5</v>
      </c>
      <c r="B5">
        <v>19479.54</v>
      </c>
      <c r="C5">
        <v>3351.27</v>
      </c>
      <c r="D5">
        <v>2</v>
      </c>
    </row>
    <row r="6" spans="1:4">
      <c r="A6" t="s">
        <v>6</v>
      </c>
      <c r="B6">
        <v>14947.54</v>
      </c>
      <c r="C6">
        <v>5509.08</v>
      </c>
      <c r="D6">
        <v>1</v>
      </c>
    </row>
    <row r="7" spans="1:4">
      <c r="A7" t="s">
        <v>7</v>
      </c>
      <c r="B7">
        <v>2217527.61</v>
      </c>
      <c r="C7">
        <v>678361.26</v>
      </c>
      <c r="D7">
        <v>227</v>
      </c>
    </row>
    <row r="8" spans="1:4">
      <c r="A8" t="s">
        <v>8</v>
      </c>
      <c r="B8">
        <v>2159254.84</v>
      </c>
      <c r="C8">
        <v>642003.28</v>
      </c>
      <c r="D8">
        <v>213</v>
      </c>
    </row>
    <row r="9" spans="1:4">
      <c r="A9" t="s">
        <v>9</v>
      </c>
      <c r="B9">
        <v>8666.56</v>
      </c>
      <c r="C9">
        <v>2699.12</v>
      </c>
      <c r="D9">
        <v>1</v>
      </c>
    </row>
    <row r="10" spans="1:4">
      <c r="A10" t="s">
        <v>10</v>
      </c>
      <c r="B10">
        <v>2364691.77</v>
      </c>
      <c r="C10">
        <v>674649.05</v>
      </c>
      <c r="D10">
        <v>231</v>
      </c>
    </row>
    <row r="11" spans="1:4">
      <c r="A11" t="s">
        <v>11</v>
      </c>
      <c r="B11">
        <v>2139887.66</v>
      </c>
      <c r="C11">
        <v>601101.87</v>
      </c>
      <c r="D11">
        <v>228</v>
      </c>
    </row>
    <row r="12" spans="1:4">
      <c r="A12" t="s">
        <v>12</v>
      </c>
      <c r="B12">
        <v>11709.79</v>
      </c>
      <c r="C12">
        <v>3337.5</v>
      </c>
      <c r="D12">
        <v>1</v>
      </c>
    </row>
    <row r="13" spans="1:4">
      <c r="A13" t="s">
        <v>13</v>
      </c>
      <c r="B13">
        <v>305071.1</v>
      </c>
      <c r="C13">
        <v>101666.42</v>
      </c>
      <c r="D13">
        <v>26</v>
      </c>
    </row>
    <row r="14" spans="1:4">
      <c r="A14" t="s">
        <v>14</v>
      </c>
      <c r="B14">
        <v>9250167.25</v>
      </c>
      <c r="C14">
        <v>2714855.49</v>
      </c>
      <c r="D14">
        <v>932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4"/>
  <sheetViews>
    <sheetView workbookViewId="0">
      <selection activeCell="A3" sqref="A3"/>
    </sheetView>
  </sheetViews>
  <sheetFormatPr defaultColWidth="8.8" defaultRowHeight="13.8" outlineLevelCol="3"/>
  <cols>
    <col min="1" max="1" width="14.6"/>
    <col min="2" max="4" width="14.4"/>
  </cols>
  <sheetData>
    <row r="3" spans="1:4">
      <c r="A3" t="s">
        <v>15</v>
      </c>
      <c r="B3" t="s">
        <v>1</v>
      </c>
      <c r="C3" t="s">
        <v>2</v>
      </c>
      <c r="D3" t="s">
        <v>16</v>
      </c>
    </row>
    <row r="4" spans="1:4">
      <c r="A4" t="s">
        <v>17</v>
      </c>
      <c r="B4">
        <v>37985.08</v>
      </c>
      <c r="C4">
        <v>10033.45</v>
      </c>
      <c r="D4">
        <v>13</v>
      </c>
    </row>
    <row r="5" spans="1:4">
      <c r="A5" t="s">
        <v>18</v>
      </c>
      <c r="B5">
        <v>11473.04</v>
      </c>
      <c r="C5">
        <v>2541.71</v>
      </c>
      <c r="D5">
        <v>8</v>
      </c>
    </row>
    <row r="6" spans="1:4">
      <c r="A6" t="s">
        <v>19</v>
      </c>
      <c r="B6">
        <v>3140689.45</v>
      </c>
      <c r="C6">
        <v>923525.66</v>
      </c>
      <c r="D6">
        <v>1533</v>
      </c>
    </row>
    <row r="7" spans="1:4">
      <c r="A7" t="s">
        <v>20</v>
      </c>
      <c r="B7">
        <v>7258.48</v>
      </c>
      <c r="C7">
        <v>2420.68</v>
      </c>
      <c r="D7">
        <v>9</v>
      </c>
    </row>
    <row r="8" spans="1:4">
      <c r="A8" t="s">
        <v>21</v>
      </c>
      <c r="B8">
        <v>11462.74</v>
      </c>
      <c r="C8">
        <v>4299.2</v>
      </c>
      <c r="D8">
        <v>7</v>
      </c>
    </row>
    <row r="9" spans="1:4">
      <c r="A9" t="s">
        <v>22</v>
      </c>
      <c r="B9">
        <v>2805631.31</v>
      </c>
      <c r="C9">
        <v>808488.440000001</v>
      </c>
      <c r="D9">
        <v>1409</v>
      </c>
    </row>
    <row r="10" spans="1:4">
      <c r="A10" t="s">
        <v>23</v>
      </c>
      <c r="B10">
        <v>3672.71</v>
      </c>
      <c r="C10">
        <v>763.38</v>
      </c>
      <c r="D10">
        <v>1</v>
      </c>
    </row>
    <row r="11" spans="1:4">
      <c r="A11" t="s">
        <v>24</v>
      </c>
      <c r="B11">
        <v>3209692.5</v>
      </c>
      <c r="C11">
        <v>953721.06</v>
      </c>
      <c r="D11">
        <v>1563</v>
      </c>
    </row>
    <row r="12" spans="1:4">
      <c r="A12" t="s">
        <v>25</v>
      </c>
      <c r="B12">
        <v>22301.94</v>
      </c>
      <c r="C12">
        <v>9061.91</v>
      </c>
      <c r="D12">
        <v>14</v>
      </c>
    </row>
    <row r="13" spans="1:4">
      <c r="A13" t="s">
        <v>13</v>
      </c>
    </row>
    <row r="14" spans="1:4">
      <c r="A14" t="s">
        <v>14</v>
      </c>
      <c r="B14">
        <v>9250167.25</v>
      </c>
      <c r="C14">
        <v>2714855.49</v>
      </c>
      <c r="D14">
        <v>4557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7"/>
  <sheetViews>
    <sheetView workbookViewId="0">
      <selection activeCell="A3" sqref="A3"/>
    </sheetView>
  </sheetViews>
  <sheetFormatPr defaultColWidth="8.8" defaultRowHeight="13.8" outlineLevelCol="2"/>
  <cols>
    <col min="1" max="1" width="15.2"/>
    <col min="2" max="3" width="12"/>
  </cols>
  <sheetData>
    <row r="3" spans="1:3">
      <c r="A3" t="s">
        <v>26</v>
      </c>
      <c r="B3" t="s">
        <v>1</v>
      </c>
      <c r="C3" t="s">
        <v>2</v>
      </c>
    </row>
    <row r="4" spans="1:3">
      <c r="A4">
        <v>1</v>
      </c>
      <c r="B4">
        <v>779426.67</v>
      </c>
      <c r="C4">
        <v>238807.34</v>
      </c>
    </row>
    <row r="5" spans="1:3">
      <c r="A5">
        <v>2</v>
      </c>
      <c r="B5">
        <v>1056379.88</v>
      </c>
      <c r="C5">
        <v>316747.04</v>
      </c>
    </row>
    <row r="6" spans="1:3">
      <c r="A6">
        <v>3</v>
      </c>
      <c r="B6">
        <v>820563.96</v>
      </c>
      <c r="C6">
        <v>240877.88</v>
      </c>
    </row>
    <row r="7" spans="1:3">
      <c r="A7">
        <v>4</v>
      </c>
      <c r="B7">
        <v>880298.33</v>
      </c>
      <c r="C7">
        <v>250221.5</v>
      </c>
    </row>
    <row r="8" spans="1:3">
      <c r="A8">
        <v>5</v>
      </c>
      <c r="B8">
        <v>826362.36</v>
      </c>
      <c r="C8">
        <v>222855.12</v>
      </c>
    </row>
    <row r="9" spans="1:3">
      <c r="A9">
        <v>6</v>
      </c>
      <c r="B9">
        <v>880326.31</v>
      </c>
      <c r="C9">
        <v>264369.85</v>
      </c>
    </row>
    <row r="10" spans="1:3">
      <c r="A10">
        <v>7</v>
      </c>
      <c r="B10">
        <v>838045.74</v>
      </c>
      <c r="C10">
        <v>240539.17</v>
      </c>
    </row>
    <row r="11" spans="1:3">
      <c r="A11">
        <v>8</v>
      </c>
      <c r="B11">
        <v>908799.11</v>
      </c>
      <c r="C11">
        <v>273902.19</v>
      </c>
    </row>
    <row r="12" spans="1:3">
      <c r="A12">
        <v>9</v>
      </c>
      <c r="B12">
        <v>866100.46</v>
      </c>
      <c r="C12">
        <v>245183.58</v>
      </c>
    </row>
    <row r="13" spans="1:3">
      <c r="A13">
        <v>10</v>
      </c>
      <c r="B13">
        <v>736367.02</v>
      </c>
      <c r="C13">
        <v>216826.4</v>
      </c>
    </row>
    <row r="14" spans="1:3">
      <c r="A14">
        <v>11</v>
      </c>
      <c r="B14">
        <v>336412.08</v>
      </c>
      <c r="C14">
        <v>114059.89</v>
      </c>
    </row>
    <row r="15" spans="1:3">
      <c r="A15">
        <v>12</v>
      </c>
      <c r="B15">
        <v>321085.33</v>
      </c>
      <c r="C15">
        <v>90465.53</v>
      </c>
    </row>
    <row r="16" spans="1:3">
      <c r="A16" t="s">
        <v>13</v>
      </c>
    </row>
    <row r="17" spans="1:3">
      <c r="A17" t="s">
        <v>14</v>
      </c>
      <c r="B17">
        <v>9250167.25</v>
      </c>
      <c r="C17">
        <v>2714855.49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33"/>
  <sheetViews>
    <sheetView tabSelected="1" workbookViewId="0">
      <selection activeCell="AE1" sqref="$A1:$XFD1048576"/>
    </sheetView>
  </sheetViews>
  <sheetFormatPr defaultColWidth="9" defaultRowHeight="13.8"/>
  <cols>
    <col min="1" max="1" width="16" customWidth="1"/>
    <col min="2" max="2" width="16" style="3" customWidth="1"/>
    <col min="3" max="4" width="16" customWidth="1"/>
    <col min="5" max="5" width="16" style="3" customWidth="1"/>
    <col min="6" max="7" width="16" customWidth="1"/>
    <col min="8" max="8" width="20.2" customWidth="1"/>
    <col min="9" max="39" width="16" customWidth="1"/>
    <col min="40" max="40" width="13" customWidth="1"/>
    <col min="41" max="41" width="12" customWidth="1"/>
    <col min="42" max="42" width="14.6" customWidth="1"/>
  </cols>
  <sheetData>
    <row r="1" ht="28" customHeight="1" spans="1:42">
      <c r="A1" s="1" t="s">
        <v>27</v>
      </c>
      <c r="B1" s="4" t="s">
        <v>28</v>
      </c>
      <c r="C1" s="1" t="s">
        <v>29</v>
      </c>
      <c r="D1" s="1" t="s">
        <v>30</v>
      </c>
      <c r="E1" s="4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0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15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5" t="s">
        <v>26</v>
      </c>
      <c r="AO1" s="6" t="s">
        <v>64</v>
      </c>
      <c r="AP1" s="6" t="s">
        <v>65</v>
      </c>
    </row>
    <row r="2" spans="1:42">
      <c r="A2" t="s">
        <v>66</v>
      </c>
      <c r="B2" s="3" t="s">
        <v>67</v>
      </c>
      <c r="C2" s="3">
        <v>45494</v>
      </c>
      <c r="D2" t="s">
        <v>68</v>
      </c>
      <c r="E2" s="3">
        <v>45500</v>
      </c>
      <c r="F2" t="s">
        <v>69</v>
      </c>
      <c r="G2" t="s">
        <v>70</v>
      </c>
      <c r="H2" t="str">
        <f t="shared" ref="H2:H65" si="0">PROPER(TRIM(G2))</f>
        <v>Karan Malhotra</v>
      </c>
      <c r="I2" t="s">
        <v>71</v>
      </c>
      <c r="J2" t="str">
        <f t="shared" ref="J2:J65" si="1">PROPER(TRIM(I2))</f>
        <v>Consumer</v>
      </c>
      <c r="K2" t="s">
        <v>5</v>
      </c>
      <c r="L2" t="str">
        <f t="shared" ref="L2:L65" si="2">PROPER(TRIM(K2))</f>
        <v>North</v>
      </c>
      <c r="M2" t="s">
        <v>72</v>
      </c>
      <c r="N2" t="str">
        <f t="shared" ref="N2:N65" si="3">PROPER(TRIM(M2))</f>
        <v>Rajasthan</v>
      </c>
      <c r="O2" t="s">
        <v>73</v>
      </c>
      <c r="P2" t="str">
        <f t="shared" ref="P2:P65" si="4">PROPER(TRIM(O2))</f>
        <v>Jaipur</v>
      </c>
      <c r="Q2" t="s">
        <v>22</v>
      </c>
      <c r="R2" t="str">
        <f t="shared" ref="R2:R65" si="5">PROPER(TRIM(Q2))</f>
        <v>Office Supplies</v>
      </c>
      <c r="S2" t="s">
        <v>74</v>
      </c>
      <c r="T2" t="str">
        <f t="shared" ref="T2:T65" si="6">PROPER(TRIM(S2))</f>
        <v>Paper</v>
      </c>
      <c r="U2" t="s">
        <v>75</v>
      </c>
      <c r="V2" t="str">
        <f t="shared" ref="V2:V65" si="7">PROPER(TRIM(U2))</f>
        <v>Pro Paper 122</v>
      </c>
      <c r="W2" t="s">
        <v>76</v>
      </c>
      <c r="X2" t="str">
        <f t="shared" ref="X2:X65" si="8">PROPER(TRIM(W2))</f>
        <v>Second Class</v>
      </c>
      <c r="Y2">
        <v>6</v>
      </c>
      <c r="Z2">
        <v>8</v>
      </c>
      <c r="AA2">
        <v>2976.45</v>
      </c>
      <c r="AB2">
        <v>0.2</v>
      </c>
      <c r="AC2">
        <f t="shared" ref="AC2:AC65" si="9">IF(OR(AB2="",AB2&lt;0),0,AB2)</f>
        <v>0.2</v>
      </c>
      <c r="AD2">
        <v>19049.28</v>
      </c>
      <c r="AE2">
        <f t="shared" ref="AE2:AE65" si="10">Z2*AA2*(1-AC2)</f>
        <v>19049.28</v>
      </c>
      <c r="AF2">
        <v>15841.89</v>
      </c>
      <c r="AG2">
        <v>3207.39</v>
      </c>
      <c r="AH2">
        <f t="shared" ref="AH2:AH65" si="11">AE2-AF2</f>
        <v>3207.39</v>
      </c>
      <c r="AI2">
        <f t="shared" ref="AI2:AI65" si="12">AH2/AE2</f>
        <v>0.168373292848864</v>
      </c>
      <c r="AJ2" t="s">
        <v>77</v>
      </c>
      <c r="AK2" t="str">
        <f t="shared" ref="AK2:AK65" si="13">PROPER(TRIM(AJ2))</f>
        <v>Paid</v>
      </c>
      <c r="AL2" t="s">
        <v>78</v>
      </c>
      <c r="AM2" t="str">
        <f t="shared" ref="AM2:AM65" si="14">PROPER(TRIM(AL2))</f>
        <v>Completed</v>
      </c>
      <c r="AN2">
        <v>7</v>
      </c>
      <c r="AO2">
        <v>2024</v>
      </c>
      <c r="AP2" t="s">
        <v>79</v>
      </c>
    </row>
    <row r="3" spans="1:42">
      <c r="A3" t="s">
        <v>80</v>
      </c>
      <c r="B3" s="3" t="s">
        <v>81</v>
      </c>
      <c r="C3" s="3">
        <v>45535</v>
      </c>
      <c r="D3" t="s">
        <v>82</v>
      </c>
      <c r="E3" s="3">
        <v>45540</v>
      </c>
      <c r="F3" t="s">
        <v>83</v>
      </c>
      <c r="G3" t="s">
        <v>84</v>
      </c>
      <c r="H3" t="str">
        <f t="shared" si="0"/>
        <v>Mira Das</v>
      </c>
      <c r="I3" t="s">
        <v>85</v>
      </c>
      <c r="J3" t="str">
        <f t="shared" si="1"/>
        <v>Small Business</v>
      </c>
      <c r="K3" t="s">
        <v>7</v>
      </c>
      <c r="L3" t="str">
        <f t="shared" si="2"/>
        <v>East</v>
      </c>
      <c r="M3" t="s">
        <v>86</v>
      </c>
      <c r="N3" t="str">
        <f t="shared" si="3"/>
        <v>Odisha</v>
      </c>
      <c r="O3" t="s">
        <v>87</v>
      </c>
      <c r="P3" t="str">
        <f t="shared" si="4"/>
        <v>Bhubaneswar</v>
      </c>
      <c r="Q3" t="s">
        <v>19</v>
      </c>
      <c r="R3" t="str">
        <f t="shared" si="5"/>
        <v>Furniture</v>
      </c>
      <c r="S3" t="s">
        <v>88</v>
      </c>
      <c r="T3" t="str">
        <f t="shared" si="6"/>
        <v>Tables</v>
      </c>
      <c r="U3" t="s">
        <v>89</v>
      </c>
      <c r="V3" t="str">
        <f t="shared" si="7"/>
        <v>Pro Tables 258</v>
      </c>
      <c r="W3" t="s">
        <v>90</v>
      </c>
      <c r="X3" t="str">
        <f t="shared" si="8"/>
        <v>Same Day</v>
      </c>
      <c r="Y3">
        <v>5</v>
      </c>
      <c r="Z3">
        <v>3</v>
      </c>
      <c r="AA3">
        <v>2437.5</v>
      </c>
      <c r="AB3">
        <v>0</v>
      </c>
      <c r="AC3">
        <f t="shared" si="9"/>
        <v>0</v>
      </c>
      <c r="AD3">
        <v>7312.5</v>
      </c>
      <c r="AE3">
        <f t="shared" si="10"/>
        <v>7312.5</v>
      </c>
      <c r="AF3">
        <v>4904.73</v>
      </c>
      <c r="AG3">
        <v>2407.77</v>
      </c>
      <c r="AH3">
        <f t="shared" si="11"/>
        <v>2407.77</v>
      </c>
      <c r="AI3">
        <f t="shared" si="12"/>
        <v>0.329267692307692</v>
      </c>
      <c r="AJ3" t="s">
        <v>77</v>
      </c>
      <c r="AK3" t="str">
        <f t="shared" si="13"/>
        <v>Paid</v>
      </c>
      <c r="AL3" t="s">
        <v>78</v>
      </c>
      <c r="AM3" t="str">
        <f t="shared" si="14"/>
        <v>Completed</v>
      </c>
      <c r="AN3">
        <v>8</v>
      </c>
      <c r="AO3">
        <v>2024</v>
      </c>
      <c r="AP3" t="s">
        <v>79</v>
      </c>
    </row>
    <row r="4" spans="1:42">
      <c r="A4" t="s">
        <v>91</v>
      </c>
      <c r="B4" s="3" t="s">
        <v>92</v>
      </c>
      <c r="C4" s="3">
        <v>45451</v>
      </c>
      <c r="D4" t="s">
        <v>93</v>
      </c>
      <c r="E4" s="3">
        <v>45458</v>
      </c>
      <c r="F4" t="s">
        <v>94</v>
      </c>
      <c r="G4" t="s">
        <v>95</v>
      </c>
      <c r="H4" t="str">
        <f t="shared" si="0"/>
        <v>Isha Nair</v>
      </c>
      <c r="I4" t="s">
        <v>71</v>
      </c>
      <c r="J4" t="str">
        <f t="shared" si="1"/>
        <v>Consumer</v>
      </c>
      <c r="K4" t="s">
        <v>7</v>
      </c>
      <c r="L4" t="str">
        <f t="shared" si="2"/>
        <v>East</v>
      </c>
      <c r="M4" t="s">
        <v>86</v>
      </c>
      <c r="N4" t="str">
        <f t="shared" si="3"/>
        <v>Odisha</v>
      </c>
      <c r="O4" t="s">
        <v>87</v>
      </c>
      <c r="P4" t="str">
        <f t="shared" si="4"/>
        <v>Bhubaneswar</v>
      </c>
      <c r="Q4" t="s">
        <v>22</v>
      </c>
      <c r="R4" t="str">
        <f t="shared" si="5"/>
        <v>Office Supplies</v>
      </c>
      <c r="S4" t="s">
        <v>96</v>
      </c>
      <c r="T4" t="str">
        <f t="shared" si="6"/>
        <v>Art</v>
      </c>
      <c r="U4" t="s">
        <v>97</v>
      </c>
      <c r="V4" t="str">
        <f t="shared" si="7"/>
        <v>Elite Art 525</v>
      </c>
      <c r="W4" t="s">
        <v>98</v>
      </c>
      <c r="X4" t="str">
        <f t="shared" si="8"/>
        <v>First Class</v>
      </c>
      <c r="Y4">
        <v>7</v>
      </c>
      <c r="Z4">
        <v>4</v>
      </c>
      <c r="AA4">
        <v>1065.43</v>
      </c>
      <c r="AB4">
        <v>0.55</v>
      </c>
      <c r="AC4">
        <f t="shared" si="9"/>
        <v>0.55</v>
      </c>
      <c r="AD4">
        <v>4261.72</v>
      </c>
      <c r="AE4">
        <f t="shared" si="10"/>
        <v>1917.774</v>
      </c>
      <c r="AF4">
        <v>2465.69</v>
      </c>
      <c r="AG4">
        <v>1796.03</v>
      </c>
      <c r="AH4">
        <f t="shared" si="11"/>
        <v>-547.916</v>
      </c>
      <c r="AI4">
        <f t="shared" si="12"/>
        <v>-0.285704154921279</v>
      </c>
      <c r="AJ4" t="s">
        <v>77</v>
      </c>
      <c r="AK4" t="str">
        <f t="shared" si="13"/>
        <v>Paid</v>
      </c>
      <c r="AL4" t="s">
        <v>78</v>
      </c>
      <c r="AM4" t="str">
        <f t="shared" si="14"/>
        <v>Completed</v>
      </c>
      <c r="AN4">
        <v>6</v>
      </c>
      <c r="AO4">
        <v>2024</v>
      </c>
      <c r="AP4" t="s">
        <v>79</v>
      </c>
    </row>
    <row r="5" spans="1:42">
      <c r="A5" t="s">
        <v>99</v>
      </c>
      <c r="B5" s="3" t="s">
        <v>100</v>
      </c>
      <c r="C5" s="3">
        <v>45624</v>
      </c>
      <c r="D5" t="s">
        <v>101</v>
      </c>
      <c r="E5" s="3">
        <v>45625</v>
      </c>
      <c r="F5" t="s">
        <v>102</v>
      </c>
      <c r="G5" t="s">
        <v>103</v>
      </c>
      <c r="H5" t="str">
        <f t="shared" si="0"/>
        <v>Arjun Bose</v>
      </c>
      <c r="I5" t="s">
        <v>85</v>
      </c>
      <c r="J5" t="str">
        <f t="shared" si="1"/>
        <v>Small Business</v>
      </c>
      <c r="K5" t="s">
        <v>10</v>
      </c>
      <c r="L5" t="str">
        <f t="shared" si="2"/>
        <v>South</v>
      </c>
      <c r="M5" t="s">
        <v>104</v>
      </c>
      <c r="N5" t="str">
        <f t="shared" si="3"/>
        <v>Telangana</v>
      </c>
      <c r="O5" t="s">
        <v>105</v>
      </c>
      <c r="P5" t="str">
        <f t="shared" si="4"/>
        <v>Hyderabad</v>
      </c>
      <c r="Q5" t="s">
        <v>19</v>
      </c>
      <c r="R5" t="str">
        <f t="shared" si="5"/>
        <v>Furniture</v>
      </c>
      <c r="S5" t="s">
        <v>106</v>
      </c>
      <c r="T5" t="str">
        <f t="shared" si="6"/>
        <v>Furnishings</v>
      </c>
      <c r="U5" t="s">
        <v>107</v>
      </c>
      <c r="V5" t="str">
        <f t="shared" si="7"/>
        <v>Smart Furnishings 294</v>
      </c>
      <c r="W5" t="s">
        <v>108</v>
      </c>
      <c r="X5" t="str">
        <f t="shared" si="8"/>
        <v>Standard Class</v>
      </c>
      <c r="Y5">
        <v>1</v>
      </c>
      <c r="Z5">
        <v>6</v>
      </c>
      <c r="AA5">
        <v>1848.43</v>
      </c>
      <c r="AB5">
        <v>0.25</v>
      </c>
      <c r="AC5">
        <f t="shared" si="9"/>
        <v>0.25</v>
      </c>
      <c r="AD5">
        <v>8317.93</v>
      </c>
      <c r="AE5">
        <f t="shared" si="10"/>
        <v>8317.935</v>
      </c>
      <c r="AF5">
        <v>6796.77</v>
      </c>
      <c r="AG5">
        <v>1521.16</v>
      </c>
      <c r="AH5">
        <f t="shared" si="11"/>
        <v>1521.165</v>
      </c>
      <c r="AI5">
        <f t="shared" si="12"/>
        <v>0.182877721453702</v>
      </c>
      <c r="AJ5" t="s">
        <v>77</v>
      </c>
      <c r="AK5" t="str">
        <f t="shared" si="13"/>
        <v>Paid</v>
      </c>
      <c r="AL5" t="s">
        <v>78</v>
      </c>
      <c r="AM5" t="str">
        <f t="shared" si="14"/>
        <v>Completed</v>
      </c>
      <c r="AN5">
        <v>11</v>
      </c>
      <c r="AO5">
        <v>2024</v>
      </c>
      <c r="AP5" t="s">
        <v>79</v>
      </c>
    </row>
    <row r="6" spans="1:42">
      <c r="A6" t="s">
        <v>109</v>
      </c>
      <c r="B6" s="3" t="s">
        <v>110</v>
      </c>
      <c r="C6" s="3">
        <v>45898</v>
      </c>
      <c r="D6" t="s">
        <v>111</v>
      </c>
      <c r="E6" s="3">
        <v>45901</v>
      </c>
      <c r="F6" t="s">
        <v>112</v>
      </c>
      <c r="G6" t="s">
        <v>113</v>
      </c>
      <c r="H6" t="str">
        <f t="shared" si="0"/>
        <v>Ananya Rao</v>
      </c>
      <c r="I6" t="s">
        <v>85</v>
      </c>
      <c r="J6" t="str">
        <f t="shared" si="1"/>
        <v>Small Business</v>
      </c>
      <c r="K6" t="s">
        <v>11</v>
      </c>
      <c r="L6" t="str">
        <f t="shared" si="2"/>
        <v>West</v>
      </c>
      <c r="M6" t="s">
        <v>114</v>
      </c>
      <c r="N6" t="str">
        <f t="shared" si="3"/>
        <v>Maharashtra</v>
      </c>
      <c r="O6" t="s">
        <v>115</v>
      </c>
      <c r="P6" t="str">
        <f t="shared" si="4"/>
        <v>Mumbai</v>
      </c>
      <c r="Q6" t="s">
        <v>19</v>
      </c>
      <c r="R6" t="str">
        <f t="shared" si="5"/>
        <v>Furniture</v>
      </c>
      <c r="S6" t="s">
        <v>116</v>
      </c>
      <c r="T6" t="str">
        <f t="shared" si="6"/>
        <v>Chairs</v>
      </c>
      <c r="U6" t="s">
        <v>117</v>
      </c>
      <c r="V6" t="str">
        <f t="shared" si="7"/>
        <v>Elite Chairs 543</v>
      </c>
      <c r="W6" t="s">
        <v>98</v>
      </c>
      <c r="X6" t="str">
        <f t="shared" si="8"/>
        <v>First Class</v>
      </c>
      <c r="Y6">
        <v>3</v>
      </c>
      <c r="Z6">
        <v>7</v>
      </c>
      <c r="AA6">
        <v>2973.76</v>
      </c>
      <c r="AB6">
        <v>0</v>
      </c>
      <c r="AC6">
        <f t="shared" si="9"/>
        <v>0</v>
      </c>
      <c r="AD6">
        <v>20816.32</v>
      </c>
      <c r="AE6">
        <f t="shared" si="10"/>
        <v>20816.32</v>
      </c>
      <c r="AF6">
        <v>17705.37</v>
      </c>
      <c r="AG6">
        <v>3110.95</v>
      </c>
      <c r="AH6">
        <f t="shared" si="11"/>
        <v>3110.95</v>
      </c>
      <c r="AI6">
        <f t="shared" si="12"/>
        <v>0.149447644924751</v>
      </c>
      <c r="AJ6" t="s">
        <v>77</v>
      </c>
      <c r="AK6" t="str">
        <f t="shared" si="13"/>
        <v>Paid</v>
      </c>
      <c r="AL6" t="s">
        <v>118</v>
      </c>
      <c r="AM6" t="str">
        <f t="shared" si="14"/>
        <v>Cancelled</v>
      </c>
      <c r="AN6">
        <v>8</v>
      </c>
      <c r="AO6">
        <v>2025</v>
      </c>
      <c r="AP6" t="s">
        <v>79</v>
      </c>
    </row>
    <row r="7" spans="1:42">
      <c r="A7" t="s">
        <v>119</v>
      </c>
      <c r="B7" s="3" t="s">
        <v>120</v>
      </c>
      <c r="C7" s="3">
        <v>45436</v>
      </c>
      <c r="D7" t="s">
        <v>121</v>
      </c>
      <c r="E7" s="3">
        <v>45440</v>
      </c>
      <c r="F7" t="s">
        <v>122</v>
      </c>
      <c r="G7" t="s">
        <v>123</v>
      </c>
      <c r="H7" t="str">
        <f t="shared" si="0"/>
        <v>Vikram Iyer</v>
      </c>
      <c r="I7" t="s">
        <v>85</v>
      </c>
      <c r="J7" t="str">
        <f t="shared" si="1"/>
        <v>Small Business</v>
      </c>
      <c r="K7" t="s">
        <v>11</v>
      </c>
      <c r="L7" t="str">
        <f t="shared" si="2"/>
        <v>West</v>
      </c>
      <c r="M7" t="s">
        <v>124</v>
      </c>
      <c r="N7" t="str">
        <f t="shared" si="3"/>
        <v>Madhya Pradesh</v>
      </c>
      <c r="O7" t="s">
        <v>125</v>
      </c>
      <c r="P7" t="str">
        <f t="shared" si="4"/>
        <v>Indore</v>
      </c>
      <c r="Q7" t="s">
        <v>24</v>
      </c>
      <c r="R7" t="str">
        <f t="shared" si="5"/>
        <v>Technology</v>
      </c>
      <c r="S7" t="s">
        <v>126</v>
      </c>
      <c r="T7" t="str">
        <f t="shared" si="6"/>
        <v>Accessories</v>
      </c>
      <c r="U7" t="s">
        <v>127</v>
      </c>
      <c r="V7" t="str">
        <f t="shared" si="7"/>
        <v>Pro Accessories 821</v>
      </c>
      <c r="W7" t="s">
        <v>90</v>
      </c>
      <c r="X7" t="str">
        <f t="shared" si="8"/>
        <v>Same Day</v>
      </c>
      <c r="Y7">
        <v>4</v>
      </c>
      <c r="Z7">
        <v>3</v>
      </c>
      <c r="AA7">
        <v>1053.11</v>
      </c>
      <c r="AB7">
        <v>0.2</v>
      </c>
      <c r="AC7">
        <f t="shared" si="9"/>
        <v>0.2</v>
      </c>
      <c r="AD7">
        <v>2527.46</v>
      </c>
      <c r="AE7">
        <f t="shared" si="10"/>
        <v>2527.464</v>
      </c>
      <c r="AF7">
        <v>1533.58</v>
      </c>
      <c r="AG7">
        <v>993.88</v>
      </c>
      <c r="AH7">
        <f t="shared" si="11"/>
        <v>993.884</v>
      </c>
      <c r="AI7">
        <f t="shared" si="12"/>
        <v>0.393233691953674</v>
      </c>
      <c r="AJ7" t="s">
        <v>77</v>
      </c>
      <c r="AK7" t="str">
        <f t="shared" si="13"/>
        <v>Paid</v>
      </c>
      <c r="AL7" t="s">
        <v>78</v>
      </c>
      <c r="AM7" t="str">
        <f t="shared" si="14"/>
        <v>Completed</v>
      </c>
      <c r="AN7">
        <v>5</v>
      </c>
      <c r="AO7">
        <v>2024</v>
      </c>
      <c r="AP7" t="s">
        <v>79</v>
      </c>
    </row>
    <row r="8" spans="1:42">
      <c r="A8" t="s">
        <v>128</v>
      </c>
      <c r="B8" s="3" t="s">
        <v>129</v>
      </c>
      <c r="C8" s="3">
        <v>45757</v>
      </c>
      <c r="D8" t="s">
        <v>130</v>
      </c>
      <c r="E8" s="3">
        <v>45763</v>
      </c>
      <c r="F8" t="s">
        <v>131</v>
      </c>
      <c r="G8" t="s">
        <v>132</v>
      </c>
      <c r="H8" t="str">
        <f t="shared" si="0"/>
        <v>Neha Gupta</v>
      </c>
      <c r="I8" t="s">
        <v>71</v>
      </c>
      <c r="J8" t="str">
        <f t="shared" si="1"/>
        <v>Consumer</v>
      </c>
      <c r="K8" t="s">
        <v>7</v>
      </c>
      <c r="L8" t="str">
        <f t="shared" si="2"/>
        <v>East</v>
      </c>
      <c r="M8" t="s">
        <v>86</v>
      </c>
      <c r="N8" t="str">
        <f t="shared" si="3"/>
        <v>Odisha</v>
      </c>
      <c r="O8" t="s">
        <v>87</v>
      </c>
      <c r="P8" t="str">
        <f t="shared" si="4"/>
        <v>Bhubaneswar</v>
      </c>
      <c r="Q8" t="s">
        <v>24</v>
      </c>
      <c r="R8" t="str">
        <f t="shared" si="5"/>
        <v>Technology</v>
      </c>
      <c r="S8" t="s">
        <v>133</v>
      </c>
      <c r="T8" t="str">
        <f t="shared" si="6"/>
        <v>Copiers</v>
      </c>
      <c r="U8" t="s">
        <v>134</v>
      </c>
      <c r="V8" t="str">
        <f t="shared" si="7"/>
        <v>Eco Copiers 790</v>
      </c>
      <c r="W8" t="s">
        <v>108</v>
      </c>
      <c r="X8" t="str">
        <f t="shared" si="8"/>
        <v>Standard Class</v>
      </c>
      <c r="Y8">
        <v>6</v>
      </c>
      <c r="Z8">
        <v>4</v>
      </c>
      <c r="AA8">
        <v>1719.87</v>
      </c>
      <c r="AB8">
        <v>0.15</v>
      </c>
      <c r="AC8">
        <f t="shared" si="9"/>
        <v>0.15</v>
      </c>
      <c r="AD8">
        <v>5847.56</v>
      </c>
      <c r="AE8">
        <f t="shared" si="10"/>
        <v>5847.558</v>
      </c>
      <c r="AF8">
        <v>4727.25</v>
      </c>
      <c r="AG8">
        <v>1120.31</v>
      </c>
      <c r="AH8">
        <f t="shared" si="11"/>
        <v>1120.308</v>
      </c>
      <c r="AI8">
        <f t="shared" si="12"/>
        <v>0.191585615739083</v>
      </c>
      <c r="AJ8" t="s">
        <v>77</v>
      </c>
      <c r="AK8" t="str">
        <f t="shared" si="13"/>
        <v>Paid</v>
      </c>
      <c r="AL8" t="s">
        <v>78</v>
      </c>
      <c r="AM8" t="str">
        <f t="shared" si="14"/>
        <v>Completed</v>
      </c>
      <c r="AN8">
        <v>4</v>
      </c>
      <c r="AO8">
        <v>2025</v>
      </c>
      <c r="AP8" t="s">
        <v>79</v>
      </c>
    </row>
    <row r="9" spans="1:42">
      <c r="A9" t="s">
        <v>135</v>
      </c>
      <c r="B9" s="3" t="s">
        <v>136</v>
      </c>
      <c r="C9" s="3">
        <v>45711</v>
      </c>
      <c r="D9" t="s">
        <v>137</v>
      </c>
      <c r="E9" s="3">
        <v>45714</v>
      </c>
      <c r="F9" t="s">
        <v>138</v>
      </c>
      <c r="G9" t="s">
        <v>95</v>
      </c>
      <c r="H9" t="str">
        <f t="shared" si="0"/>
        <v>Isha Nair</v>
      </c>
      <c r="I9" t="s">
        <v>85</v>
      </c>
      <c r="J9" t="str">
        <f t="shared" si="1"/>
        <v>Small Business</v>
      </c>
      <c r="K9" t="s">
        <v>10</v>
      </c>
      <c r="L9" t="str">
        <f t="shared" si="2"/>
        <v>South</v>
      </c>
      <c r="M9" t="s">
        <v>139</v>
      </c>
      <c r="N9" t="str">
        <f t="shared" si="3"/>
        <v>Andhra Pradesh</v>
      </c>
      <c r="O9" t="s">
        <v>140</v>
      </c>
      <c r="P9" t="str">
        <f t="shared" si="4"/>
        <v>Vijayawada</v>
      </c>
      <c r="Q9" t="s">
        <v>22</v>
      </c>
      <c r="R9" t="str">
        <f t="shared" si="5"/>
        <v>Office Supplies</v>
      </c>
      <c r="S9" t="s">
        <v>96</v>
      </c>
      <c r="T9" t="str">
        <f t="shared" si="6"/>
        <v>Art</v>
      </c>
      <c r="U9" t="s">
        <v>141</v>
      </c>
      <c r="V9" t="str">
        <f t="shared" si="7"/>
        <v>Eco Art 848</v>
      </c>
      <c r="W9" t="s">
        <v>98</v>
      </c>
      <c r="X9" t="str">
        <f t="shared" si="8"/>
        <v>First Class</v>
      </c>
      <c r="Y9">
        <v>3</v>
      </c>
      <c r="Z9">
        <v>1</v>
      </c>
      <c r="AA9">
        <v>2980.71</v>
      </c>
      <c r="AB9">
        <v>0</v>
      </c>
      <c r="AC9">
        <f t="shared" si="9"/>
        <v>0</v>
      </c>
      <c r="AD9">
        <v>2980.71</v>
      </c>
      <c r="AE9">
        <f t="shared" si="10"/>
        <v>2980.71</v>
      </c>
      <c r="AF9">
        <v>2357.22</v>
      </c>
      <c r="AG9">
        <v>623.49</v>
      </c>
      <c r="AH9">
        <f t="shared" si="11"/>
        <v>623.49</v>
      </c>
      <c r="AI9">
        <f t="shared" si="12"/>
        <v>0.20917499521926</v>
      </c>
      <c r="AJ9" t="s">
        <v>77</v>
      </c>
      <c r="AK9" t="str">
        <f t="shared" si="13"/>
        <v>Paid</v>
      </c>
      <c r="AL9" t="s">
        <v>78</v>
      </c>
      <c r="AM9" t="str">
        <f t="shared" si="14"/>
        <v>Completed</v>
      </c>
      <c r="AN9">
        <v>2</v>
      </c>
      <c r="AO9">
        <v>2025</v>
      </c>
      <c r="AP9" t="s">
        <v>79</v>
      </c>
    </row>
    <row r="10" spans="1:42">
      <c r="A10" t="s">
        <v>142</v>
      </c>
      <c r="B10" s="3" t="s">
        <v>143</v>
      </c>
      <c r="C10" s="3">
        <v>45601</v>
      </c>
      <c r="D10" t="s">
        <v>144</v>
      </c>
      <c r="E10" s="3">
        <v>45606</v>
      </c>
      <c r="F10" t="s">
        <v>145</v>
      </c>
      <c r="G10" t="s">
        <v>146</v>
      </c>
      <c r="H10" t="str">
        <f t="shared" si="0"/>
        <v>Aditi Sen</v>
      </c>
      <c r="I10" t="s">
        <v>147</v>
      </c>
      <c r="J10" t="str">
        <f t="shared" si="1"/>
        <v>Corporate</v>
      </c>
      <c r="K10" t="s">
        <v>10</v>
      </c>
      <c r="L10" t="str">
        <f t="shared" si="2"/>
        <v>South</v>
      </c>
      <c r="M10" t="s">
        <v>104</v>
      </c>
      <c r="N10" t="str">
        <f t="shared" si="3"/>
        <v>Telangana</v>
      </c>
      <c r="O10" t="s">
        <v>105</v>
      </c>
      <c r="P10" t="str">
        <f t="shared" si="4"/>
        <v>Hyderabad</v>
      </c>
      <c r="Q10" t="s">
        <v>22</v>
      </c>
      <c r="R10" t="str">
        <f t="shared" si="5"/>
        <v>Office Supplies</v>
      </c>
      <c r="S10" t="s">
        <v>148</v>
      </c>
      <c r="T10" t="str">
        <f t="shared" si="6"/>
        <v>Labels</v>
      </c>
      <c r="U10" t="s">
        <v>149</v>
      </c>
      <c r="V10" t="str">
        <f t="shared" si="7"/>
        <v>Classic Labels 815</v>
      </c>
      <c r="W10" t="s">
        <v>98</v>
      </c>
      <c r="X10" t="str">
        <f t="shared" si="8"/>
        <v>First Class</v>
      </c>
      <c r="Y10">
        <v>5</v>
      </c>
      <c r="Z10">
        <v>8</v>
      </c>
      <c r="AA10">
        <v>3134.2</v>
      </c>
      <c r="AB10">
        <v>0</v>
      </c>
      <c r="AC10">
        <f t="shared" si="9"/>
        <v>0</v>
      </c>
      <c r="AD10">
        <v>25073.6</v>
      </c>
      <c r="AE10">
        <f t="shared" si="10"/>
        <v>25073.6</v>
      </c>
      <c r="AF10">
        <v>17347.23</v>
      </c>
      <c r="AG10">
        <v>7726.37</v>
      </c>
      <c r="AH10">
        <f t="shared" si="11"/>
        <v>7726.37</v>
      </c>
      <c r="AI10">
        <f t="shared" si="12"/>
        <v>0.308147613426074</v>
      </c>
      <c r="AJ10" t="s">
        <v>77</v>
      </c>
      <c r="AK10" t="str">
        <f t="shared" si="13"/>
        <v>Paid</v>
      </c>
      <c r="AL10" t="s">
        <v>78</v>
      </c>
      <c r="AM10" t="str">
        <f t="shared" si="14"/>
        <v>Completed</v>
      </c>
      <c r="AN10">
        <v>11</v>
      </c>
      <c r="AO10">
        <v>2024</v>
      </c>
      <c r="AP10" t="s">
        <v>79</v>
      </c>
    </row>
    <row r="11" spans="1:42">
      <c r="A11" t="s">
        <v>150</v>
      </c>
      <c r="B11" s="3" t="s">
        <v>151</v>
      </c>
      <c r="C11" s="3">
        <v>45907</v>
      </c>
      <c r="D11" t="s">
        <v>152</v>
      </c>
      <c r="E11" s="3">
        <v>45912</v>
      </c>
      <c r="F11" t="s">
        <v>153</v>
      </c>
      <c r="G11" t="s">
        <v>84</v>
      </c>
      <c r="H11" t="str">
        <f t="shared" si="0"/>
        <v>Mira Das</v>
      </c>
      <c r="I11" t="s">
        <v>154</v>
      </c>
      <c r="J11" t="str">
        <f t="shared" si="1"/>
        <v>Home Office</v>
      </c>
      <c r="K11" t="s">
        <v>10</v>
      </c>
      <c r="L11" t="str">
        <f t="shared" si="2"/>
        <v>South</v>
      </c>
      <c r="M11" t="s">
        <v>104</v>
      </c>
      <c r="N11" t="str">
        <f t="shared" si="3"/>
        <v>Telangana</v>
      </c>
      <c r="O11" t="s">
        <v>105</v>
      </c>
      <c r="P11" t="str">
        <f t="shared" si="4"/>
        <v>Hyderabad</v>
      </c>
      <c r="Q11" t="s">
        <v>22</v>
      </c>
      <c r="R11" t="str">
        <f t="shared" si="5"/>
        <v>Office Supplies</v>
      </c>
      <c r="S11" t="s">
        <v>74</v>
      </c>
      <c r="T11" t="str">
        <f t="shared" si="6"/>
        <v>Paper</v>
      </c>
      <c r="U11" t="s">
        <v>155</v>
      </c>
      <c r="V11" t="str">
        <f t="shared" si="7"/>
        <v>Pro Paper 622</v>
      </c>
      <c r="W11" t="s">
        <v>76</v>
      </c>
      <c r="X11" t="str">
        <f t="shared" si="8"/>
        <v>Second Class</v>
      </c>
      <c r="Y11">
        <v>5</v>
      </c>
      <c r="Z11">
        <v>9</v>
      </c>
      <c r="AA11">
        <v>852.04</v>
      </c>
      <c r="AB11">
        <v>0.2</v>
      </c>
      <c r="AC11">
        <f t="shared" si="9"/>
        <v>0.2</v>
      </c>
      <c r="AD11">
        <v>6134.69</v>
      </c>
      <c r="AE11">
        <f t="shared" si="10"/>
        <v>6134.688</v>
      </c>
      <c r="AF11">
        <v>3800.19</v>
      </c>
      <c r="AG11">
        <v>2334.5</v>
      </c>
      <c r="AH11">
        <f t="shared" si="11"/>
        <v>2334.498</v>
      </c>
      <c r="AI11">
        <f t="shared" si="12"/>
        <v>0.380540624070857</v>
      </c>
      <c r="AJ11" t="s">
        <v>77</v>
      </c>
      <c r="AK11" t="str">
        <f t="shared" si="13"/>
        <v>Paid</v>
      </c>
      <c r="AL11" t="s">
        <v>78</v>
      </c>
      <c r="AM11" t="str">
        <f t="shared" si="14"/>
        <v>Completed</v>
      </c>
      <c r="AN11">
        <v>9</v>
      </c>
      <c r="AO11">
        <v>2025</v>
      </c>
      <c r="AP11" t="s">
        <v>79</v>
      </c>
    </row>
    <row r="12" spans="1:42">
      <c r="A12" t="s">
        <v>156</v>
      </c>
      <c r="B12" s="3" t="s">
        <v>157</v>
      </c>
      <c r="C12" s="3">
        <v>45797</v>
      </c>
      <c r="D12" t="s">
        <v>158</v>
      </c>
      <c r="E12" s="3">
        <v>45797</v>
      </c>
      <c r="F12" t="s">
        <v>159</v>
      </c>
      <c r="G12" t="s">
        <v>113</v>
      </c>
      <c r="H12" t="str">
        <f t="shared" si="0"/>
        <v>Ananya Rao</v>
      </c>
      <c r="I12" t="s">
        <v>147</v>
      </c>
      <c r="J12" t="str">
        <f t="shared" si="1"/>
        <v>Corporate</v>
      </c>
      <c r="K12" t="s">
        <v>7</v>
      </c>
      <c r="L12" t="str">
        <f t="shared" si="2"/>
        <v>East</v>
      </c>
      <c r="M12" t="s">
        <v>160</v>
      </c>
      <c r="N12" t="str">
        <f t="shared" si="3"/>
        <v>West Bengal</v>
      </c>
      <c r="O12" t="s">
        <v>161</v>
      </c>
      <c r="P12" t="str">
        <f t="shared" si="4"/>
        <v>Kolkata</v>
      </c>
      <c r="Q12" t="s">
        <v>22</v>
      </c>
      <c r="R12" t="str">
        <f t="shared" si="5"/>
        <v>Office Supplies</v>
      </c>
      <c r="S12" t="s">
        <v>148</v>
      </c>
      <c r="T12" t="str">
        <f t="shared" si="6"/>
        <v>Labels</v>
      </c>
      <c r="U12" t="s">
        <v>162</v>
      </c>
      <c r="V12" t="str">
        <f t="shared" si="7"/>
        <v>Prime Labels 644</v>
      </c>
      <c r="W12" t="s">
        <v>76</v>
      </c>
      <c r="X12" t="str">
        <f t="shared" si="8"/>
        <v>Second Class</v>
      </c>
      <c r="Y12">
        <v>0</v>
      </c>
      <c r="Z12">
        <v>3</v>
      </c>
      <c r="AA12">
        <v>3534.83</v>
      </c>
      <c r="AB12">
        <v>0.05</v>
      </c>
      <c r="AC12">
        <f t="shared" si="9"/>
        <v>0.05</v>
      </c>
      <c r="AD12">
        <v>10074.27</v>
      </c>
      <c r="AE12">
        <f t="shared" si="10"/>
        <v>10074.2655</v>
      </c>
      <c r="AF12">
        <v>6048.27</v>
      </c>
      <c r="AG12">
        <v>4026</v>
      </c>
      <c r="AH12">
        <f t="shared" si="11"/>
        <v>4025.9955</v>
      </c>
      <c r="AI12">
        <f t="shared" si="12"/>
        <v>0.399631665454916</v>
      </c>
      <c r="AJ12" t="s">
        <v>163</v>
      </c>
      <c r="AK12" t="str">
        <f t="shared" si="13"/>
        <v>Refunded</v>
      </c>
      <c r="AL12" t="s">
        <v>164</v>
      </c>
      <c r="AM12" t="str">
        <f t="shared" si="14"/>
        <v>Returned</v>
      </c>
      <c r="AN12">
        <v>5</v>
      </c>
      <c r="AO12">
        <v>2025</v>
      </c>
      <c r="AP12" t="s">
        <v>79</v>
      </c>
    </row>
    <row r="13" spans="1:42">
      <c r="A13" t="s">
        <v>165</v>
      </c>
      <c r="B13" s="3" t="s">
        <v>166</v>
      </c>
      <c r="C13" s="3">
        <v>45495</v>
      </c>
      <c r="D13" t="s">
        <v>167</v>
      </c>
      <c r="E13" s="3">
        <v>45496</v>
      </c>
      <c r="F13" t="s">
        <v>168</v>
      </c>
      <c r="G13" t="s">
        <v>123</v>
      </c>
      <c r="H13" t="str">
        <f t="shared" si="0"/>
        <v>Vikram Iyer</v>
      </c>
      <c r="I13" t="s">
        <v>85</v>
      </c>
      <c r="J13" t="str">
        <f t="shared" si="1"/>
        <v>Small Business</v>
      </c>
      <c r="K13" t="s">
        <v>7</v>
      </c>
      <c r="L13" t="str">
        <f t="shared" si="2"/>
        <v>East</v>
      </c>
      <c r="M13" t="s">
        <v>86</v>
      </c>
      <c r="N13" t="str">
        <f t="shared" si="3"/>
        <v>Odisha</v>
      </c>
      <c r="O13" t="s">
        <v>87</v>
      </c>
      <c r="P13" t="str">
        <f t="shared" si="4"/>
        <v>Bhubaneswar</v>
      </c>
      <c r="Q13" t="s">
        <v>24</v>
      </c>
      <c r="R13" t="str">
        <f t="shared" si="5"/>
        <v>Technology</v>
      </c>
      <c r="S13" t="s">
        <v>126</v>
      </c>
      <c r="T13" t="str">
        <f t="shared" si="6"/>
        <v>Accessories</v>
      </c>
      <c r="U13" t="s">
        <v>169</v>
      </c>
      <c r="V13" t="str">
        <f t="shared" si="7"/>
        <v>Smart Accessories 603</v>
      </c>
      <c r="W13" t="s">
        <v>90</v>
      </c>
      <c r="X13" t="str">
        <f t="shared" si="8"/>
        <v>Same Day</v>
      </c>
      <c r="Y13">
        <v>1</v>
      </c>
      <c r="Z13">
        <v>6</v>
      </c>
      <c r="AA13">
        <v>2005.95</v>
      </c>
      <c r="AB13">
        <v>0.2</v>
      </c>
      <c r="AC13">
        <f t="shared" si="9"/>
        <v>0.2</v>
      </c>
      <c r="AD13">
        <v>9628.56</v>
      </c>
      <c r="AE13">
        <f t="shared" si="10"/>
        <v>9628.56</v>
      </c>
      <c r="AF13">
        <v>8038.59</v>
      </c>
      <c r="AG13">
        <v>1589.97</v>
      </c>
      <c r="AH13">
        <f t="shared" si="11"/>
        <v>1589.97</v>
      </c>
      <c r="AI13">
        <f t="shared" si="12"/>
        <v>0.165130611430993</v>
      </c>
      <c r="AJ13" t="s">
        <v>77</v>
      </c>
      <c r="AK13" t="str">
        <f t="shared" si="13"/>
        <v>Paid</v>
      </c>
      <c r="AL13" t="s">
        <v>78</v>
      </c>
      <c r="AM13" t="str">
        <f t="shared" si="14"/>
        <v>Completed</v>
      </c>
      <c r="AN13">
        <v>7</v>
      </c>
      <c r="AO13">
        <v>2024</v>
      </c>
      <c r="AP13" t="s">
        <v>79</v>
      </c>
    </row>
    <row r="14" spans="1:42">
      <c r="A14" t="s">
        <v>170</v>
      </c>
      <c r="B14" s="3" t="s">
        <v>171</v>
      </c>
      <c r="C14" s="3">
        <v>45646</v>
      </c>
      <c r="D14" t="s">
        <v>172</v>
      </c>
      <c r="E14" s="3">
        <v>45647</v>
      </c>
      <c r="F14" t="s">
        <v>173</v>
      </c>
      <c r="G14" t="s">
        <v>113</v>
      </c>
      <c r="H14" t="str">
        <f t="shared" si="0"/>
        <v>Ananya Rao</v>
      </c>
      <c r="I14" t="s">
        <v>174</v>
      </c>
      <c r="J14" t="str">
        <f t="shared" si="1"/>
        <v>Corporate</v>
      </c>
      <c r="K14" t="s">
        <v>11</v>
      </c>
      <c r="L14" t="str">
        <f t="shared" si="2"/>
        <v>West</v>
      </c>
      <c r="M14" t="s">
        <v>72</v>
      </c>
      <c r="N14" t="str">
        <f t="shared" si="3"/>
        <v>Rajasthan</v>
      </c>
      <c r="O14" t="s">
        <v>175</v>
      </c>
      <c r="P14" t="str">
        <f t="shared" si="4"/>
        <v>Udaipur</v>
      </c>
      <c r="Q14" t="s">
        <v>22</v>
      </c>
      <c r="R14" t="str">
        <f t="shared" si="5"/>
        <v>Office Supplies</v>
      </c>
      <c r="S14" t="s">
        <v>74</v>
      </c>
      <c r="T14" t="str">
        <f t="shared" si="6"/>
        <v>Paper</v>
      </c>
      <c r="U14" t="s">
        <v>176</v>
      </c>
      <c r="V14" t="str">
        <f t="shared" si="7"/>
        <v>Pro Paper 481</v>
      </c>
      <c r="W14" t="s">
        <v>98</v>
      </c>
      <c r="X14" t="str">
        <f t="shared" si="8"/>
        <v>First Class</v>
      </c>
      <c r="Y14">
        <v>1</v>
      </c>
      <c r="Z14">
        <v>1</v>
      </c>
      <c r="AA14">
        <v>702.14</v>
      </c>
      <c r="AB14">
        <v>0.15</v>
      </c>
      <c r="AC14">
        <f t="shared" si="9"/>
        <v>0.15</v>
      </c>
      <c r="AD14">
        <v>596.82</v>
      </c>
      <c r="AE14">
        <f t="shared" si="10"/>
        <v>596.819</v>
      </c>
      <c r="AF14">
        <v>380.25</v>
      </c>
      <c r="AG14">
        <v>216.57</v>
      </c>
      <c r="AH14">
        <f t="shared" si="11"/>
        <v>216.569</v>
      </c>
      <c r="AI14">
        <f t="shared" si="12"/>
        <v>0.362872160571295</v>
      </c>
      <c r="AJ14" t="s">
        <v>177</v>
      </c>
      <c r="AK14" t="str">
        <f t="shared" si="13"/>
        <v>Pending</v>
      </c>
      <c r="AL14" t="s">
        <v>164</v>
      </c>
      <c r="AM14" t="str">
        <f t="shared" si="14"/>
        <v>Returned</v>
      </c>
      <c r="AN14">
        <v>12</v>
      </c>
      <c r="AO14">
        <v>2024</v>
      </c>
      <c r="AP14" t="s">
        <v>79</v>
      </c>
    </row>
    <row r="15" spans="1:42">
      <c r="A15" t="s">
        <v>178</v>
      </c>
      <c r="B15" s="3" t="s">
        <v>179</v>
      </c>
      <c r="C15" s="3">
        <v>45942</v>
      </c>
      <c r="D15" t="s">
        <v>180</v>
      </c>
      <c r="E15" s="3">
        <v>45946</v>
      </c>
      <c r="F15" t="s">
        <v>181</v>
      </c>
      <c r="G15" t="s">
        <v>182</v>
      </c>
      <c r="H15" t="str">
        <f t="shared" si="0"/>
        <v>Priya Menon</v>
      </c>
      <c r="I15" t="s">
        <v>85</v>
      </c>
      <c r="J15" t="str">
        <f t="shared" si="1"/>
        <v>Small Business</v>
      </c>
      <c r="K15" t="s">
        <v>11</v>
      </c>
      <c r="L15" t="str">
        <f t="shared" si="2"/>
        <v>West</v>
      </c>
      <c r="M15" t="s">
        <v>114</v>
      </c>
      <c r="N15" t="str">
        <f t="shared" si="3"/>
        <v>Maharashtra</v>
      </c>
      <c r="O15" t="s">
        <v>115</v>
      </c>
      <c r="P15" t="str">
        <f t="shared" si="4"/>
        <v>Mumbai</v>
      </c>
      <c r="Q15" t="s">
        <v>22</v>
      </c>
      <c r="R15" t="str">
        <f t="shared" si="5"/>
        <v>Office Supplies</v>
      </c>
      <c r="S15" t="s">
        <v>96</v>
      </c>
      <c r="T15" t="str">
        <f t="shared" si="6"/>
        <v>Art</v>
      </c>
      <c r="U15" t="s">
        <v>183</v>
      </c>
      <c r="V15" t="str">
        <f t="shared" si="7"/>
        <v>Smart Art 795</v>
      </c>
      <c r="W15" t="s">
        <v>76</v>
      </c>
      <c r="X15" t="str">
        <f t="shared" si="8"/>
        <v>Second Class</v>
      </c>
      <c r="Y15">
        <v>4</v>
      </c>
      <c r="Z15">
        <v>7</v>
      </c>
      <c r="AA15">
        <v>3964.72</v>
      </c>
      <c r="AB15">
        <v>0.05</v>
      </c>
      <c r="AC15">
        <f t="shared" si="9"/>
        <v>0.05</v>
      </c>
      <c r="AD15">
        <v>26365.39</v>
      </c>
      <c r="AE15">
        <f t="shared" si="10"/>
        <v>26365.388</v>
      </c>
      <c r="AF15">
        <v>22306.24</v>
      </c>
      <c r="AG15">
        <v>4059.15</v>
      </c>
      <c r="AH15">
        <f t="shared" si="11"/>
        <v>4059.14799999999</v>
      </c>
      <c r="AI15">
        <f t="shared" si="12"/>
        <v>0.153957453613047</v>
      </c>
      <c r="AJ15" t="s">
        <v>77</v>
      </c>
      <c r="AK15" t="str">
        <f t="shared" si="13"/>
        <v>Paid</v>
      </c>
      <c r="AL15" t="s">
        <v>78</v>
      </c>
      <c r="AM15" t="str">
        <f t="shared" si="14"/>
        <v>Completed</v>
      </c>
      <c r="AN15">
        <v>10</v>
      </c>
      <c r="AO15">
        <v>2025</v>
      </c>
      <c r="AP15" t="s">
        <v>79</v>
      </c>
    </row>
    <row r="16" spans="1:42">
      <c r="A16" t="s">
        <v>184</v>
      </c>
      <c r="B16" s="3" t="s">
        <v>185</v>
      </c>
      <c r="C16" s="3">
        <v>45653</v>
      </c>
      <c r="D16" t="s">
        <v>186</v>
      </c>
      <c r="E16" s="3">
        <v>45654</v>
      </c>
      <c r="F16" t="s">
        <v>187</v>
      </c>
      <c r="G16" t="s">
        <v>188</v>
      </c>
      <c r="H16" t="str">
        <f t="shared" si="0"/>
        <v>Rahul Verma</v>
      </c>
      <c r="I16" t="s">
        <v>71</v>
      </c>
      <c r="J16" t="str">
        <f t="shared" si="1"/>
        <v>Consumer</v>
      </c>
      <c r="K16" t="s">
        <v>11</v>
      </c>
      <c r="L16" t="str">
        <f t="shared" si="2"/>
        <v>West</v>
      </c>
      <c r="M16" t="s">
        <v>72</v>
      </c>
      <c r="N16" t="str">
        <f t="shared" si="3"/>
        <v>Rajasthan</v>
      </c>
      <c r="O16" t="s">
        <v>175</v>
      </c>
      <c r="P16" t="str">
        <f t="shared" si="4"/>
        <v>Udaipur</v>
      </c>
      <c r="Q16" t="s">
        <v>24</v>
      </c>
      <c r="R16" t="str">
        <f t="shared" si="5"/>
        <v>Technology</v>
      </c>
      <c r="S16" t="s">
        <v>133</v>
      </c>
      <c r="T16" t="str">
        <f t="shared" si="6"/>
        <v>Copiers</v>
      </c>
      <c r="U16" t="s">
        <v>189</v>
      </c>
      <c r="V16" t="str">
        <f t="shared" si="7"/>
        <v>Max Copiers 983</v>
      </c>
      <c r="W16" t="s">
        <v>108</v>
      </c>
      <c r="X16" t="str">
        <f t="shared" si="8"/>
        <v>Standard Class</v>
      </c>
      <c r="Y16">
        <v>1</v>
      </c>
      <c r="Z16">
        <v>2</v>
      </c>
      <c r="AA16">
        <v>2737.83</v>
      </c>
      <c r="AB16">
        <v>0.25</v>
      </c>
      <c r="AC16">
        <f t="shared" si="9"/>
        <v>0.25</v>
      </c>
      <c r="AD16">
        <v>4106.74</v>
      </c>
      <c r="AE16">
        <f t="shared" si="10"/>
        <v>4106.745</v>
      </c>
      <c r="AF16">
        <v>2666.3</v>
      </c>
      <c r="AG16">
        <v>1440.44</v>
      </c>
      <c r="AH16">
        <f t="shared" si="11"/>
        <v>1440.445</v>
      </c>
      <c r="AI16">
        <f t="shared" si="12"/>
        <v>0.350751020577124</v>
      </c>
      <c r="AJ16" t="s">
        <v>77</v>
      </c>
      <c r="AK16" t="str">
        <f t="shared" si="13"/>
        <v>Paid</v>
      </c>
      <c r="AL16" t="s">
        <v>78</v>
      </c>
      <c r="AM16" t="str">
        <f t="shared" si="14"/>
        <v>Completed</v>
      </c>
      <c r="AN16">
        <v>12</v>
      </c>
      <c r="AO16">
        <v>2024</v>
      </c>
      <c r="AP16" t="s">
        <v>79</v>
      </c>
    </row>
    <row r="17" spans="1:42">
      <c r="A17" t="s">
        <v>190</v>
      </c>
      <c r="B17" s="3" t="s">
        <v>191</v>
      </c>
      <c r="C17" s="3">
        <v>45482</v>
      </c>
      <c r="D17" t="s">
        <v>192</v>
      </c>
      <c r="E17" s="3">
        <v>45482</v>
      </c>
      <c r="F17" t="s">
        <v>193</v>
      </c>
      <c r="G17" t="s">
        <v>70</v>
      </c>
      <c r="H17" t="str">
        <f t="shared" si="0"/>
        <v>Karan Malhotra</v>
      </c>
      <c r="I17" t="s">
        <v>85</v>
      </c>
      <c r="J17" t="str">
        <f t="shared" si="1"/>
        <v>Small Business</v>
      </c>
      <c r="K17" t="s">
        <v>8</v>
      </c>
      <c r="L17" t="str">
        <f t="shared" si="2"/>
        <v>North</v>
      </c>
      <c r="M17" t="s">
        <v>194</v>
      </c>
      <c r="N17" t="str">
        <f t="shared" si="3"/>
        <v>Punjab</v>
      </c>
      <c r="O17" t="s">
        <v>195</v>
      </c>
      <c r="P17" t="str">
        <f t="shared" si="4"/>
        <v>Ludhiana</v>
      </c>
      <c r="Q17" t="s">
        <v>22</v>
      </c>
      <c r="R17" t="str">
        <f t="shared" si="5"/>
        <v>Office Supplies</v>
      </c>
      <c r="S17" t="s">
        <v>196</v>
      </c>
      <c r="T17" t="str">
        <f t="shared" si="6"/>
        <v>Storage</v>
      </c>
      <c r="U17" t="s">
        <v>197</v>
      </c>
      <c r="V17" t="str">
        <f t="shared" si="7"/>
        <v>Classic Storage 198</v>
      </c>
      <c r="W17" t="s">
        <v>76</v>
      </c>
      <c r="X17" t="str">
        <f t="shared" si="8"/>
        <v>Second Class</v>
      </c>
      <c r="Y17">
        <v>0</v>
      </c>
      <c r="Z17">
        <v>6</v>
      </c>
      <c r="AA17">
        <v>3965.76</v>
      </c>
      <c r="AB17">
        <v>0</v>
      </c>
      <c r="AC17">
        <f t="shared" si="9"/>
        <v>0</v>
      </c>
      <c r="AD17">
        <v>23794.56</v>
      </c>
      <c r="AE17">
        <f t="shared" si="10"/>
        <v>23794.56</v>
      </c>
      <c r="AF17">
        <v>15698.47</v>
      </c>
      <c r="AG17">
        <v>8096.09</v>
      </c>
      <c r="AH17">
        <f t="shared" si="11"/>
        <v>8096.09</v>
      </c>
      <c r="AI17">
        <f t="shared" si="12"/>
        <v>0.340249620081229</v>
      </c>
      <c r="AJ17" t="s">
        <v>77</v>
      </c>
      <c r="AK17" t="str">
        <f t="shared" si="13"/>
        <v>Paid</v>
      </c>
      <c r="AL17" t="s">
        <v>78</v>
      </c>
      <c r="AM17" t="str">
        <f t="shared" si="14"/>
        <v>Completed</v>
      </c>
      <c r="AN17">
        <v>7</v>
      </c>
      <c r="AO17">
        <v>2024</v>
      </c>
      <c r="AP17" t="s">
        <v>79</v>
      </c>
    </row>
    <row r="18" spans="1:42">
      <c r="A18" t="s">
        <v>198</v>
      </c>
      <c r="B18" s="3" t="s">
        <v>199</v>
      </c>
      <c r="C18" s="3">
        <v>45420</v>
      </c>
      <c r="D18" t="s">
        <v>200</v>
      </c>
      <c r="E18" s="3">
        <v>45427</v>
      </c>
      <c r="F18" t="s">
        <v>201</v>
      </c>
      <c r="G18" t="s">
        <v>202</v>
      </c>
      <c r="H18" t="str">
        <f t="shared" si="0"/>
        <v>Aarav Sharma</v>
      </c>
      <c r="I18" t="s">
        <v>71</v>
      </c>
      <c r="J18" t="str">
        <f t="shared" si="1"/>
        <v>Consumer</v>
      </c>
      <c r="K18" t="s">
        <v>10</v>
      </c>
      <c r="L18" t="str">
        <f t="shared" si="2"/>
        <v>South</v>
      </c>
      <c r="M18" t="s">
        <v>104</v>
      </c>
      <c r="N18" t="str">
        <f t="shared" si="3"/>
        <v>Telangana</v>
      </c>
      <c r="O18" t="s">
        <v>105</v>
      </c>
      <c r="P18" t="str">
        <f t="shared" si="4"/>
        <v>Hyderabad</v>
      </c>
      <c r="Q18" t="s">
        <v>22</v>
      </c>
      <c r="R18" t="str">
        <f t="shared" si="5"/>
        <v>Office Supplies</v>
      </c>
      <c r="S18" t="s">
        <v>96</v>
      </c>
      <c r="T18" t="str">
        <f t="shared" si="6"/>
        <v>Art</v>
      </c>
      <c r="U18" t="s">
        <v>203</v>
      </c>
      <c r="V18" t="str">
        <f t="shared" si="7"/>
        <v>Basic Art 204</v>
      </c>
      <c r="W18" t="s">
        <v>98</v>
      </c>
      <c r="X18" t="str">
        <f t="shared" si="8"/>
        <v>First Class</v>
      </c>
      <c r="Y18">
        <v>7</v>
      </c>
      <c r="Z18">
        <v>4</v>
      </c>
      <c r="AA18">
        <v>3323.51</v>
      </c>
      <c r="AB18">
        <v>0.25</v>
      </c>
      <c r="AC18">
        <f t="shared" si="9"/>
        <v>0.25</v>
      </c>
      <c r="AD18">
        <v>9970.53</v>
      </c>
      <c r="AE18">
        <f t="shared" si="10"/>
        <v>9970.53</v>
      </c>
      <c r="AF18">
        <v>5668.17</v>
      </c>
      <c r="AG18">
        <v>4302.36</v>
      </c>
      <c r="AH18">
        <f t="shared" si="11"/>
        <v>4302.36</v>
      </c>
      <c r="AI18">
        <f t="shared" si="12"/>
        <v>0.431507653053549</v>
      </c>
      <c r="AJ18" t="s">
        <v>77</v>
      </c>
      <c r="AK18" t="str">
        <f t="shared" si="13"/>
        <v>Paid</v>
      </c>
      <c r="AL18" t="s">
        <v>78</v>
      </c>
      <c r="AM18" t="str">
        <f t="shared" si="14"/>
        <v>Completed</v>
      </c>
      <c r="AN18">
        <v>5</v>
      </c>
      <c r="AO18">
        <v>2024</v>
      </c>
      <c r="AP18" t="s">
        <v>79</v>
      </c>
    </row>
    <row r="19" spans="1:42">
      <c r="A19" t="s">
        <v>204</v>
      </c>
      <c r="B19" s="3" t="s">
        <v>205</v>
      </c>
      <c r="C19" s="3">
        <v>45298</v>
      </c>
      <c r="D19" t="s">
        <v>206</v>
      </c>
      <c r="E19" s="3">
        <v>45299</v>
      </c>
      <c r="F19" t="s">
        <v>207</v>
      </c>
      <c r="G19" t="s">
        <v>208</v>
      </c>
      <c r="H19" t="str">
        <f t="shared" si="0"/>
        <v>Sneha Kapoor</v>
      </c>
      <c r="I19" t="s">
        <v>85</v>
      </c>
      <c r="J19" t="str">
        <f t="shared" si="1"/>
        <v>Small Business</v>
      </c>
      <c r="K19" t="s">
        <v>8</v>
      </c>
      <c r="L19" t="str">
        <f t="shared" si="2"/>
        <v>North</v>
      </c>
      <c r="M19" t="s">
        <v>72</v>
      </c>
      <c r="N19" t="str">
        <f t="shared" si="3"/>
        <v>Rajasthan</v>
      </c>
      <c r="O19" t="s">
        <v>73</v>
      </c>
      <c r="P19" t="str">
        <f t="shared" si="4"/>
        <v>Jaipur</v>
      </c>
      <c r="Q19" t="s">
        <v>19</v>
      </c>
      <c r="R19" t="str">
        <f t="shared" si="5"/>
        <v>Furniture</v>
      </c>
      <c r="S19" t="s">
        <v>106</v>
      </c>
      <c r="T19" t="str">
        <f t="shared" si="6"/>
        <v>Furnishings</v>
      </c>
      <c r="U19" t="s">
        <v>209</v>
      </c>
      <c r="V19" t="str">
        <f t="shared" si="7"/>
        <v>Basic Furnishings 434</v>
      </c>
      <c r="W19" t="s">
        <v>90</v>
      </c>
      <c r="X19" t="str">
        <f t="shared" si="8"/>
        <v>Same Day</v>
      </c>
      <c r="Y19">
        <v>1</v>
      </c>
      <c r="Z19">
        <v>5</v>
      </c>
      <c r="AA19">
        <v>1526.78</v>
      </c>
      <c r="AB19">
        <v>0</v>
      </c>
      <c r="AC19">
        <f t="shared" si="9"/>
        <v>0</v>
      </c>
      <c r="AD19">
        <v>7633.9</v>
      </c>
      <c r="AE19">
        <f t="shared" si="10"/>
        <v>7633.9</v>
      </c>
      <c r="AF19">
        <v>4706.91</v>
      </c>
      <c r="AG19">
        <v>2926.99</v>
      </c>
      <c r="AH19">
        <f t="shared" si="11"/>
        <v>2926.99</v>
      </c>
      <c r="AI19">
        <f t="shared" si="12"/>
        <v>0.383420008121668</v>
      </c>
      <c r="AJ19" t="s">
        <v>77</v>
      </c>
      <c r="AK19" t="str">
        <f t="shared" si="13"/>
        <v>Paid</v>
      </c>
      <c r="AL19" t="s">
        <v>78</v>
      </c>
      <c r="AM19" t="str">
        <f t="shared" si="14"/>
        <v>Completed</v>
      </c>
      <c r="AN19">
        <v>1</v>
      </c>
      <c r="AO19">
        <v>2024</v>
      </c>
      <c r="AP19" t="s">
        <v>79</v>
      </c>
    </row>
    <row r="20" spans="1:42">
      <c r="A20" t="s">
        <v>210</v>
      </c>
      <c r="B20" s="3" t="s">
        <v>211</v>
      </c>
      <c r="C20" s="3">
        <v>45853</v>
      </c>
      <c r="D20" t="s">
        <v>212</v>
      </c>
      <c r="E20" s="3">
        <v>45855</v>
      </c>
      <c r="F20" t="s">
        <v>213</v>
      </c>
      <c r="G20" t="s">
        <v>202</v>
      </c>
      <c r="H20" t="str">
        <f t="shared" si="0"/>
        <v>Aarav Sharma</v>
      </c>
      <c r="I20" t="s">
        <v>154</v>
      </c>
      <c r="J20" t="str">
        <f t="shared" si="1"/>
        <v>Home Office</v>
      </c>
      <c r="K20" t="s">
        <v>8</v>
      </c>
      <c r="L20" t="str">
        <f t="shared" si="2"/>
        <v>North</v>
      </c>
      <c r="M20" t="s">
        <v>214</v>
      </c>
      <c r="N20" t="str">
        <f t="shared" si="3"/>
        <v>Uttar Pradesh</v>
      </c>
      <c r="O20" t="s">
        <v>215</v>
      </c>
      <c r="P20" t="str">
        <f t="shared" si="4"/>
        <v>Noida</v>
      </c>
      <c r="Q20" t="s">
        <v>24</v>
      </c>
      <c r="R20" t="str">
        <f t="shared" si="5"/>
        <v>Technology</v>
      </c>
      <c r="S20" t="s">
        <v>133</v>
      </c>
      <c r="T20" t="str">
        <f t="shared" si="6"/>
        <v>Copiers</v>
      </c>
      <c r="U20" t="s">
        <v>216</v>
      </c>
      <c r="V20" t="str">
        <f t="shared" si="7"/>
        <v>Eco Copiers 755</v>
      </c>
      <c r="W20" t="s">
        <v>98</v>
      </c>
      <c r="X20" t="str">
        <f t="shared" si="8"/>
        <v>First Class</v>
      </c>
      <c r="Y20">
        <v>2</v>
      </c>
      <c r="Z20">
        <v>2</v>
      </c>
      <c r="AA20">
        <v>1997.99</v>
      </c>
      <c r="AB20">
        <v>0</v>
      </c>
      <c r="AC20">
        <f t="shared" si="9"/>
        <v>0</v>
      </c>
      <c r="AD20">
        <v>3995.98</v>
      </c>
      <c r="AE20">
        <f t="shared" si="10"/>
        <v>3995.98</v>
      </c>
      <c r="AF20">
        <v>2633.2</v>
      </c>
      <c r="AG20">
        <v>1362.78</v>
      </c>
      <c r="AH20">
        <f t="shared" si="11"/>
        <v>1362.78</v>
      </c>
      <c r="AI20">
        <f t="shared" si="12"/>
        <v>0.341037742931646</v>
      </c>
      <c r="AJ20" t="s">
        <v>163</v>
      </c>
      <c r="AK20" t="str">
        <f t="shared" si="13"/>
        <v>Refunded</v>
      </c>
      <c r="AL20" t="s">
        <v>118</v>
      </c>
      <c r="AM20" t="str">
        <f t="shared" si="14"/>
        <v>Cancelled</v>
      </c>
      <c r="AN20">
        <v>7</v>
      </c>
      <c r="AO20">
        <v>2025</v>
      </c>
      <c r="AP20" t="s">
        <v>79</v>
      </c>
    </row>
    <row r="21" spans="1:42">
      <c r="A21" t="s">
        <v>217</v>
      </c>
      <c r="B21" s="3" t="s">
        <v>68</v>
      </c>
      <c r="C21" s="3">
        <v>45500</v>
      </c>
      <c r="D21" t="s">
        <v>218</v>
      </c>
      <c r="E21" s="3">
        <v>45504</v>
      </c>
      <c r="F21" t="s">
        <v>219</v>
      </c>
      <c r="G21" t="s">
        <v>220</v>
      </c>
      <c r="H21" t="str">
        <f t="shared" si="0"/>
        <v>Rohan Mehta</v>
      </c>
      <c r="I21" t="s">
        <v>154</v>
      </c>
      <c r="J21" t="str">
        <f t="shared" si="1"/>
        <v>Home Office</v>
      </c>
      <c r="K21" t="s">
        <v>11</v>
      </c>
      <c r="L21" t="str">
        <f t="shared" si="2"/>
        <v>West</v>
      </c>
      <c r="M21" t="s">
        <v>124</v>
      </c>
      <c r="N21" t="str">
        <f t="shared" si="3"/>
        <v>Madhya Pradesh</v>
      </c>
      <c r="O21" t="s">
        <v>125</v>
      </c>
      <c r="P21" t="str">
        <f t="shared" si="4"/>
        <v>Indore</v>
      </c>
      <c r="Q21" t="s">
        <v>22</v>
      </c>
      <c r="R21" t="str">
        <f t="shared" si="5"/>
        <v>Office Supplies</v>
      </c>
      <c r="S21" t="s">
        <v>196</v>
      </c>
      <c r="T21" t="str">
        <f t="shared" si="6"/>
        <v>Storage</v>
      </c>
      <c r="U21" t="s">
        <v>221</v>
      </c>
      <c r="V21" t="str">
        <f t="shared" si="7"/>
        <v>Prime Storage 121</v>
      </c>
      <c r="W21" t="s">
        <v>76</v>
      </c>
      <c r="X21" t="str">
        <f t="shared" si="8"/>
        <v>Second Class</v>
      </c>
      <c r="Y21">
        <v>4</v>
      </c>
      <c r="Z21">
        <v>3</v>
      </c>
      <c r="AA21">
        <v>3887.94</v>
      </c>
      <c r="AB21">
        <v>-0.19</v>
      </c>
      <c r="AC21">
        <f t="shared" si="9"/>
        <v>0</v>
      </c>
      <c r="AD21">
        <v>9331.06</v>
      </c>
      <c r="AE21">
        <f t="shared" si="10"/>
        <v>11663.82</v>
      </c>
      <c r="AF21">
        <v>7529.31</v>
      </c>
      <c r="AG21">
        <v>1801.75</v>
      </c>
      <c r="AH21">
        <f t="shared" si="11"/>
        <v>4134.51</v>
      </c>
      <c r="AI21">
        <f t="shared" si="12"/>
        <v>0.354473062855908</v>
      </c>
      <c r="AJ21" t="s">
        <v>77</v>
      </c>
      <c r="AK21" t="str">
        <f t="shared" si="13"/>
        <v>Paid</v>
      </c>
      <c r="AL21" t="s">
        <v>78</v>
      </c>
      <c r="AM21" t="str">
        <f t="shared" si="14"/>
        <v>Completed</v>
      </c>
      <c r="AN21">
        <v>7</v>
      </c>
      <c r="AO21">
        <v>2024</v>
      </c>
      <c r="AP21" t="s">
        <v>222</v>
      </c>
    </row>
    <row r="22" spans="1:42">
      <c r="A22" t="s">
        <v>223</v>
      </c>
      <c r="B22" s="3" t="s">
        <v>224</v>
      </c>
      <c r="C22" s="3">
        <v>45678</v>
      </c>
      <c r="D22" t="s">
        <v>225</v>
      </c>
      <c r="E22" s="3">
        <v>45680</v>
      </c>
      <c r="F22" t="s">
        <v>226</v>
      </c>
      <c r="G22" t="s">
        <v>146</v>
      </c>
      <c r="H22" t="str">
        <f t="shared" si="0"/>
        <v>Aditi Sen</v>
      </c>
      <c r="I22" t="s">
        <v>154</v>
      </c>
      <c r="J22" t="str">
        <f t="shared" si="1"/>
        <v>Home Office</v>
      </c>
      <c r="K22" t="s">
        <v>7</v>
      </c>
      <c r="L22" t="str">
        <f t="shared" si="2"/>
        <v>East</v>
      </c>
      <c r="M22" t="s">
        <v>227</v>
      </c>
      <c r="N22" t="str">
        <f t="shared" si="3"/>
        <v>Bihar</v>
      </c>
      <c r="O22" t="s">
        <v>228</v>
      </c>
      <c r="P22" t="str">
        <f t="shared" si="4"/>
        <v>Patna</v>
      </c>
      <c r="Q22" t="s">
        <v>24</v>
      </c>
      <c r="R22" t="str">
        <f t="shared" si="5"/>
        <v>Technology</v>
      </c>
      <c r="S22" t="s">
        <v>133</v>
      </c>
      <c r="T22" t="str">
        <f t="shared" si="6"/>
        <v>Copiers</v>
      </c>
      <c r="U22" t="s">
        <v>229</v>
      </c>
      <c r="V22" t="str">
        <f t="shared" si="7"/>
        <v>Elite Copiers 233</v>
      </c>
      <c r="W22" t="s">
        <v>98</v>
      </c>
      <c r="X22" t="str">
        <f t="shared" si="8"/>
        <v>First Class</v>
      </c>
      <c r="Y22">
        <v>2</v>
      </c>
      <c r="Z22">
        <v>5</v>
      </c>
      <c r="AA22">
        <v>4373.06</v>
      </c>
      <c r="AB22">
        <v>0.25</v>
      </c>
      <c r="AC22">
        <f t="shared" si="9"/>
        <v>0.25</v>
      </c>
      <c r="AD22">
        <v>16398.98</v>
      </c>
      <c r="AE22">
        <f t="shared" si="10"/>
        <v>16398.975</v>
      </c>
      <c r="AF22">
        <v>9556.52</v>
      </c>
      <c r="AG22">
        <v>6842.46</v>
      </c>
      <c r="AH22">
        <f t="shared" si="11"/>
        <v>6842.455</v>
      </c>
      <c r="AI22">
        <f t="shared" si="12"/>
        <v>0.417248943912653</v>
      </c>
      <c r="AJ22" t="s">
        <v>77</v>
      </c>
      <c r="AK22" t="str">
        <f t="shared" si="13"/>
        <v>Paid</v>
      </c>
      <c r="AL22" t="s">
        <v>78</v>
      </c>
      <c r="AM22" t="str">
        <f t="shared" si="14"/>
        <v>Completed</v>
      </c>
      <c r="AN22">
        <v>1</v>
      </c>
      <c r="AO22">
        <v>2025</v>
      </c>
      <c r="AP22" t="s">
        <v>79</v>
      </c>
    </row>
    <row r="23" spans="1:42">
      <c r="A23" t="s">
        <v>230</v>
      </c>
      <c r="B23" s="3" t="s">
        <v>231</v>
      </c>
      <c r="C23" s="3">
        <v>45681</v>
      </c>
      <c r="D23" t="s">
        <v>232</v>
      </c>
      <c r="E23" s="3">
        <v>45687</v>
      </c>
      <c r="F23" t="s">
        <v>233</v>
      </c>
      <c r="G23" t="s">
        <v>208</v>
      </c>
      <c r="H23" t="str">
        <f t="shared" si="0"/>
        <v>Sneha Kapoor</v>
      </c>
      <c r="I23" t="s">
        <v>71</v>
      </c>
      <c r="J23" t="str">
        <f t="shared" si="1"/>
        <v>Consumer</v>
      </c>
      <c r="K23" t="s">
        <v>11</v>
      </c>
      <c r="L23" t="str">
        <f t="shared" si="2"/>
        <v>West</v>
      </c>
      <c r="M23" t="s">
        <v>124</v>
      </c>
      <c r="N23" t="str">
        <f t="shared" si="3"/>
        <v>Madhya Pradesh</v>
      </c>
      <c r="O23" t="s">
        <v>125</v>
      </c>
      <c r="P23" t="str">
        <f t="shared" si="4"/>
        <v>Indore</v>
      </c>
      <c r="Q23" t="s">
        <v>19</v>
      </c>
      <c r="R23" t="str">
        <f t="shared" si="5"/>
        <v>Furniture</v>
      </c>
      <c r="S23" t="s">
        <v>106</v>
      </c>
      <c r="T23" t="str">
        <f t="shared" si="6"/>
        <v>Furnishings</v>
      </c>
      <c r="U23" t="s">
        <v>234</v>
      </c>
      <c r="V23" t="str">
        <f t="shared" si="7"/>
        <v>Eco Furnishings 897</v>
      </c>
      <c r="W23" t="s">
        <v>76</v>
      </c>
      <c r="X23" t="str">
        <f t="shared" si="8"/>
        <v>Second Class</v>
      </c>
      <c r="Y23">
        <v>6</v>
      </c>
      <c r="Z23">
        <v>4</v>
      </c>
      <c r="AA23">
        <v>697.69</v>
      </c>
      <c r="AB23">
        <v>-0.23</v>
      </c>
      <c r="AC23">
        <f t="shared" si="9"/>
        <v>0</v>
      </c>
      <c r="AD23">
        <v>2790.76</v>
      </c>
      <c r="AE23">
        <f t="shared" si="10"/>
        <v>2790.76</v>
      </c>
      <c r="AF23">
        <v>2037.71</v>
      </c>
      <c r="AG23">
        <v>753.05</v>
      </c>
      <c r="AH23">
        <f t="shared" si="11"/>
        <v>753.05</v>
      </c>
      <c r="AI23">
        <f t="shared" si="12"/>
        <v>0.26983689030945</v>
      </c>
      <c r="AJ23" t="s">
        <v>77</v>
      </c>
      <c r="AK23" t="str">
        <f t="shared" si="13"/>
        <v>Paid</v>
      </c>
      <c r="AL23" t="s">
        <v>78</v>
      </c>
      <c r="AM23" t="str">
        <f t="shared" si="14"/>
        <v>Completed</v>
      </c>
      <c r="AN23">
        <v>1</v>
      </c>
      <c r="AO23">
        <v>2025</v>
      </c>
      <c r="AP23" t="s">
        <v>222</v>
      </c>
    </row>
    <row r="24" spans="1:42">
      <c r="A24" t="s">
        <v>235</v>
      </c>
      <c r="B24" s="3" t="s">
        <v>236</v>
      </c>
      <c r="C24" s="3">
        <v>45676</v>
      </c>
      <c r="D24" t="s">
        <v>237</v>
      </c>
      <c r="E24" s="3">
        <v>45678</v>
      </c>
      <c r="F24" t="s">
        <v>238</v>
      </c>
      <c r="G24" t="s">
        <v>84</v>
      </c>
      <c r="H24" t="str">
        <f t="shared" si="0"/>
        <v>Mira Das</v>
      </c>
      <c r="I24" t="s">
        <v>71</v>
      </c>
      <c r="J24" t="str">
        <f t="shared" si="1"/>
        <v>Consumer</v>
      </c>
      <c r="K24" t="s">
        <v>10</v>
      </c>
      <c r="L24" t="str">
        <f t="shared" si="2"/>
        <v>South</v>
      </c>
      <c r="M24" t="s">
        <v>104</v>
      </c>
      <c r="N24" t="str">
        <f t="shared" si="3"/>
        <v>Telangana</v>
      </c>
      <c r="O24" t="s">
        <v>105</v>
      </c>
      <c r="P24" t="str">
        <f t="shared" si="4"/>
        <v>Hyderabad</v>
      </c>
      <c r="Q24" t="s">
        <v>22</v>
      </c>
      <c r="R24" t="str">
        <f t="shared" si="5"/>
        <v>Office Supplies</v>
      </c>
      <c r="S24" t="s">
        <v>239</v>
      </c>
      <c r="T24" t="str">
        <f t="shared" si="6"/>
        <v>Binders</v>
      </c>
      <c r="U24" t="s">
        <v>240</v>
      </c>
      <c r="V24" t="str">
        <f t="shared" si="7"/>
        <v>Max Binders 355</v>
      </c>
      <c r="W24" t="s">
        <v>108</v>
      </c>
      <c r="X24" t="str">
        <f t="shared" si="8"/>
        <v>Standard Class</v>
      </c>
      <c r="Y24">
        <v>2</v>
      </c>
      <c r="Z24">
        <v>8</v>
      </c>
      <c r="AA24">
        <v>1219.34</v>
      </c>
      <c r="AB24">
        <v>0.15</v>
      </c>
      <c r="AC24">
        <f t="shared" si="9"/>
        <v>0.15</v>
      </c>
      <c r="AD24">
        <v>8291.51</v>
      </c>
      <c r="AE24">
        <f t="shared" si="10"/>
        <v>8291.512</v>
      </c>
      <c r="AF24">
        <v>6685.03</v>
      </c>
      <c r="AG24">
        <v>1606.48</v>
      </c>
      <c r="AH24">
        <f t="shared" si="11"/>
        <v>1606.482</v>
      </c>
      <c r="AI24">
        <f t="shared" si="12"/>
        <v>0.19375018693816</v>
      </c>
      <c r="AJ24" t="s">
        <v>241</v>
      </c>
      <c r="AK24" t="str">
        <f t="shared" si="13"/>
        <v>Failed</v>
      </c>
      <c r="AL24" t="s">
        <v>164</v>
      </c>
      <c r="AM24" t="str">
        <f t="shared" si="14"/>
        <v>Returned</v>
      </c>
      <c r="AN24">
        <v>1</v>
      </c>
      <c r="AO24">
        <v>2025</v>
      </c>
      <c r="AP24" t="s">
        <v>79</v>
      </c>
    </row>
    <row r="25" spans="1:42">
      <c r="A25" t="s">
        <v>242</v>
      </c>
      <c r="B25" s="3" t="s">
        <v>110</v>
      </c>
      <c r="C25" s="3">
        <v>45898</v>
      </c>
      <c r="D25" t="s">
        <v>243</v>
      </c>
      <c r="E25" s="3">
        <v>45900</v>
      </c>
      <c r="F25" t="s">
        <v>244</v>
      </c>
      <c r="G25" t="s">
        <v>188</v>
      </c>
      <c r="H25" t="str">
        <f t="shared" si="0"/>
        <v>Rahul Verma</v>
      </c>
      <c r="I25" t="s">
        <v>154</v>
      </c>
      <c r="J25" t="str">
        <f t="shared" si="1"/>
        <v>Home Office</v>
      </c>
      <c r="K25" t="s">
        <v>7</v>
      </c>
      <c r="L25" t="str">
        <f t="shared" si="2"/>
        <v>East</v>
      </c>
      <c r="M25" t="s">
        <v>227</v>
      </c>
      <c r="N25" t="str">
        <f t="shared" si="3"/>
        <v>Bihar</v>
      </c>
      <c r="O25" t="s">
        <v>228</v>
      </c>
      <c r="P25" t="str">
        <f t="shared" si="4"/>
        <v>Patna</v>
      </c>
      <c r="Q25" t="s">
        <v>19</v>
      </c>
      <c r="R25" t="str">
        <f t="shared" si="5"/>
        <v>Furniture</v>
      </c>
      <c r="S25" t="s">
        <v>245</v>
      </c>
      <c r="T25" t="str">
        <f t="shared" si="6"/>
        <v>Bookcases</v>
      </c>
      <c r="U25" t="s">
        <v>246</v>
      </c>
      <c r="V25" t="str">
        <f t="shared" si="7"/>
        <v>Pro Bookcases 394</v>
      </c>
      <c r="W25" t="s">
        <v>98</v>
      </c>
      <c r="X25" t="str">
        <f t="shared" si="8"/>
        <v>First Class</v>
      </c>
      <c r="Y25">
        <v>2</v>
      </c>
      <c r="Z25">
        <v>4</v>
      </c>
      <c r="AA25">
        <v>1958.01</v>
      </c>
      <c r="AB25">
        <v>0.2</v>
      </c>
      <c r="AC25">
        <f t="shared" si="9"/>
        <v>0.2</v>
      </c>
      <c r="AD25">
        <v>6265.63</v>
      </c>
      <c r="AE25">
        <f t="shared" si="10"/>
        <v>6265.632</v>
      </c>
      <c r="AF25">
        <v>4321.86</v>
      </c>
      <c r="AG25">
        <v>1943.77</v>
      </c>
      <c r="AH25">
        <f t="shared" si="11"/>
        <v>1943.772</v>
      </c>
      <c r="AI25">
        <f t="shared" si="12"/>
        <v>0.310227603536244</v>
      </c>
      <c r="AJ25" t="s">
        <v>77</v>
      </c>
      <c r="AK25" t="str">
        <f t="shared" si="13"/>
        <v>Paid</v>
      </c>
      <c r="AL25" t="s">
        <v>78</v>
      </c>
      <c r="AM25" t="str">
        <f t="shared" si="14"/>
        <v>Completed</v>
      </c>
      <c r="AN25">
        <v>8</v>
      </c>
      <c r="AO25">
        <v>2025</v>
      </c>
      <c r="AP25" t="s">
        <v>79</v>
      </c>
    </row>
    <row r="26" spans="1:42">
      <c r="A26" t="s">
        <v>247</v>
      </c>
      <c r="B26" s="3" t="s">
        <v>248</v>
      </c>
      <c r="C26" s="3">
        <v>45355</v>
      </c>
      <c r="D26" t="s">
        <v>249</v>
      </c>
      <c r="E26" s="3">
        <v>45352</v>
      </c>
      <c r="F26" t="s">
        <v>250</v>
      </c>
      <c r="G26" t="s">
        <v>251</v>
      </c>
      <c r="H26" t="str">
        <f t="shared" si="0"/>
        <v>Diya Patel</v>
      </c>
      <c r="I26" t="s">
        <v>71</v>
      </c>
      <c r="J26" t="str">
        <f t="shared" si="1"/>
        <v>Consumer</v>
      </c>
      <c r="K26" t="s">
        <v>8</v>
      </c>
      <c r="L26" t="str">
        <f t="shared" si="2"/>
        <v>North</v>
      </c>
      <c r="M26" t="s">
        <v>194</v>
      </c>
      <c r="N26" t="str">
        <f t="shared" si="3"/>
        <v>Punjab</v>
      </c>
      <c r="O26" t="s">
        <v>195</v>
      </c>
      <c r="P26" t="str">
        <f t="shared" si="4"/>
        <v>Ludhiana</v>
      </c>
      <c r="Q26" t="s">
        <v>22</v>
      </c>
      <c r="R26" t="str">
        <f t="shared" si="5"/>
        <v>Office Supplies</v>
      </c>
      <c r="S26" t="s">
        <v>96</v>
      </c>
      <c r="T26" t="str">
        <f t="shared" si="6"/>
        <v>Art</v>
      </c>
      <c r="U26" t="s">
        <v>252</v>
      </c>
      <c r="V26" t="str">
        <f t="shared" si="7"/>
        <v>Max Art 215</v>
      </c>
      <c r="W26" t="s">
        <v>108</v>
      </c>
      <c r="X26" t="str">
        <f t="shared" si="8"/>
        <v>Standard Class</v>
      </c>
      <c r="Y26">
        <v>-3</v>
      </c>
      <c r="Z26">
        <v>4</v>
      </c>
      <c r="AA26">
        <v>4492.94</v>
      </c>
      <c r="AB26">
        <v>0.25</v>
      </c>
      <c r="AC26">
        <f t="shared" si="9"/>
        <v>0.25</v>
      </c>
      <c r="AD26">
        <v>13478.82</v>
      </c>
      <c r="AE26">
        <f t="shared" si="10"/>
        <v>13478.82</v>
      </c>
      <c r="AF26">
        <v>10937.35</v>
      </c>
      <c r="AG26">
        <v>2541.47</v>
      </c>
      <c r="AH26">
        <f t="shared" si="11"/>
        <v>2541.47</v>
      </c>
      <c r="AI26">
        <f t="shared" si="12"/>
        <v>0.188552855517026</v>
      </c>
      <c r="AJ26" t="s">
        <v>177</v>
      </c>
      <c r="AK26" t="str">
        <f t="shared" si="13"/>
        <v>Pending</v>
      </c>
      <c r="AL26" t="s">
        <v>118</v>
      </c>
      <c r="AM26" t="str">
        <f t="shared" si="14"/>
        <v>Cancelled</v>
      </c>
      <c r="AN26">
        <v>3</v>
      </c>
      <c r="AO26">
        <v>2024</v>
      </c>
      <c r="AP26" t="s">
        <v>253</v>
      </c>
    </row>
    <row r="27" spans="1:42">
      <c r="A27" t="s">
        <v>254</v>
      </c>
      <c r="B27" s="3" t="s">
        <v>255</v>
      </c>
      <c r="C27" s="3">
        <v>45576</v>
      </c>
      <c r="D27" t="s">
        <v>256</v>
      </c>
      <c r="E27" s="3">
        <v>45584</v>
      </c>
      <c r="F27" t="s">
        <v>257</v>
      </c>
      <c r="G27" t="s">
        <v>103</v>
      </c>
      <c r="H27" t="str">
        <f t="shared" si="0"/>
        <v>Arjun Bose</v>
      </c>
      <c r="I27" t="s">
        <v>147</v>
      </c>
      <c r="J27" t="str">
        <f t="shared" si="1"/>
        <v>Corporate</v>
      </c>
      <c r="K27" t="s">
        <v>7</v>
      </c>
      <c r="L27" t="str">
        <f t="shared" si="2"/>
        <v>East</v>
      </c>
      <c r="M27" t="s">
        <v>258</v>
      </c>
      <c r="N27" t="str">
        <f t="shared" si="3"/>
        <v>Assam</v>
      </c>
      <c r="O27" t="s">
        <v>259</v>
      </c>
      <c r="P27" t="str">
        <f t="shared" si="4"/>
        <v>Guwahati</v>
      </c>
      <c r="Q27" t="s">
        <v>24</v>
      </c>
      <c r="R27" t="str">
        <f t="shared" si="5"/>
        <v>Technology</v>
      </c>
      <c r="S27" t="s">
        <v>126</v>
      </c>
      <c r="T27" t="str">
        <f t="shared" si="6"/>
        <v>Accessories</v>
      </c>
      <c r="U27" t="s">
        <v>260</v>
      </c>
      <c r="V27" t="str">
        <f t="shared" si="7"/>
        <v>Classic Accessories 478</v>
      </c>
      <c r="W27" t="s">
        <v>98</v>
      </c>
      <c r="X27" t="str">
        <f t="shared" si="8"/>
        <v>First Class</v>
      </c>
      <c r="Y27">
        <v>8</v>
      </c>
      <c r="Z27">
        <v>2</v>
      </c>
      <c r="AA27">
        <v>4315.2</v>
      </c>
      <c r="AB27">
        <v>0.15</v>
      </c>
      <c r="AC27">
        <f t="shared" si="9"/>
        <v>0.15</v>
      </c>
      <c r="AD27">
        <v>7335.84</v>
      </c>
      <c r="AE27">
        <f t="shared" si="10"/>
        <v>7335.84</v>
      </c>
      <c r="AF27">
        <v>4968.41</v>
      </c>
      <c r="AG27">
        <v>2367.43</v>
      </c>
      <c r="AH27">
        <f t="shared" si="11"/>
        <v>2367.43</v>
      </c>
      <c r="AI27">
        <f t="shared" si="12"/>
        <v>0.322721051713233</v>
      </c>
      <c r="AJ27" t="s">
        <v>77</v>
      </c>
      <c r="AK27" t="str">
        <f t="shared" si="13"/>
        <v>Paid</v>
      </c>
      <c r="AL27" t="s">
        <v>78</v>
      </c>
      <c r="AM27" t="str">
        <f t="shared" si="14"/>
        <v>Completed</v>
      </c>
      <c r="AN27">
        <v>10</v>
      </c>
      <c r="AO27">
        <v>2024</v>
      </c>
      <c r="AP27" t="s">
        <v>79</v>
      </c>
    </row>
    <row r="28" spans="1:42">
      <c r="A28" t="s">
        <v>261</v>
      </c>
      <c r="B28" s="3" t="s">
        <v>262</v>
      </c>
      <c r="C28" s="3">
        <v>45619</v>
      </c>
      <c r="D28" t="s">
        <v>263</v>
      </c>
      <c r="E28" s="3">
        <v>45619</v>
      </c>
      <c r="F28" t="s">
        <v>264</v>
      </c>
      <c r="G28" t="s">
        <v>251</v>
      </c>
      <c r="H28" t="str">
        <f t="shared" si="0"/>
        <v>Diya Patel</v>
      </c>
      <c r="I28" t="s">
        <v>147</v>
      </c>
      <c r="J28" t="str">
        <f t="shared" si="1"/>
        <v>Corporate</v>
      </c>
      <c r="K28" t="s">
        <v>8</v>
      </c>
      <c r="L28" t="str">
        <f t="shared" si="2"/>
        <v>North</v>
      </c>
      <c r="M28" t="s">
        <v>214</v>
      </c>
      <c r="N28" t="str">
        <f t="shared" si="3"/>
        <v>Uttar Pradesh</v>
      </c>
      <c r="O28" t="s">
        <v>215</v>
      </c>
      <c r="P28" t="str">
        <f t="shared" si="4"/>
        <v>Noida</v>
      </c>
      <c r="Q28" t="s">
        <v>24</v>
      </c>
      <c r="R28" t="str">
        <f t="shared" si="5"/>
        <v>Technology</v>
      </c>
      <c r="S28" t="s">
        <v>265</v>
      </c>
      <c r="T28" t="str">
        <f t="shared" si="6"/>
        <v>Phones</v>
      </c>
      <c r="U28" t="s">
        <v>266</v>
      </c>
      <c r="V28" t="str">
        <f t="shared" si="7"/>
        <v>Pro Phones 243</v>
      </c>
      <c r="W28" t="s">
        <v>108</v>
      </c>
      <c r="X28" t="str">
        <f t="shared" si="8"/>
        <v>Standard Class</v>
      </c>
      <c r="Y28">
        <v>0</v>
      </c>
      <c r="Z28">
        <v>4</v>
      </c>
      <c r="AA28">
        <v>716.13</v>
      </c>
      <c r="AB28">
        <v>0.1</v>
      </c>
      <c r="AC28">
        <f t="shared" si="9"/>
        <v>0.1</v>
      </c>
      <c r="AD28">
        <v>2578.07</v>
      </c>
      <c r="AE28">
        <f t="shared" si="10"/>
        <v>2578.068</v>
      </c>
      <c r="AF28">
        <v>1527.55</v>
      </c>
      <c r="AG28">
        <v>1050.52</v>
      </c>
      <c r="AH28">
        <f t="shared" si="11"/>
        <v>1050.518</v>
      </c>
      <c r="AI28">
        <f t="shared" si="12"/>
        <v>0.407482657555968</v>
      </c>
      <c r="AJ28" t="s">
        <v>267</v>
      </c>
      <c r="AK28" t="str">
        <f t="shared" si="13"/>
        <v>Paid</v>
      </c>
      <c r="AL28" t="s">
        <v>164</v>
      </c>
      <c r="AM28" t="str">
        <f t="shared" si="14"/>
        <v>Returned</v>
      </c>
      <c r="AN28">
        <v>11</v>
      </c>
      <c r="AO28">
        <v>2024</v>
      </c>
      <c r="AP28" t="s">
        <v>79</v>
      </c>
    </row>
    <row r="29" spans="1:42">
      <c r="A29" t="s">
        <v>268</v>
      </c>
      <c r="B29" s="3" t="s">
        <v>269</v>
      </c>
      <c r="C29" s="3">
        <v>45929</v>
      </c>
      <c r="D29" t="s">
        <v>270</v>
      </c>
      <c r="E29" s="3">
        <v>45935</v>
      </c>
      <c r="F29" t="s">
        <v>271</v>
      </c>
      <c r="G29" t="s">
        <v>103</v>
      </c>
      <c r="H29" t="str">
        <f t="shared" si="0"/>
        <v>Arjun Bose</v>
      </c>
      <c r="I29" t="s">
        <v>85</v>
      </c>
      <c r="J29" t="str">
        <f t="shared" si="1"/>
        <v>Small Business</v>
      </c>
      <c r="K29" t="s">
        <v>10</v>
      </c>
      <c r="L29" t="str">
        <f t="shared" si="2"/>
        <v>South</v>
      </c>
      <c r="M29" t="s">
        <v>272</v>
      </c>
      <c r="N29" t="str">
        <f t="shared" si="3"/>
        <v>Karnataka</v>
      </c>
      <c r="O29" t="s">
        <v>273</v>
      </c>
      <c r="P29" t="str">
        <f t="shared" si="4"/>
        <v>Bengaluru</v>
      </c>
      <c r="Q29" t="s">
        <v>22</v>
      </c>
      <c r="R29" t="str">
        <f t="shared" si="5"/>
        <v>Office Supplies</v>
      </c>
      <c r="S29" t="s">
        <v>74</v>
      </c>
      <c r="T29" t="str">
        <f t="shared" si="6"/>
        <v>Paper</v>
      </c>
      <c r="U29" t="s">
        <v>274</v>
      </c>
      <c r="V29" t="str">
        <f t="shared" si="7"/>
        <v>Basic Paper 613</v>
      </c>
      <c r="W29" t="s">
        <v>76</v>
      </c>
      <c r="X29" t="str">
        <f t="shared" si="8"/>
        <v>Second Class</v>
      </c>
      <c r="Y29">
        <v>6</v>
      </c>
      <c r="Z29">
        <v>5</v>
      </c>
      <c r="AA29">
        <v>1806.51</v>
      </c>
      <c r="AB29">
        <v>0.25</v>
      </c>
      <c r="AC29">
        <f t="shared" si="9"/>
        <v>0.25</v>
      </c>
      <c r="AD29">
        <v>6774.41</v>
      </c>
      <c r="AE29">
        <f t="shared" si="10"/>
        <v>6774.4125</v>
      </c>
      <c r="AF29">
        <v>4710.36</v>
      </c>
      <c r="AG29">
        <v>2064.05</v>
      </c>
      <c r="AH29">
        <f t="shared" si="11"/>
        <v>2064.0525</v>
      </c>
      <c r="AI29">
        <f t="shared" si="12"/>
        <v>0.304683616475967</v>
      </c>
      <c r="AJ29" t="s">
        <v>241</v>
      </c>
      <c r="AK29" t="str">
        <f t="shared" si="13"/>
        <v>Failed</v>
      </c>
      <c r="AL29" t="s">
        <v>164</v>
      </c>
      <c r="AM29" t="str">
        <f t="shared" si="14"/>
        <v>Returned</v>
      </c>
      <c r="AN29">
        <v>9</v>
      </c>
      <c r="AO29">
        <v>2025</v>
      </c>
      <c r="AP29" t="s">
        <v>79</v>
      </c>
    </row>
    <row r="30" spans="1:42">
      <c r="A30" t="s">
        <v>275</v>
      </c>
      <c r="B30" s="3" t="s">
        <v>255</v>
      </c>
      <c r="C30" s="3">
        <v>45576</v>
      </c>
      <c r="D30" t="s">
        <v>276</v>
      </c>
      <c r="E30" s="3">
        <v>45583</v>
      </c>
      <c r="F30" t="s">
        <v>277</v>
      </c>
      <c r="G30" t="s">
        <v>113</v>
      </c>
      <c r="H30" t="str">
        <f t="shared" si="0"/>
        <v>Ananya Rao</v>
      </c>
      <c r="I30" t="s">
        <v>154</v>
      </c>
      <c r="J30" t="str">
        <f t="shared" si="1"/>
        <v>Home Office</v>
      </c>
      <c r="K30" t="s">
        <v>11</v>
      </c>
      <c r="L30" t="str">
        <f t="shared" si="2"/>
        <v>West</v>
      </c>
      <c r="M30" t="s">
        <v>278</v>
      </c>
      <c r="N30" t="str">
        <f t="shared" si="3"/>
        <v>Gujarat</v>
      </c>
      <c r="O30" t="s">
        <v>279</v>
      </c>
      <c r="P30" t="str">
        <f t="shared" si="4"/>
        <v>Ahmedabad</v>
      </c>
      <c r="Q30" t="s">
        <v>24</v>
      </c>
      <c r="R30" t="str">
        <f t="shared" si="5"/>
        <v>Technology</v>
      </c>
      <c r="S30" t="s">
        <v>265</v>
      </c>
      <c r="T30" t="str">
        <f t="shared" si="6"/>
        <v>Phones</v>
      </c>
      <c r="U30" t="s">
        <v>280</v>
      </c>
      <c r="V30" t="str">
        <f t="shared" si="7"/>
        <v>Prime Phones 698</v>
      </c>
      <c r="W30" t="s">
        <v>76</v>
      </c>
      <c r="X30" t="str">
        <f t="shared" si="8"/>
        <v>Second Class</v>
      </c>
      <c r="Y30">
        <v>7</v>
      </c>
      <c r="Z30">
        <v>2</v>
      </c>
      <c r="AA30">
        <v>1942.22</v>
      </c>
      <c r="AB30">
        <v>0.25</v>
      </c>
      <c r="AC30">
        <f t="shared" si="9"/>
        <v>0.25</v>
      </c>
      <c r="AD30">
        <v>2913.33</v>
      </c>
      <c r="AE30">
        <f t="shared" si="10"/>
        <v>2913.33</v>
      </c>
      <c r="AF30">
        <v>2122.33</v>
      </c>
      <c r="AG30">
        <v>791</v>
      </c>
      <c r="AH30">
        <f t="shared" si="11"/>
        <v>791</v>
      </c>
      <c r="AI30">
        <f t="shared" si="12"/>
        <v>0.271510608135707</v>
      </c>
      <c r="AJ30" t="s">
        <v>163</v>
      </c>
      <c r="AK30" t="str">
        <f t="shared" si="13"/>
        <v>Refunded</v>
      </c>
      <c r="AL30" t="s">
        <v>118</v>
      </c>
      <c r="AM30" t="str">
        <f t="shared" si="14"/>
        <v>Cancelled</v>
      </c>
      <c r="AN30">
        <v>10</v>
      </c>
      <c r="AO30">
        <v>2024</v>
      </c>
      <c r="AP30" t="s">
        <v>79</v>
      </c>
    </row>
    <row r="31" spans="1:42">
      <c r="A31" t="s">
        <v>281</v>
      </c>
      <c r="B31" s="3" t="s">
        <v>282</v>
      </c>
      <c r="C31" s="3">
        <v>45882</v>
      </c>
      <c r="D31" t="s">
        <v>283</v>
      </c>
      <c r="E31" s="3">
        <v>45882</v>
      </c>
      <c r="F31" t="s">
        <v>284</v>
      </c>
      <c r="G31" t="s">
        <v>220</v>
      </c>
      <c r="H31" t="str">
        <f t="shared" si="0"/>
        <v>Rohan Mehta</v>
      </c>
      <c r="I31" t="s">
        <v>154</v>
      </c>
      <c r="J31" t="str">
        <f t="shared" si="1"/>
        <v>Home Office</v>
      </c>
      <c r="K31" t="s">
        <v>10</v>
      </c>
      <c r="L31" t="str">
        <f t="shared" si="2"/>
        <v>South</v>
      </c>
      <c r="M31" t="s">
        <v>285</v>
      </c>
      <c r="N31" t="str">
        <f t="shared" si="3"/>
        <v>Kerala</v>
      </c>
      <c r="O31" t="s">
        <v>286</v>
      </c>
      <c r="P31" t="str">
        <f t="shared" si="4"/>
        <v>Kochi</v>
      </c>
      <c r="Q31" t="s">
        <v>24</v>
      </c>
      <c r="R31" t="str">
        <f t="shared" si="5"/>
        <v>Technology</v>
      </c>
      <c r="S31" t="s">
        <v>265</v>
      </c>
      <c r="T31" t="str">
        <f t="shared" si="6"/>
        <v>Phones</v>
      </c>
      <c r="U31" t="s">
        <v>287</v>
      </c>
      <c r="V31" t="str">
        <f t="shared" si="7"/>
        <v>Pro Phones 442</v>
      </c>
      <c r="W31" t="s">
        <v>108</v>
      </c>
      <c r="X31" t="str">
        <f t="shared" si="8"/>
        <v>Standard Class</v>
      </c>
      <c r="Y31">
        <v>0</v>
      </c>
      <c r="Z31">
        <v>1</v>
      </c>
      <c r="AA31">
        <v>256.01</v>
      </c>
      <c r="AB31">
        <v>0.15</v>
      </c>
      <c r="AC31">
        <f t="shared" si="9"/>
        <v>0.15</v>
      </c>
      <c r="AD31">
        <v>217.61</v>
      </c>
      <c r="AE31">
        <f t="shared" si="10"/>
        <v>217.6085</v>
      </c>
      <c r="AF31">
        <v>119.77</v>
      </c>
      <c r="AG31">
        <v>97.84</v>
      </c>
      <c r="AH31">
        <f t="shared" si="11"/>
        <v>97.8385</v>
      </c>
      <c r="AI31">
        <f t="shared" si="12"/>
        <v>0.449607896750357</v>
      </c>
      <c r="AJ31" t="s">
        <v>77</v>
      </c>
      <c r="AK31" t="str">
        <f t="shared" si="13"/>
        <v>Paid</v>
      </c>
      <c r="AL31" t="s">
        <v>78</v>
      </c>
      <c r="AM31" t="str">
        <f t="shared" si="14"/>
        <v>Completed</v>
      </c>
      <c r="AN31">
        <v>8</v>
      </c>
      <c r="AO31">
        <v>2025</v>
      </c>
      <c r="AP31" t="s">
        <v>79</v>
      </c>
    </row>
    <row r="32" spans="1:42">
      <c r="A32" t="s">
        <v>288</v>
      </c>
      <c r="B32" s="3" t="s">
        <v>289</v>
      </c>
      <c r="C32" s="3">
        <v>45331</v>
      </c>
      <c r="D32" t="s">
        <v>290</v>
      </c>
      <c r="E32" s="3">
        <v>45334</v>
      </c>
      <c r="F32" t="s">
        <v>291</v>
      </c>
      <c r="G32" t="s">
        <v>113</v>
      </c>
      <c r="H32" t="str">
        <f t="shared" si="0"/>
        <v>Ananya Rao</v>
      </c>
      <c r="I32" t="s">
        <v>147</v>
      </c>
      <c r="J32" t="str">
        <f t="shared" si="1"/>
        <v>Corporate</v>
      </c>
      <c r="K32" t="s">
        <v>11</v>
      </c>
      <c r="L32" t="str">
        <f t="shared" si="2"/>
        <v>West</v>
      </c>
      <c r="M32" t="s">
        <v>292</v>
      </c>
      <c r="N32" t="str">
        <f t="shared" si="3"/>
        <v>Goa</v>
      </c>
      <c r="O32" t="s">
        <v>293</v>
      </c>
      <c r="P32" t="str">
        <f t="shared" si="4"/>
        <v>Panaji</v>
      </c>
      <c r="Q32" t="s">
        <v>22</v>
      </c>
      <c r="R32" t="str">
        <f t="shared" si="5"/>
        <v>Office Supplies</v>
      </c>
      <c r="S32" t="s">
        <v>148</v>
      </c>
      <c r="T32" t="str">
        <f t="shared" si="6"/>
        <v>Labels</v>
      </c>
      <c r="U32" t="s">
        <v>294</v>
      </c>
      <c r="V32" t="str">
        <f t="shared" si="7"/>
        <v>Pro Labels 355</v>
      </c>
      <c r="W32" t="s">
        <v>98</v>
      </c>
      <c r="X32" t="str">
        <f t="shared" si="8"/>
        <v>First Class</v>
      </c>
      <c r="Y32">
        <v>3</v>
      </c>
      <c r="Z32">
        <v>1</v>
      </c>
      <c r="AA32">
        <v>3421.77</v>
      </c>
      <c r="AB32">
        <v>0.1</v>
      </c>
      <c r="AC32">
        <f t="shared" si="9"/>
        <v>0.1</v>
      </c>
      <c r="AD32">
        <v>3079.59</v>
      </c>
      <c r="AE32">
        <f t="shared" si="10"/>
        <v>3079.593</v>
      </c>
      <c r="AF32">
        <v>2001.89</v>
      </c>
      <c r="AG32">
        <v>1077.7</v>
      </c>
      <c r="AH32">
        <f t="shared" si="11"/>
        <v>1077.703</v>
      </c>
      <c r="AI32">
        <f t="shared" si="12"/>
        <v>0.349949814796955</v>
      </c>
      <c r="AJ32" t="s">
        <v>77</v>
      </c>
      <c r="AK32" t="str">
        <f t="shared" si="13"/>
        <v>Paid</v>
      </c>
      <c r="AL32" t="s">
        <v>78</v>
      </c>
      <c r="AM32" t="str">
        <f t="shared" si="14"/>
        <v>Completed</v>
      </c>
      <c r="AN32">
        <v>2</v>
      </c>
      <c r="AO32">
        <v>2024</v>
      </c>
      <c r="AP32" t="s">
        <v>79</v>
      </c>
    </row>
    <row r="33" spans="1:42">
      <c r="A33" t="s">
        <v>295</v>
      </c>
      <c r="B33" s="3" t="s">
        <v>296</v>
      </c>
      <c r="C33" s="3">
        <v>45823</v>
      </c>
      <c r="D33" t="s">
        <v>297</v>
      </c>
      <c r="E33" s="3">
        <v>45827</v>
      </c>
      <c r="F33" t="s">
        <v>298</v>
      </c>
      <c r="G33" t="s">
        <v>70</v>
      </c>
      <c r="H33" t="str">
        <f t="shared" si="0"/>
        <v>Karan Malhotra</v>
      </c>
      <c r="I33" t="s">
        <v>85</v>
      </c>
      <c r="J33" t="str">
        <f t="shared" si="1"/>
        <v>Small Business</v>
      </c>
      <c r="K33" t="s">
        <v>11</v>
      </c>
      <c r="L33" t="str">
        <f t="shared" si="2"/>
        <v>West</v>
      </c>
      <c r="M33" t="s">
        <v>124</v>
      </c>
      <c r="N33" t="str">
        <f t="shared" si="3"/>
        <v>Madhya Pradesh</v>
      </c>
      <c r="O33" t="s">
        <v>125</v>
      </c>
      <c r="P33" t="str">
        <f t="shared" si="4"/>
        <v>Indore</v>
      </c>
      <c r="Q33" t="s">
        <v>22</v>
      </c>
      <c r="R33" t="str">
        <f t="shared" si="5"/>
        <v>Office Supplies</v>
      </c>
      <c r="S33" t="s">
        <v>74</v>
      </c>
      <c r="T33" t="str">
        <f t="shared" si="6"/>
        <v>Paper</v>
      </c>
      <c r="U33" t="s">
        <v>299</v>
      </c>
      <c r="V33" t="str">
        <f t="shared" si="7"/>
        <v>Pro Paper 959</v>
      </c>
      <c r="W33" t="s">
        <v>76</v>
      </c>
      <c r="X33" t="str">
        <f t="shared" si="8"/>
        <v>Second Class</v>
      </c>
      <c r="Y33">
        <v>4</v>
      </c>
      <c r="Z33">
        <v>9</v>
      </c>
      <c r="AA33">
        <v>3092.55</v>
      </c>
      <c r="AB33">
        <v>0</v>
      </c>
      <c r="AC33">
        <f t="shared" si="9"/>
        <v>0</v>
      </c>
      <c r="AD33">
        <v>27832.95</v>
      </c>
      <c r="AE33">
        <f t="shared" si="10"/>
        <v>27832.95</v>
      </c>
      <c r="AF33">
        <v>17769.75</v>
      </c>
      <c r="AG33">
        <v>10063.2</v>
      </c>
      <c r="AH33">
        <f t="shared" si="11"/>
        <v>10063.2</v>
      </c>
      <c r="AI33">
        <f t="shared" si="12"/>
        <v>0.361557075336966</v>
      </c>
      <c r="AJ33" t="s">
        <v>241</v>
      </c>
      <c r="AK33" t="str">
        <f t="shared" si="13"/>
        <v>Failed</v>
      </c>
      <c r="AL33" t="s">
        <v>164</v>
      </c>
      <c r="AM33" t="str">
        <f t="shared" si="14"/>
        <v>Returned</v>
      </c>
      <c r="AN33">
        <v>6</v>
      </c>
      <c r="AO33">
        <v>2025</v>
      </c>
      <c r="AP33" t="s">
        <v>79</v>
      </c>
    </row>
    <row r="34" spans="1:42">
      <c r="A34" t="s">
        <v>300</v>
      </c>
      <c r="B34" s="3" t="s">
        <v>301</v>
      </c>
      <c r="C34" s="3">
        <v>45618</v>
      </c>
      <c r="D34" t="s">
        <v>302</v>
      </c>
      <c r="E34" s="3">
        <v>45622</v>
      </c>
      <c r="F34" t="s">
        <v>303</v>
      </c>
      <c r="G34" t="s">
        <v>202</v>
      </c>
      <c r="H34" t="str">
        <f t="shared" si="0"/>
        <v>Aarav Sharma</v>
      </c>
      <c r="I34" t="s">
        <v>147</v>
      </c>
      <c r="J34" t="str">
        <f t="shared" si="1"/>
        <v>Corporate</v>
      </c>
      <c r="K34" t="s">
        <v>10</v>
      </c>
      <c r="L34" t="str">
        <f t="shared" si="2"/>
        <v>South</v>
      </c>
      <c r="M34" t="s">
        <v>139</v>
      </c>
      <c r="N34" t="str">
        <f t="shared" si="3"/>
        <v>Andhra Pradesh</v>
      </c>
      <c r="O34" t="s">
        <v>140</v>
      </c>
      <c r="P34" t="str">
        <f t="shared" si="4"/>
        <v>Vijayawada</v>
      </c>
      <c r="Q34" t="s">
        <v>24</v>
      </c>
      <c r="R34" t="str">
        <f t="shared" si="5"/>
        <v>Technology</v>
      </c>
      <c r="S34" t="s">
        <v>265</v>
      </c>
      <c r="T34" t="str">
        <f t="shared" si="6"/>
        <v>Phones</v>
      </c>
      <c r="U34" t="s">
        <v>304</v>
      </c>
      <c r="V34" t="str">
        <f t="shared" si="7"/>
        <v>Basic Phones 242</v>
      </c>
      <c r="W34" t="s">
        <v>76</v>
      </c>
      <c r="X34" t="str">
        <f t="shared" si="8"/>
        <v>Second Class</v>
      </c>
      <c r="Y34">
        <v>4</v>
      </c>
      <c r="Z34">
        <v>3</v>
      </c>
      <c r="AA34">
        <v>4001.25</v>
      </c>
      <c r="AC34">
        <f t="shared" si="9"/>
        <v>0</v>
      </c>
      <c r="AD34">
        <v>9002.81</v>
      </c>
      <c r="AE34">
        <f t="shared" si="10"/>
        <v>12003.75</v>
      </c>
      <c r="AF34">
        <v>7529.92</v>
      </c>
      <c r="AG34">
        <v>1472.89</v>
      </c>
      <c r="AH34">
        <f t="shared" si="11"/>
        <v>4473.83</v>
      </c>
      <c r="AI34">
        <f t="shared" si="12"/>
        <v>0.372702697073831</v>
      </c>
      <c r="AJ34" t="s">
        <v>77</v>
      </c>
      <c r="AK34" t="str">
        <f t="shared" si="13"/>
        <v>Paid</v>
      </c>
      <c r="AL34" t="s">
        <v>78</v>
      </c>
      <c r="AM34" t="str">
        <f t="shared" si="14"/>
        <v>Completed</v>
      </c>
      <c r="AN34">
        <v>11</v>
      </c>
      <c r="AO34">
        <v>2024</v>
      </c>
      <c r="AP34" t="s">
        <v>222</v>
      </c>
    </row>
    <row r="35" spans="1:42">
      <c r="A35" t="s">
        <v>305</v>
      </c>
      <c r="B35" s="3" t="s">
        <v>306</v>
      </c>
      <c r="C35" s="3">
        <v>45495</v>
      </c>
      <c r="D35" t="s">
        <v>307</v>
      </c>
      <c r="E35" s="3">
        <v>45500</v>
      </c>
      <c r="F35" t="s">
        <v>308</v>
      </c>
      <c r="G35" t="s">
        <v>182</v>
      </c>
      <c r="H35" t="str">
        <f t="shared" si="0"/>
        <v>Priya Menon</v>
      </c>
      <c r="I35" t="s">
        <v>154</v>
      </c>
      <c r="J35" t="str">
        <f t="shared" si="1"/>
        <v>Home Office</v>
      </c>
      <c r="K35" t="s">
        <v>11</v>
      </c>
      <c r="L35" t="str">
        <f t="shared" si="2"/>
        <v>West</v>
      </c>
      <c r="M35" t="s">
        <v>292</v>
      </c>
      <c r="N35" t="str">
        <f t="shared" si="3"/>
        <v>Goa</v>
      </c>
      <c r="O35" t="s">
        <v>293</v>
      </c>
      <c r="P35" t="str">
        <f t="shared" si="4"/>
        <v>Panaji</v>
      </c>
      <c r="Q35" t="s">
        <v>19</v>
      </c>
      <c r="R35" t="str">
        <f t="shared" si="5"/>
        <v>Furniture</v>
      </c>
      <c r="S35" t="s">
        <v>88</v>
      </c>
      <c r="T35" t="str">
        <f t="shared" si="6"/>
        <v>Tables</v>
      </c>
      <c r="U35" t="s">
        <v>309</v>
      </c>
      <c r="V35" t="str">
        <f t="shared" si="7"/>
        <v>Max Tables 836</v>
      </c>
      <c r="W35" t="s">
        <v>90</v>
      </c>
      <c r="X35" t="str">
        <f t="shared" si="8"/>
        <v>Same Day</v>
      </c>
      <c r="Y35">
        <v>5</v>
      </c>
      <c r="Z35">
        <v>7</v>
      </c>
      <c r="AA35">
        <v>492.41</v>
      </c>
      <c r="AB35">
        <v>0.25</v>
      </c>
      <c r="AC35">
        <f t="shared" si="9"/>
        <v>0.25</v>
      </c>
      <c r="AD35">
        <v>2585.15</v>
      </c>
      <c r="AE35">
        <f t="shared" si="10"/>
        <v>2585.1525</v>
      </c>
      <c r="AF35">
        <v>2070.73</v>
      </c>
      <c r="AG35">
        <v>514.42</v>
      </c>
      <c r="AH35">
        <f t="shared" si="11"/>
        <v>514.4225</v>
      </c>
      <c r="AI35">
        <f t="shared" si="12"/>
        <v>0.198991162030093</v>
      </c>
      <c r="AJ35" t="s">
        <v>77</v>
      </c>
      <c r="AK35" t="str">
        <f t="shared" si="13"/>
        <v>Paid</v>
      </c>
      <c r="AL35" t="s">
        <v>78</v>
      </c>
      <c r="AM35" t="str">
        <f t="shared" si="14"/>
        <v>Completed</v>
      </c>
      <c r="AN35">
        <v>7</v>
      </c>
      <c r="AO35">
        <v>2024</v>
      </c>
      <c r="AP35" t="s">
        <v>79</v>
      </c>
    </row>
    <row r="36" spans="1:42">
      <c r="A36" t="s">
        <v>310</v>
      </c>
      <c r="B36" s="3" t="s">
        <v>311</v>
      </c>
      <c r="C36" s="3">
        <v>45688</v>
      </c>
      <c r="D36" t="s">
        <v>312</v>
      </c>
      <c r="E36" s="3">
        <v>45693</v>
      </c>
      <c r="F36" t="s">
        <v>313</v>
      </c>
      <c r="G36" t="s">
        <v>182</v>
      </c>
      <c r="H36" t="str">
        <f t="shared" si="0"/>
        <v>Priya Menon</v>
      </c>
      <c r="I36" t="s">
        <v>154</v>
      </c>
      <c r="J36" t="str">
        <f t="shared" si="1"/>
        <v>Home Office</v>
      </c>
      <c r="K36" t="s">
        <v>7</v>
      </c>
      <c r="L36" t="str">
        <f t="shared" si="2"/>
        <v>East</v>
      </c>
      <c r="M36" t="s">
        <v>160</v>
      </c>
      <c r="N36" t="str">
        <f t="shared" si="3"/>
        <v>West Bengal</v>
      </c>
      <c r="O36" t="s">
        <v>161</v>
      </c>
      <c r="P36" t="str">
        <f t="shared" si="4"/>
        <v>Kolkata</v>
      </c>
      <c r="Q36" t="s">
        <v>19</v>
      </c>
      <c r="R36" t="str">
        <f t="shared" si="5"/>
        <v>Furniture</v>
      </c>
      <c r="S36" t="s">
        <v>116</v>
      </c>
      <c r="T36" t="str">
        <f t="shared" si="6"/>
        <v>Chairs</v>
      </c>
      <c r="U36" t="s">
        <v>314</v>
      </c>
      <c r="V36" t="str">
        <f t="shared" si="7"/>
        <v>Elite Chairs 862</v>
      </c>
      <c r="X36" t="str">
        <f t="shared" si="8"/>
        <v/>
      </c>
      <c r="Y36">
        <v>5</v>
      </c>
      <c r="Z36">
        <v>2</v>
      </c>
      <c r="AA36">
        <v>4159.69</v>
      </c>
      <c r="AB36">
        <v>0.2</v>
      </c>
      <c r="AC36">
        <f t="shared" si="9"/>
        <v>0.2</v>
      </c>
      <c r="AD36">
        <v>6655.5</v>
      </c>
      <c r="AE36">
        <f t="shared" si="10"/>
        <v>6655.504</v>
      </c>
      <c r="AF36">
        <v>4340.21</v>
      </c>
      <c r="AG36">
        <v>2607.32</v>
      </c>
      <c r="AH36">
        <f t="shared" si="11"/>
        <v>2315.294</v>
      </c>
      <c r="AI36">
        <f t="shared" si="12"/>
        <v>0.347876584553176</v>
      </c>
      <c r="AJ36" t="s">
        <v>77</v>
      </c>
      <c r="AK36" t="str">
        <f t="shared" si="13"/>
        <v>Paid</v>
      </c>
      <c r="AL36" t="s">
        <v>78</v>
      </c>
      <c r="AM36" t="str">
        <f t="shared" si="14"/>
        <v>Completed</v>
      </c>
      <c r="AN36">
        <v>1</v>
      </c>
      <c r="AO36">
        <v>2025</v>
      </c>
      <c r="AP36" t="s">
        <v>79</v>
      </c>
    </row>
    <row r="37" spans="1:42">
      <c r="A37" t="s">
        <v>315</v>
      </c>
      <c r="B37" s="3" t="s">
        <v>316</v>
      </c>
      <c r="C37" s="3">
        <v>45441</v>
      </c>
      <c r="D37" t="s">
        <v>317</v>
      </c>
      <c r="E37" s="3">
        <v>45441</v>
      </c>
      <c r="F37" t="s">
        <v>318</v>
      </c>
      <c r="G37" t="s">
        <v>208</v>
      </c>
      <c r="H37" t="str">
        <f t="shared" si="0"/>
        <v>Sneha Kapoor</v>
      </c>
      <c r="I37" t="s">
        <v>85</v>
      </c>
      <c r="J37" t="str">
        <f t="shared" si="1"/>
        <v>Small Business</v>
      </c>
      <c r="K37" t="s">
        <v>11</v>
      </c>
      <c r="L37" t="str">
        <f t="shared" si="2"/>
        <v>West</v>
      </c>
      <c r="M37" t="s">
        <v>278</v>
      </c>
      <c r="N37" t="str">
        <f t="shared" si="3"/>
        <v>Gujarat</v>
      </c>
      <c r="O37" t="s">
        <v>279</v>
      </c>
      <c r="P37" t="str">
        <f t="shared" si="4"/>
        <v>Ahmedabad</v>
      </c>
      <c r="Q37" t="s">
        <v>19</v>
      </c>
      <c r="R37" t="str">
        <f t="shared" si="5"/>
        <v>Furniture</v>
      </c>
      <c r="S37" t="s">
        <v>245</v>
      </c>
      <c r="T37" t="str">
        <f t="shared" si="6"/>
        <v>Bookcases</v>
      </c>
      <c r="U37" t="s">
        <v>319</v>
      </c>
      <c r="V37" t="str">
        <f t="shared" si="7"/>
        <v>Prime Bookcases 414</v>
      </c>
      <c r="W37" t="s">
        <v>76</v>
      </c>
      <c r="X37" t="str">
        <f t="shared" si="8"/>
        <v>Second Class</v>
      </c>
      <c r="Y37">
        <v>0</v>
      </c>
      <c r="Z37">
        <v>8</v>
      </c>
      <c r="AA37">
        <v>2507.12</v>
      </c>
      <c r="AB37">
        <v>0.05</v>
      </c>
      <c r="AC37">
        <f t="shared" si="9"/>
        <v>0.05</v>
      </c>
      <c r="AD37">
        <v>19054.11</v>
      </c>
      <c r="AE37">
        <f t="shared" si="10"/>
        <v>19054.112</v>
      </c>
      <c r="AF37">
        <v>15313.83</v>
      </c>
      <c r="AG37">
        <v>3740.28</v>
      </c>
      <c r="AH37">
        <f t="shared" si="11"/>
        <v>3740.282</v>
      </c>
      <c r="AI37">
        <f t="shared" si="12"/>
        <v>0.196297890974924</v>
      </c>
      <c r="AJ37" t="s">
        <v>177</v>
      </c>
      <c r="AK37" t="str">
        <f t="shared" si="13"/>
        <v>Pending</v>
      </c>
      <c r="AL37" t="s">
        <v>164</v>
      </c>
      <c r="AM37" t="str">
        <f t="shared" si="14"/>
        <v>Returned</v>
      </c>
      <c r="AN37">
        <v>5</v>
      </c>
      <c r="AO37">
        <v>2024</v>
      </c>
      <c r="AP37" t="s">
        <v>79</v>
      </c>
    </row>
    <row r="38" spans="1:42">
      <c r="A38" t="s">
        <v>320</v>
      </c>
      <c r="B38" s="3" t="s">
        <v>321</v>
      </c>
      <c r="C38" s="3">
        <v>45590</v>
      </c>
      <c r="D38" t="s">
        <v>322</v>
      </c>
      <c r="E38" s="3">
        <v>45593</v>
      </c>
      <c r="F38" t="s">
        <v>323</v>
      </c>
      <c r="G38" t="s">
        <v>220</v>
      </c>
      <c r="H38" t="str">
        <f t="shared" si="0"/>
        <v>Rohan Mehta</v>
      </c>
      <c r="I38" t="s">
        <v>147</v>
      </c>
      <c r="J38" t="str">
        <f t="shared" si="1"/>
        <v>Corporate</v>
      </c>
      <c r="K38" t="s">
        <v>11</v>
      </c>
      <c r="L38" t="str">
        <f t="shared" si="2"/>
        <v>West</v>
      </c>
      <c r="M38" t="s">
        <v>114</v>
      </c>
      <c r="N38" t="str">
        <f t="shared" si="3"/>
        <v>Maharashtra</v>
      </c>
      <c r="O38" t="s">
        <v>115</v>
      </c>
      <c r="P38" t="str">
        <f t="shared" si="4"/>
        <v>Mumbai</v>
      </c>
      <c r="Q38" t="s">
        <v>19</v>
      </c>
      <c r="R38" t="str">
        <f t="shared" si="5"/>
        <v>Furniture</v>
      </c>
      <c r="S38" t="s">
        <v>245</v>
      </c>
      <c r="T38" t="str">
        <f t="shared" si="6"/>
        <v>Bookcases</v>
      </c>
      <c r="U38" t="s">
        <v>324</v>
      </c>
      <c r="V38" t="str">
        <f t="shared" si="7"/>
        <v>Eco Bookcases 220</v>
      </c>
      <c r="W38" t="s">
        <v>76</v>
      </c>
      <c r="X38" t="str">
        <f t="shared" si="8"/>
        <v>Second Class</v>
      </c>
      <c r="Y38">
        <v>3</v>
      </c>
      <c r="Z38">
        <v>3</v>
      </c>
      <c r="AA38">
        <v>3126.47</v>
      </c>
      <c r="AB38">
        <v>0</v>
      </c>
      <c r="AC38">
        <f t="shared" si="9"/>
        <v>0</v>
      </c>
      <c r="AD38">
        <v>9379.41</v>
      </c>
      <c r="AE38">
        <f t="shared" si="10"/>
        <v>9379.41</v>
      </c>
      <c r="AF38">
        <v>6670.85</v>
      </c>
      <c r="AG38">
        <v>2708.56</v>
      </c>
      <c r="AH38">
        <f t="shared" si="11"/>
        <v>2708.56</v>
      </c>
      <c r="AI38">
        <f t="shared" si="12"/>
        <v>0.288777225859622</v>
      </c>
      <c r="AJ38" t="s">
        <v>77</v>
      </c>
      <c r="AK38" t="str">
        <f t="shared" si="13"/>
        <v>Paid</v>
      </c>
      <c r="AL38" t="s">
        <v>164</v>
      </c>
      <c r="AM38" t="str">
        <f t="shared" si="14"/>
        <v>Returned</v>
      </c>
      <c r="AN38">
        <v>10</v>
      </c>
      <c r="AO38">
        <v>2024</v>
      </c>
      <c r="AP38" t="s">
        <v>79</v>
      </c>
    </row>
    <row r="39" spans="1:42">
      <c r="A39" t="s">
        <v>325</v>
      </c>
      <c r="B39" s="3" t="s">
        <v>326</v>
      </c>
      <c r="C39" s="3">
        <v>45867</v>
      </c>
      <c r="D39" t="s">
        <v>326</v>
      </c>
      <c r="E39" s="3">
        <v>45867</v>
      </c>
      <c r="F39" t="s">
        <v>327</v>
      </c>
      <c r="G39" t="s">
        <v>251</v>
      </c>
      <c r="H39" t="str">
        <f t="shared" si="0"/>
        <v>Diya Patel</v>
      </c>
      <c r="I39" t="s">
        <v>71</v>
      </c>
      <c r="J39" t="str">
        <f t="shared" si="1"/>
        <v>Consumer</v>
      </c>
      <c r="K39" t="s">
        <v>11</v>
      </c>
      <c r="L39" t="str">
        <f t="shared" si="2"/>
        <v>West</v>
      </c>
      <c r="M39" t="s">
        <v>114</v>
      </c>
      <c r="N39" t="str">
        <f t="shared" si="3"/>
        <v>Maharashtra</v>
      </c>
      <c r="O39" t="s">
        <v>115</v>
      </c>
      <c r="P39" t="str">
        <f t="shared" si="4"/>
        <v>Mumbai</v>
      </c>
      <c r="Q39" t="s">
        <v>24</v>
      </c>
      <c r="R39" t="str">
        <f t="shared" si="5"/>
        <v>Technology</v>
      </c>
      <c r="S39" t="s">
        <v>133</v>
      </c>
      <c r="T39" t="str">
        <f t="shared" si="6"/>
        <v>Copiers</v>
      </c>
      <c r="U39" t="s">
        <v>328</v>
      </c>
      <c r="V39" t="str">
        <f t="shared" si="7"/>
        <v>Pro Copiers 830</v>
      </c>
      <c r="W39" t="s">
        <v>329</v>
      </c>
      <c r="X39" t="str">
        <f t="shared" si="8"/>
        <v>Standard Class</v>
      </c>
      <c r="Y39">
        <v>0</v>
      </c>
      <c r="Z39">
        <v>4</v>
      </c>
      <c r="AA39">
        <v>1327.54</v>
      </c>
      <c r="AB39">
        <v>0.2</v>
      </c>
      <c r="AC39">
        <f t="shared" si="9"/>
        <v>0.2</v>
      </c>
      <c r="AD39">
        <v>4248.13</v>
      </c>
      <c r="AE39">
        <f t="shared" si="10"/>
        <v>4248.128</v>
      </c>
      <c r="AF39">
        <v>3321.09</v>
      </c>
      <c r="AG39">
        <v>927.04</v>
      </c>
      <c r="AH39">
        <f t="shared" si="11"/>
        <v>927.038</v>
      </c>
      <c r="AI39">
        <f t="shared" si="12"/>
        <v>0.218222708920258</v>
      </c>
      <c r="AJ39" t="s">
        <v>77</v>
      </c>
      <c r="AK39" t="str">
        <f t="shared" si="13"/>
        <v>Paid</v>
      </c>
      <c r="AL39" t="s">
        <v>78</v>
      </c>
      <c r="AM39" t="str">
        <f t="shared" si="14"/>
        <v>Completed</v>
      </c>
      <c r="AN39">
        <v>7</v>
      </c>
      <c r="AO39">
        <v>2025</v>
      </c>
      <c r="AP39" t="s">
        <v>79</v>
      </c>
    </row>
    <row r="40" spans="1:42">
      <c r="A40" t="s">
        <v>330</v>
      </c>
      <c r="B40" s="3" t="s">
        <v>331</v>
      </c>
      <c r="C40" s="3">
        <v>45460</v>
      </c>
      <c r="D40" t="s">
        <v>332</v>
      </c>
      <c r="E40" s="3">
        <v>45465</v>
      </c>
      <c r="F40" t="s">
        <v>333</v>
      </c>
      <c r="G40" t="s">
        <v>202</v>
      </c>
      <c r="H40" t="str">
        <f t="shared" si="0"/>
        <v>Aarav Sharma</v>
      </c>
      <c r="I40" t="s">
        <v>147</v>
      </c>
      <c r="J40" t="str">
        <f t="shared" si="1"/>
        <v>Corporate</v>
      </c>
      <c r="K40" t="s">
        <v>11</v>
      </c>
      <c r="L40" t="str">
        <f t="shared" si="2"/>
        <v>West</v>
      </c>
      <c r="M40" t="s">
        <v>278</v>
      </c>
      <c r="N40" t="str">
        <f t="shared" si="3"/>
        <v>Gujarat</v>
      </c>
      <c r="O40" t="s">
        <v>279</v>
      </c>
      <c r="P40" t="str">
        <f t="shared" si="4"/>
        <v>Ahmedabad</v>
      </c>
      <c r="Q40" t="s">
        <v>24</v>
      </c>
      <c r="R40" t="str">
        <f t="shared" si="5"/>
        <v>Technology</v>
      </c>
      <c r="S40" t="s">
        <v>265</v>
      </c>
      <c r="T40" t="str">
        <f t="shared" si="6"/>
        <v>Phones</v>
      </c>
      <c r="U40" t="s">
        <v>334</v>
      </c>
      <c r="V40" t="str">
        <f t="shared" si="7"/>
        <v>Prime Phones 507</v>
      </c>
      <c r="W40" t="s">
        <v>98</v>
      </c>
      <c r="X40" t="str">
        <f t="shared" si="8"/>
        <v>First Class</v>
      </c>
      <c r="Y40">
        <v>5</v>
      </c>
      <c r="Z40">
        <v>7</v>
      </c>
      <c r="AA40">
        <v>2210.68</v>
      </c>
      <c r="AB40">
        <v>0.1</v>
      </c>
      <c r="AC40">
        <f t="shared" si="9"/>
        <v>0.1</v>
      </c>
      <c r="AD40">
        <v>13927.28</v>
      </c>
      <c r="AE40">
        <f t="shared" si="10"/>
        <v>13927.284</v>
      </c>
      <c r="AF40">
        <v>10504.87</v>
      </c>
      <c r="AG40">
        <v>3422.41</v>
      </c>
      <c r="AH40">
        <f t="shared" si="11"/>
        <v>3422.414</v>
      </c>
      <c r="AI40">
        <f t="shared" si="12"/>
        <v>0.245734487786707</v>
      </c>
      <c r="AJ40" t="s">
        <v>77</v>
      </c>
      <c r="AK40" t="str">
        <f t="shared" si="13"/>
        <v>Paid</v>
      </c>
      <c r="AL40" t="s">
        <v>78</v>
      </c>
      <c r="AM40" t="str">
        <f t="shared" si="14"/>
        <v>Completed</v>
      </c>
      <c r="AN40">
        <v>6</v>
      </c>
      <c r="AO40">
        <v>2024</v>
      </c>
      <c r="AP40" t="s">
        <v>79</v>
      </c>
    </row>
    <row r="41" spans="1:42">
      <c r="A41" t="s">
        <v>335</v>
      </c>
      <c r="B41" s="3" t="s">
        <v>336</v>
      </c>
      <c r="C41" s="3">
        <v>45637</v>
      </c>
      <c r="D41" t="s">
        <v>337</v>
      </c>
      <c r="E41" s="3">
        <v>45637</v>
      </c>
      <c r="F41" t="s">
        <v>338</v>
      </c>
      <c r="G41" t="s">
        <v>84</v>
      </c>
      <c r="H41" t="str">
        <f t="shared" si="0"/>
        <v>Mira Das</v>
      </c>
      <c r="I41" t="s">
        <v>85</v>
      </c>
      <c r="J41" t="str">
        <f t="shared" si="1"/>
        <v>Small Business</v>
      </c>
      <c r="K41" t="s">
        <v>11</v>
      </c>
      <c r="L41" t="str">
        <f t="shared" si="2"/>
        <v>West</v>
      </c>
      <c r="M41" t="s">
        <v>124</v>
      </c>
      <c r="N41" t="str">
        <f t="shared" si="3"/>
        <v>Madhya Pradesh</v>
      </c>
      <c r="O41" t="s">
        <v>125</v>
      </c>
      <c r="P41" t="str">
        <f t="shared" si="4"/>
        <v>Indore</v>
      </c>
      <c r="Q41" t="s">
        <v>24</v>
      </c>
      <c r="R41" t="str">
        <f t="shared" si="5"/>
        <v>Technology</v>
      </c>
      <c r="S41" t="s">
        <v>133</v>
      </c>
      <c r="T41" t="str">
        <f t="shared" si="6"/>
        <v>Copiers</v>
      </c>
      <c r="U41" t="s">
        <v>339</v>
      </c>
      <c r="V41" t="str">
        <f t="shared" si="7"/>
        <v>Classic Copiers 590</v>
      </c>
      <c r="W41" t="s">
        <v>98</v>
      </c>
      <c r="X41" t="str">
        <f t="shared" si="8"/>
        <v>First Class</v>
      </c>
      <c r="Y41">
        <v>0</v>
      </c>
      <c r="Z41">
        <v>4</v>
      </c>
      <c r="AA41">
        <v>1370.92</v>
      </c>
      <c r="AB41">
        <v>0.1</v>
      </c>
      <c r="AC41">
        <f t="shared" si="9"/>
        <v>0.1</v>
      </c>
      <c r="AD41">
        <v>4935.31</v>
      </c>
      <c r="AE41">
        <f t="shared" si="10"/>
        <v>4935.312</v>
      </c>
      <c r="AF41">
        <v>3374.77</v>
      </c>
      <c r="AG41">
        <v>1560.54</v>
      </c>
      <c r="AH41">
        <f t="shared" si="11"/>
        <v>1560.542</v>
      </c>
      <c r="AI41">
        <f t="shared" si="12"/>
        <v>0.316199259540228</v>
      </c>
      <c r="AJ41" t="s">
        <v>177</v>
      </c>
      <c r="AK41" t="str">
        <f t="shared" si="13"/>
        <v>Pending</v>
      </c>
      <c r="AL41" t="s">
        <v>164</v>
      </c>
      <c r="AM41" t="str">
        <f t="shared" si="14"/>
        <v>Returned</v>
      </c>
      <c r="AN41">
        <v>12</v>
      </c>
      <c r="AO41">
        <v>2024</v>
      </c>
      <c r="AP41" t="s">
        <v>79</v>
      </c>
    </row>
    <row r="42" spans="1:42">
      <c r="A42" t="s">
        <v>340</v>
      </c>
      <c r="B42" s="3" t="s">
        <v>341</v>
      </c>
      <c r="C42" s="3">
        <v>45575</v>
      </c>
      <c r="D42" t="s">
        <v>342</v>
      </c>
      <c r="E42" s="3">
        <v>45581</v>
      </c>
      <c r="F42" t="s">
        <v>343</v>
      </c>
      <c r="G42" t="s">
        <v>95</v>
      </c>
      <c r="H42" t="str">
        <f t="shared" si="0"/>
        <v>Isha Nair</v>
      </c>
      <c r="I42" t="s">
        <v>154</v>
      </c>
      <c r="J42" t="str">
        <f t="shared" si="1"/>
        <v>Home Office</v>
      </c>
      <c r="K42" t="s">
        <v>11</v>
      </c>
      <c r="L42" t="str">
        <f t="shared" si="2"/>
        <v>West</v>
      </c>
      <c r="M42" t="s">
        <v>72</v>
      </c>
      <c r="N42" t="str">
        <f t="shared" si="3"/>
        <v>Rajasthan</v>
      </c>
      <c r="O42" t="s">
        <v>175</v>
      </c>
      <c r="P42" t="str">
        <f t="shared" si="4"/>
        <v>Udaipur</v>
      </c>
      <c r="Q42" t="s">
        <v>24</v>
      </c>
      <c r="R42" t="str">
        <f t="shared" si="5"/>
        <v>Technology</v>
      </c>
      <c r="S42" t="s">
        <v>133</v>
      </c>
      <c r="T42" t="str">
        <f t="shared" si="6"/>
        <v>Copiers</v>
      </c>
      <c r="U42" t="s">
        <v>344</v>
      </c>
      <c r="V42" t="str">
        <f t="shared" si="7"/>
        <v>Eco Copiers 865</v>
      </c>
      <c r="W42" t="s">
        <v>108</v>
      </c>
      <c r="X42" t="str">
        <f t="shared" si="8"/>
        <v>Standard Class</v>
      </c>
      <c r="Y42">
        <v>6</v>
      </c>
      <c r="Z42">
        <v>7</v>
      </c>
      <c r="AA42">
        <v>2509.27</v>
      </c>
      <c r="AB42">
        <v>0.2</v>
      </c>
      <c r="AC42">
        <f t="shared" si="9"/>
        <v>0.2</v>
      </c>
      <c r="AD42">
        <v>14051.91</v>
      </c>
      <c r="AE42">
        <f t="shared" si="10"/>
        <v>14051.912</v>
      </c>
      <c r="AF42">
        <v>11990.37</v>
      </c>
      <c r="AG42">
        <v>2061.54</v>
      </c>
      <c r="AH42">
        <f t="shared" si="11"/>
        <v>2061.542</v>
      </c>
      <c r="AI42">
        <f t="shared" si="12"/>
        <v>0.146709003016814</v>
      </c>
      <c r="AJ42" t="s">
        <v>77</v>
      </c>
      <c r="AK42" t="str">
        <f t="shared" si="13"/>
        <v>Paid</v>
      </c>
      <c r="AL42" t="s">
        <v>78</v>
      </c>
      <c r="AM42" t="str">
        <f t="shared" si="14"/>
        <v>Completed</v>
      </c>
      <c r="AN42">
        <v>10</v>
      </c>
      <c r="AO42">
        <v>2024</v>
      </c>
      <c r="AP42" t="s">
        <v>79</v>
      </c>
    </row>
    <row r="43" spans="1:42">
      <c r="A43" t="s">
        <v>345</v>
      </c>
      <c r="B43" s="3" t="s">
        <v>346</v>
      </c>
      <c r="C43" s="3">
        <v>45363</v>
      </c>
      <c r="D43" t="s">
        <v>347</v>
      </c>
      <c r="E43" s="3">
        <v>45368</v>
      </c>
      <c r="F43" t="s">
        <v>348</v>
      </c>
      <c r="G43" t="s">
        <v>202</v>
      </c>
      <c r="H43" t="str">
        <f t="shared" si="0"/>
        <v>Aarav Sharma</v>
      </c>
      <c r="I43" t="s">
        <v>85</v>
      </c>
      <c r="J43" t="str">
        <f t="shared" si="1"/>
        <v>Small Business</v>
      </c>
      <c r="K43" t="s">
        <v>7</v>
      </c>
      <c r="L43" t="str">
        <f t="shared" si="2"/>
        <v>East</v>
      </c>
      <c r="M43" t="s">
        <v>86</v>
      </c>
      <c r="N43" t="str">
        <f t="shared" si="3"/>
        <v>Odisha</v>
      </c>
      <c r="O43" t="s">
        <v>87</v>
      </c>
      <c r="P43" t="str">
        <f t="shared" si="4"/>
        <v>Bhubaneswar</v>
      </c>
      <c r="Q43" t="s">
        <v>19</v>
      </c>
      <c r="R43" t="str">
        <f t="shared" si="5"/>
        <v>Furniture</v>
      </c>
      <c r="S43" t="s">
        <v>245</v>
      </c>
      <c r="T43" t="str">
        <f t="shared" si="6"/>
        <v>Bookcases</v>
      </c>
      <c r="U43" t="s">
        <v>349</v>
      </c>
      <c r="V43" t="str">
        <f t="shared" si="7"/>
        <v>Classic Bookcases 835</v>
      </c>
      <c r="W43" t="s">
        <v>90</v>
      </c>
      <c r="X43" t="str">
        <f t="shared" si="8"/>
        <v>Same Day</v>
      </c>
      <c r="Y43">
        <v>5</v>
      </c>
      <c r="Z43">
        <v>8</v>
      </c>
      <c r="AA43">
        <v>855.81</v>
      </c>
      <c r="AB43">
        <v>0</v>
      </c>
      <c r="AC43">
        <f t="shared" si="9"/>
        <v>0</v>
      </c>
      <c r="AD43">
        <v>6846.48</v>
      </c>
      <c r="AE43">
        <f t="shared" si="10"/>
        <v>6846.48</v>
      </c>
      <c r="AF43">
        <v>4239.89</v>
      </c>
      <c r="AG43">
        <v>2606.59</v>
      </c>
      <c r="AH43">
        <f t="shared" si="11"/>
        <v>2606.59</v>
      </c>
      <c r="AI43">
        <f t="shared" si="12"/>
        <v>0.380719727509611</v>
      </c>
      <c r="AJ43" t="s">
        <v>177</v>
      </c>
      <c r="AK43" t="str">
        <f t="shared" si="13"/>
        <v>Pending</v>
      </c>
      <c r="AL43" t="s">
        <v>118</v>
      </c>
      <c r="AM43" t="str">
        <f t="shared" si="14"/>
        <v>Cancelled</v>
      </c>
      <c r="AN43">
        <v>3</v>
      </c>
      <c r="AO43">
        <v>2024</v>
      </c>
      <c r="AP43" t="s">
        <v>79</v>
      </c>
    </row>
    <row r="44" spans="1:42">
      <c r="A44" t="s">
        <v>350</v>
      </c>
      <c r="B44" s="3" t="s">
        <v>351</v>
      </c>
      <c r="C44" s="3">
        <v>45940</v>
      </c>
      <c r="D44" t="s">
        <v>352</v>
      </c>
      <c r="E44" s="3">
        <v>45945</v>
      </c>
      <c r="F44" t="s">
        <v>353</v>
      </c>
      <c r="G44" t="s">
        <v>103</v>
      </c>
      <c r="H44" t="str">
        <f t="shared" si="0"/>
        <v>Arjun Bose</v>
      </c>
      <c r="I44" t="s">
        <v>147</v>
      </c>
      <c r="J44" t="str">
        <f t="shared" si="1"/>
        <v>Corporate</v>
      </c>
      <c r="K44" t="s">
        <v>7</v>
      </c>
      <c r="L44" t="str">
        <f t="shared" si="2"/>
        <v>East</v>
      </c>
      <c r="M44" t="s">
        <v>354</v>
      </c>
      <c r="N44" t="str">
        <f t="shared" si="3"/>
        <v>Jharkhand</v>
      </c>
      <c r="O44" t="s">
        <v>355</v>
      </c>
      <c r="P44" t="str">
        <f t="shared" si="4"/>
        <v>Ranchi</v>
      </c>
      <c r="Q44" t="s">
        <v>24</v>
      </c>
      <c r="R44" t="str">
        <f t="shared" si="5"/>
        <v>Technology</v>
      </c>
      <c r="S44" t="s">
        <v>265</v>
      </c>
      <c r="T44" t="str">
        <f t="shared" si="6"/>
        <v>Phones</v>
      </c>
      <c r="U44" t="s">
        <v>356</v>
      </c>
      <c r="V44" t="str">
        <f t="shared" si="7"/>
        <v>Eco Phones 702</v>
      </c>
      <c r="W44" t="s">
        <v>108</v>
      </c>
      <c r="X44" t="str">
        <f t="shared" si="8"/>
        <v>Standard Class</v>
      </c>
      <c r="Y44">
        <v>5</v>
      </c>
      <c r="Z44">
        <v>8</v>
      </c>
      <c r="AA44">
        <v>979.87</v>
      </c>
      <c r="AB44">
        <v>0.05</v>
      </c>
      <c r="AC44">
        <f t="shared" si="9"/>
        <v>0.05</v>
      </c>
      <c r="AD44">
        <v>7447.01</v>
      </c>
      <c r="AE44">
        <f t="shared" si="10"/>
        <v>7447.012</v>
      </c>
      <c r="AF44">
        <v>4496.22</v>
      </c>
      <c r="AG44">
        <v>2950.79</v>
      </c>
      <c r="AH44">
        <f t="shared" si="11"/>
        <v>2950.792</v>
      </c>
      <c r="AI44">
        <f t="shared" si="12"/>
        <v>0.396238383931703</v>
      </c>
      <c r="AJ44" t="s">
        <v>77</v>
      </c>
      <c r="AK44" t="str">
        <f t="shared" si="13"/>
        <v>Paid</v>
      </c>
      <c r="AL44" t="s">
        <v>78</v>
      </c>
      <c r="AM44" t="str">
        <f t="shared" si="14"/>
        <v>Completed</v>
      </c>
      <c r="AN44">
        <v>10</v>
      </c>
      <c r="AO44">
        <v>2025</v>
      </c>
      <c r="AP44" t="s">
        <v>79</v>
      </c>
    </row>
    <row r="45" spans="1:42">
      <c r="A45" t="s">
        <v>357</v>
      </c>
      <c r="B45" s="3" t="s">
        <v>358</v>
      </c>
      <c r="C45" s="3">
        <v>45481</v>
      </c>
      <c r="D45" t="s">
        <v>359</v>
      </c>
      <c r="E45" s="3">
        <v>45487</v>
      </c>
      <c r="F45" t="s">
        <v>360</v>
      </c>
      <c r="G45" t="s">
        <v>182</v>
      </c>
      <c r="H45" t="str">
        <f t="shared" si="0"/>
        <v>Priya Menon</v>
      </c>
      <c r="I45" t="s">
        <v>85</v>
      </c>
      <c r="J45" t="str">
        <f t="shared" si="1"/>
        <v>Small Business</v>
      </c>
      <c r="K45" t="s">
        <v>7</v>
      </c>
      <c r="L45" t="str">
        <f t="shared" si="2"/>
        <v>East</v>
      </c>
      <c r="M45" t="s">
        <v>86</v>
      </c>
      <c r="N45" t="str">
        <f t="shared" si="3"/>
        <v>Odisha</v>
      </c>
      <c r="O45" t="s">
        <v>87</v>
      </c>
      <c r="P45" t="str">
        <f t="shared" si="4"/>
        <v>Bhubaneswar</v>
      </c>
      <c r="Q45" t="s">
        <v>19</v>
      </c>
      <c r="R45" t="str">
        <f t="shared" si="5"/>
        <v>Furniture</v>
      </c>
      <c r="S45" t="s">
        <v>106</v>
      </c>
      <c r="T45" t="str">
        <f t="shared" si="6"/>
        <v>Furnishings</v>
      </c>
      <c r="U45" t="s">
        <v>361</v>
      </c>
      <c r="V45" t="str">
        <f t="shared" si="7"/>
        <v>Smart Furnishings 956</v>
      </c>
      <c r="W45" t="s">
        <v>90</v>
      </c>
      <c r="X45" t="str">
        <f t="shared" si="8"/>
        <v>Same Day</v>
      </c>
      <c r="Y45">
        <v>6</v>
      </c>
      <c r="Z45">
        <v>3</v>
      </c>
      <c r="AA45">
        <v>1010.23</v>
      </c>
      <c r="AB45">
        <v>0</v>
      </c>
      <c r="AC45">
        <f t="shared" si="9"/>
        <v>0</v>
      </c>
      <c r="AD45">
        <v>3030.69</v>
      </c>
      <c r="AE45">
        <f t="shared" si="10"/>
        <v>3030.69</v>
      </c>
      <c r="AF45">
        <v>1721.08</v>
      </c>
      <c r="AG45">
        <v>1309.61</v>
      </c>
      <c r="AH45">
        <f t="shared" si="11"/>
        <v>1309.61</v>
      </c>
      <c r="AI45">
        <f t="shared" si="12"/>
        <v>0.432116118771633</v>
      </c>
      <c r="AJ45" t="s">
        <v>77</v>
      </c>
      <c r="AK45" t="str">
        <f t="shared" si="13"/>
        <v>Paid</v>
      </c>
      <c r="AL45" t="s">
        <v>78</v>
      </c>
      <c r="AM45" t="str">
        <f t="shared" si="14"/>
        <v>Completed</v>
      </c>
      <c r="AN45">
        <v>7</v>
      </c>
      <c r="AO45">
        <v>2024</v>
      </c>
      <c r="AP45" t="s">
        <v>79</v>
      </c>
    </row>
    <row r="46" spans="1:42">
      <c r="A46" t="s">
        <v>362</v>
      </c>
      <c r="B46" s="3" t="s">
        <v>363</v>
      </c>
      <c r="C46" s="3">
        <v>45465</v>
      </c>
      <c r="D46" t="s">
        <v>364</v>
      </c>
      <c r="E46" s="3">
        <v>45468</v>
      </c>
      <c r="F46" t="s">
        <v>365</v>
      </c>
      <c r="G46" t="s">
        <v>220</v>
      </c>
      <c r="H46" t="str">
        <f t="shared" si="0"/>
        <v>Rohan Mehta</v>
      </c>
      <c r="I46" t="s">
        <v>85</v>
      </c>
      <c r="J46" t="str">
        <f t="shared" si="1"/>
        <v>Small Business</v>
      </c>
      <c r="K46" t="s">
        <v>8</v>
      </c>
      <c r="L46" t="str">
        <f t="shared" si="2"/>
        <v>North</v>
      </c>
      <c r="M46" t="s">
        <v>366</v>
      </c>
      <c r="N46" t="str">
        <f t="shared" si="3"/>
        <v>Haryana</v>
      </c>
      <c r="O46" t="s">
        <v>367</v>
      </c>
      <c r="P46" t="str">
        <f t="shared" si="4"/>
        <v>Gurugram</v>
      </c>
      <c r="Q46" t="s">
        <v>19</v>
      </c>
      <c r="R46" t="str">
        <f t="shared" si="5"/>
        <v>Furniture</v>
      </c>
      <c r="S46" t="s">
        <v>116</v>
      </c>
      <c r="T46" t="str">
        <f t="shared" si="6"/>
        <v>Chairs</v>
      </c>
      <c r="U46" t="s">
        <v>368</v>
      </c>
      <c r="V46" t="str">
        <f t="shared" si="7"/>
        <v>Max Chairs 393</v>
      </c>
      <c r="W46" t="s">
        <v>108</v>
      </c>
      <c r="X46" t="str">
        <f t="shared" si="8"/>
        <v>Standard Class</v>
      </c>
      <c r="Y46">
        <v>3</v>
      </c>
      <c r="Z46">
        <v>9</v>
      </c>
      <c r="AA46">
        <v>3329.77</v>
      </c>
      <c r="AB46">
        <v>0.1</v>
      </c>
      <c r="AC46">
        <f t="shared" si="9"/>
        <v>0.1</v>
      </c>
      <c r="AD46">
        <v>26971.14</v>
      </c>
      <c r="AE46">
        <f t="shared" si="10"/>
        <v>26971.137</v>
      </c>
      <c r="AF46">
        <v>17376.2</v>
      </c>
      <c r="AG46">
        <v>9594.94</v>
      </c>
      <c r="AH46">
        <f t="shared" si="11"/>
        <v>9594.937</v>
      </c>
      <c r="AI46">
        <f t="shared" si="12"/>
        <v>0.355748332003949</v>
      </c>
      <c r="AJ46" t="s">
        <v>77</v>
      </c>
      <c r="AK46" t="str">
        <f t="shared" si="13"/>
        <v>Paid</v>
      </c>
      <c r="AL46" t="s">
        <v>78</v>
      </c>
      <c r="AM46" t="str">
        <f t="shared" si="14"/>
        <v>Completed</v>
      </c>
      <c r="AN46">
        <v>6</v>
      </c>
      <c r="AO46">
        <v>2024</v>
      </c>
      <c r="AP46" t="s">
        <v>79</v>
      </c>
    </row>
    <row r="47" spans="1:42">
      <c r="A47" t="s">
        <v>369</v>
      </c>
      <c r="B47" s="3" t="s">
        <v>370</v>
      </c>
      <c r="C47" s="3">
        <v>45309</v>
      </c>
      <c r="D47" t="s">
        <v>371</v>
      </c>
      <c r="E47" s="3">
        <v>45315</v>
      </c>
      <c r="F47" t="s">
        <v>372</v>
      </c>
      <c r="G47" t="s">
        <v>95</v>
      </c>
      <c r="H47" t="str">
        <f t="shared" si="0"/>
        <v>Isha Nair</v>
      </c>
      <c r="I47" t="s">
        <v>154</v>
      </c>
      <c r="J47" t="str">
        <f t="shared" si="1"/>
        <v>Home Office</v>
      </c>
      <c r="K47" t="s">
        <v>7</v>
      </c>
      <c r="L47" t="str">
        <f t="shared" si="2"/>
        <v>East</v>
      </c>
      <c r="M47" t="s">
        <v>227</v>
      </c>
      <c r="N47" t="str">
        <f t="shared" si="3"/>
        <v>Bihar</v>
      </c>
      <c r="O47" t="s">
        <v>228</v>
      </c>
      <c r="P47" t="str">
        <f t="shared" si="4"/>
        <v>Patna</v>
      </c>
      <c r="Q47" t="s">
        <v>22</v>
      </c>
      <c r="R47" t="str">
        <f t="shared" si="5"/>
        <v>Office Supplies</v>
      </c>
      <c r="S47" t="s">
        <v>96</v>
      </c>
      <c r="T47" t="str">
        <f t="shared" si="6"/>
        <v>Art</v>
      </c>
      <c r="U47" t="s">
        <v>373</v>
      </c>
      <c r="V47" t="str">
        <f t="shared" si="7"/>
        <v>Prime Art 221</v>
      </c>
      <c r="W47" t="s">
        <v>76</v>
      </c>
      <c r="X47" t="str">
        <f t="shared" si="8"/>
        <v>Second Class</v>
      </c>
      <c r="Y47">
        <v>6</v>
      </c>
      <c r="Z47">
        <v>8</v>
      </c>
      <c r="AA47">
        <v>3927.82</v>
      </c>
      <c r="AB47">
        <v>0.05</v>
      </c>
      <c r="AC47">
        <f t="shared" si="9"/>
        <v>0.05</v>
      </c>
      <c r="AD47">
        <v>29851.43</v>
      </c>
      <c r="AE47">
        <f t="shared" si="10"/>
        <v>29851.432</v>
      </c>
      <c r="AF47">
        <v>17487.48</v>
      </c>
      <c r="AG47">
        <v>12363.95</v>
      </c>
      <c r="AH47">
        <f t="shared" si="11"/>
        <v>12363.952</v>
      </c>
      <c r="AI47">
        <f t="shared" si="12"/>
        <v>0.414182877390941</v>
      </c>
      <c r="AJ47" t="s">
        <v>177</v>
      </c>
      <c r="AK47" t="str">
        <f t="shared" si="13"/>
        <v>Pending</v>
      </c>
      <c r="AL47" t="s">
        <v>164</v>
      </c>
      <c r="AM47" t="str">
        <f t="shared" si="14"/>
        <v>Returned</v>
      </c>
      <c r="AN47">
        <v>1</v>
      </c>
      <c r="AO47">
        <v>2024</v>
      </c>
      <c r="AP47" t="s">
        <v>79</v>
      </c>
    </row>
    <row r="48" spans="1:42">
      <c r="A48" t="s">
        <v>374</v>
      </c>
      <c r="B48" s="3" t="s">
        <v>375</v>
      </c>
      <c r="C48" s="3">
        <v>45492</v>
      </c>
      <c r="D48" t="s">
        <v>375</v>
      </c>
      <c r="E48" s="3">
        <v>45492</v>
      </c>
      <c r="F48" t="s">
        <v>376</v>
      </c>
      <c r="G48" t="s">
        <v>113</v>
      </c>
      <c r="H48" t="str">
        <f t="shared" si="0"/>
        <v>Ananya Rao</v>
      </c>
      <c r="I48" t="s">
        <v>85</v>
      </c>
      <c r="J48" t="str">
        <f t="shared" si="1"/>
        <v>Small Business</v>
      </c>
      <c r="K48" t="s">
        <v>10</v>
      </c>
      <c r="L48" t="str">
        <f t="shared" si="2"/>
        <v>South</v>
      </c>
      <c r="M48" t="s">
        <v>285</v>
      </c>
      <c r="N48" t="str">
        <f t="shared" si="3"/>
        <v>Kerala</v>
      </c>
      <c r="O48" t="s">
        <v>286</v>
      </c>
      <c r="P48" t="str">
        <f t="shared" si="4"/>
        <v>Kochi</v>
      </c>
      <c r="Q48" t="s">
        <v>19</v>
      </c>
      <c r="R48" t="str">
        <f t="shared" si="5"/>
        <v>Furniture</v>
      </c>
      <c r="S48" t="s">
        <v>245</v>
      </c>
      <c r="T48" t="str">
        <f t="shared" si="6"/>
        <v>Bookcases</v>
      </c>
      <c r="U48" t="s">
        <v>377</v>
      </c>
      <c r="V48" t="str">
        <f t="shared" si="7"/>
        <v>Elite Bookcases 671</v>
      </c>
      <c r="W48" t="s">
        <v>108</v>
      </c>
      <c r="X48" t="str">
        <f t="shared" si="8"/>
        <v>Standard Class</v>
      </c>
      <c r="Y48">
        <v>0</v>
      </c>
      <c r="Z48">
        <v>9</v>
      </c>
      <c r="AA48">
        <v>2386.79</v>
      </c>
      <c r="AB48">
        <v>0.25</v>
      </c>
      <c r="AC48">
        <f t="shared" si="9"/>
        <v>0.25</v>
      </c>
      <c r="AD48">
        <v>16110.83</v>
      </c>
      <c r="AE48">
        <f t="shared" si="10"/>
        <v>16110.8325</v>
      </c>
      <c r="AF48">
        <v>10680.03</v>
      </c>
      <c r="AG48">
        <v>5430.8</v>
      </c>
      <c r="AH48">
        <f t="shared" si="11"/>
        <v>5430.8025</v>
      </c>
      <c r="AI48">
        <f t="shared" si="12"/>
        <v>0.337090122437807</v>
      </c>
      <c r="AJ48" t="s">
        <v>163</v>
      </c>
      <c r="AK48" t="str">
        <f t="shared" si="13"/>
        <v>Refunded</v>
      </c>
      <c r="AL48" t="s">
        <v>164</v>
      </c>
      <c r="AM48" t="str">
        <f t="shared" si="14"/>
        <v>Returned</v>
      </c>
      <c r="AN48">
        <v>7</v>
      </c>
      <c r="AO48">
        <v>2024</v>
      </c>
      <c r="AP48" t="s">
        <v>79</v>
      </c>
    </row>
    <row r="49" spans="1:42">
      <c r="A49" t="s">
        <v>378</v>
      </c>
      <c r="B49" s="3" t="s">
        <v>379</v>
      </c>
      <c r="C49" s="3">
        <v>45516</v>
      </c>
      <c r="D49" t="s">
        <v>380</v>
      </c>
      <c r="E49" s="3">
        <v>45516</v>
      </c>
      <c r="F49" t="s">
        <v>381</v>
      </c>
      <c r="G49" t="s">
        <v>188</v>
      </c>
      <c r="H49" t="str">
        <f t="shared" si="0"/>
        <v>Rahul Verma</v>
      </c>
      <c r="I49" t="s">
        <v>147</v>
      </c>
      <c r="J49" t="str">
        <f t="shared" si="1"/>
        <v>Corporate</v>
      </c>
      <c r="K49" t="s">
        <v>10</v>
      </c>
      <c r="L49" t="str">
        <f t="shared" si="2"/>
        <v>South</v>
      </c>
      <c r="M49" t="s">
        <v>382</v>
      </c>
      <c r="N49" t="str">
        <f t="shared" si="3"/>
        <v>Tamil Nadu</v>
      </c>
      <c r="O49" t="s">
        <v>383</v>
      </c>
      <c r="P49" t="str">
        <f t="shared" si="4"/>
        <v>Chennai</v>
      </c>
      <c r="Q49" t="s">
        <v>22</v>
      </c>
      <c r="R49" t="str">
        <f t="shared" si="5"/>
        <v>Office Supplies</v>
      </c>
      <c r="S49" t="s">
        <v>196</v>
      </c>
      <c r="T49" t="str">
        <f t="shared" si="6"/>
        <v>Storage</v>
      </c>
      <c r="U49" t="s">
        <v>384</v>
      </c>
      <c r="V49" t="str">
        <f t="shared" si="7"/>
        <v>Max Storage 432</v>
      </c>
      <c r="W49" t="s">
        <v>108</v>
      </c>
      <c r="X49" t="str">
        <f t="shared" si="8"/>
        <v>Standard Class</v>
      </c>
      <c r="Y49">
        <v>0</v>
      </c>
      <c r="Z49">
        <v>8</v>
      </c>
      <c r="AA49">
        <v>2445.31</v>
      </c>
      <c r="AB49">
        <v>0.1</v>
      </c>
      <c r="AC49">
        <f t="shared" si="9"/>
        <v>0.1</v>
      </c>
      <c r="AD49">
        <v>17606.23</v>
      </c>
      <c r="AE49">
        <f t="shared" si="10"/>
        <v>17606.232</v>
      </c>
      <c r="AF49">
        <v>12438.96</v>
      </c>
      <c r="AG49">
        <v>5167.27</v>
      </c>
      <c r="AH49">
        <f t="shared" si="11"/>
        <v>5167.272</v>
      </c>
      <c r="AI49">
        <f t="shared" si="12"/>
        <v>0.293491077477566</v>
      </c>
      <c r="AJ49" t="s">
        <v>77</v>
      </c>
      <c r="AK49" t="str">
        <f t="shared" si="13"/>
        <v>Paid</v>
      </c>
      <c r="AL49" t="s">
        <v>78</v>
      </c>
      <c r="AM49" t="str">
        <f t="shared" si="14"/>
        <v>Completed</v>
      </c>
      <c r="AN49">
        <v>8</v>
      </c>
      <c r="AO49">
        <v>2024</v>
      </c>
      <c r="AP49" t="s">
        <v>79</v>
      </c>
    </row>
    <row r="50" spans="1:42">
      <c r="A50" t="s">
        <v>385</v>
      </c>
      <c r="B50" s="3" t="s">
        <v>386</v>
      </c>
      <c r="C50" s="3">
        <v>45687</v>
      </c>
      <c r="D50" t="s">
        <v>387</v>
      </c>
      <c r="E50" s="3">
        <v>45693</v>
      </c>
      <c r="F50" t="s">
        <v>388</v>
      </c>
      <c r="G50" t="s">
        <v>132</v>
      </c>
      <c r="H50" t="str">
        <f t="shared" si="0"/>
        <v>Neha Gupta</v>
      </c>
      <c r="I50" t="s">
        <v>147</v>
      </c>
      <c r="J50" t="str">
        <f t="shared" si="1"/>
        <v>Corporate</v>
      </c>
      <c r="K50" t="s">
        <v>11</v>
      </c>
      <c r="L50" t="str">
        <f t="shared" si="2"/>
        <v>West</v>
      </c>
      <c r="M50" t="s">
        <v>114</v>
      </c>
      <c r="N50" t="str">
        <f t="shared" si="3"/>
        <v>Maharashtra</v>
      </c>
      <c r="O50" t="s">
        <v>115</v>
      </c>
      <c r="P50" t="str">
        <f t="shared" si="4"/>
        <v>Mumbai</v>
      </c>
      <c r="Q50" t="s">
        <v>19</v>
      </c>
      <c r="R50" t="str">
        <f t="shared" si="5"/>
        <v>Furniture</v>
      </c>
      <c r="S50" t="s">
        <v>116</v>
      </c>
      <c r="T50" t="str">
        <f t="shared" si="6"/>
        <v>Chairs</v>
      </c>
      <c r="U50" t="s">
        <v>389</v>
      </c>
      <c r="V50" t="str">
        <f t="shared" si="7"/>
        <v>Basic Chairs 837</v>
      </c>
      <c r="W50" t="s">
        <v>390</v>
      </c>
      <c r="X50" t="str">
        <f t="shared" si="8"/>
        <v>Second Class</v>
      </c>
      <c r="Y50">
        <v>6</v>
      </c>
      <c r="Z50">
        <v>7</v>
      </c>
      <c r="AA50">
        <v>4063.66</v>
      </c>
      <c r="AB50">
        <v>0</v>
      </c>
      <c r="AC50">
        <f t="shared" si="9"/>
        <v>0</v>
      </c>
      <c r="AD50">
        <v>28445.62</v>
      </c>
      <c r="AE50">
        <f t="shared" si="10"/>
        <v>28445.62</v>
      </c>
      <c r="AF50">
        <v>20938.59</v>
      </c>
      <c r="AG50">
        <v>7507.03</v>
      </c>
      <c r="AH50">
        <f t="shared" si="11"/>
        <v>7507.03</v>
      </c>
      <c r="AI50">
        <f t="shared" si="12"/>
        <v>0.263908116609868</v>
      </c>
      <c r="AJ50" t="s">
        <v>77</v>
      </c>
      <c r="AK50" t="str">
        <f t="shared" si="13"/>
        <v>Paid</v>
      </c>
      <c r="AL50" t="s">
        <v>78</v>
      </c>
      <c r="AM50" t="str">
        <f t="shared" si="14"/>
        <v>Completed</v>
      </c>
      <c r="AN50">
        <v>1</v>
      </c>
      <c r="AO50">
        <v>2025</v>
      </c>
      <c r="AP50" t="s">
        <v>79</v>
      </c>
    </row>
    <row r="51" spans="1:42">
      <c r="A51" t="s">
        <v>391</v>
      </c>
      <c r="B51" s="3" t="s">
        <v>392</v>
      </c>
      <c r="C51" s="3">
        <v>45388</v>
      </c>
      <c r="D51" t="s">
        <v>393</v>
      </c>
      <c r="E51" s="3">
        <v>45395</v>
      </c>
      <c r="F51" t="s">
        <v>394</v>
      </c>
      <c r="G51" t="s">
        <v>202</v>
      </c>
      <c r="H51" t="str">
        <f t="shared" si="0"/>
        <v>Aarav Sharma</v>
      </c>
      <c r="I51" t="s">
        <v>154</v>
      </c>
      <c r="J51" t="str">
        <f t="shared" si="1"/>
        <v>Home Office</v>
      </c>
      <c r="K51" t="s">
        <v>8</v>
      </c>
      <c r="L51" t="str">
        <f t="shared" si="2"/>
        <v>North</v>
      </c>
      <c r="M51" t="s">
        <v>214</v>
      </c>
      <c r="N51" t="str">
        <f t="shared" si="3"/>
        <v>Uttar Pradesh</v>
      </c>
      <c r="O51" t="s">
        <v>215</v>
      </c>
      <c r="P51" t="str">
        <f t="shared" si="4"/>
        <v>Noida</v>
      </c>
      <c r="Q51" t="s">
        <v>24</v>
      </c>
      <c r="R51" t="str">
        <f t="shared" si="5"/>
        <v>Technology</v>
      </c>
      <c r="S51" t="s">
        <v>133</v>
      </c>
      <c r="T51" t="str">
        <f t="shared" si="6"/>
        <v>Copiers</v>
      </c>
      <c r="U51" t="s">
        <v>395</v>
      </c>
      <c r="V51" t="str">
        <f t="shared" si="7"/>
        <v>Classic Copiers 295</v>
      </c>
      <c r="W51" t="s">
        <v>76</v>
      </c>
      <c r="X51" t="str">
        <f t="shared" si="8"/>
        <v>Second Class</v>
      </c>
      <c r="Y51">
        <v>7</v>
      </c>
      <c r="Z51">
        <v>9</v>
      </c>
      <c r="AA51">
        <v>792.11</v>
      </c>
      <c r="AB51">
        <v>0.05</v>
      </c>
      <c r="AC51">
        <f t="shared" si="9"/>
        <v>0.05</v>
      </c>
      <c r="AD51">
        <v>6772.54</v>
      </c>
      <c r="AE51">
        <f t="shared" si="10"/>
        <v>6772.5405</v>
      </c>
      <c r="AF51">
        <v>5755.46</v>
      </c>
      <c r="AG51">
        <v>1017.08</v>
      </c>
      <c r="AH51">
        <f t="shared" si="11"/>
        <v>1017.0805</v>
      </c>
      <c r="AI51">
        <f t="shared" si="12"/>
        <v>0.150177101192676</v>
      </c>
      <c r="AJ51" t="s">
        <v>77</v>
      </c>
      <c r="AK51" t="str">
        <f t="shared" si="13"/>
        <v>Paid</v>
      </c>
      <c r="AL51" t="s">
        <v>78</v>
      </c>
      <c r="AM51" t="str">
        <f t="shared" si="14"/>
        <v>Completed</v>
      </c>
      <c r="AN51">
        <v>4</v>
      </c>
      <c r="AO51">
        <v>2024</v>
      </c>
      <c r="AP51" t="s">
        <v>79</v>
      </c>
    </row>
    <row r="52" spans="1:42">
      <c r="A52" t="s">
        <v>396</v>
      </c>
      <c r="B52" s="3" t="s">
        <v>397</v>
      </c>
      <c r="C52" s="3">
        <v>45788</v>
      </c>
      <c r="D52" t="s">
        <v>398</v>
      </c>
      <c r="E52" s="3">
        <v>45796</v>
      </c>
      <c r="F52" t="s">
        <v>399</v>
      </c>
      <c r="G52" t="s">
        <v>208</v>
      </c>
      <c r="H52" t="str">
        <f t="shared" si="0"/>
        <v>Sneha Kapoor</v>
      </c>
      <c r="I52" t="s">
        <v>71</v>
      </c>
      <c r="J52" t="str">
        <f t="shared" si="1"/>
        <v>Consumer</v>
      </c>
      <c r="K52" t="s">
        <v>7</v>
      </c>
      <c r="L52" t="str">
        <f t="shared" si="2"/>
        <v>East</v>
      </c>
      <c r="M52" t="s">
        <v>160</v>
      </c>
      <c r="N52" t="str">
        <f t="shared" si="3"/>
        <v>West Bengal</v>
      </c>
      <c r="O52" t="s">
        <v>161</v>
      </c>
      <c r="P52" t="str">
        <f t="shared" si="4"/>
        <v>Kolkata</v>
      </c>
      <c r="Q52" t="s">
        <v>24</v>
      </c>
      <c r="R52" t="str">
        <f t="shared" si="5"/>
        <v>Technology</v>
      </c>
      <c r="S52" t="s">
        <v>133</v>
      </c>
      <c r="T52" t="str">
        <f t="shared" si="6"/>
        <v>Copiers</v>
      </c>
      <c r="U52" t="s">
        <v>400</v>
      </c>
      <c r="V52" t="str">
        <f t="shared" si="7"/>
        <v>Pro Copiers 963</v>
      </c>
      <c r="W52" t="s">
        <v>108</v>
      </c>
      <c r="X52" t="str">
        <f t="shared" si="8"/>
        <v>Standard Class</v>
      </c>
      <c r="Y52">
        <v>8</v>
      </c>
      <c r="Z52">
        <v>1</v>
      </c>
      <c r="AA52">
        <v>2382.8</v>
      </c>
      <c r="AB52">
        <v>0.15</v>
      </c>
      <c r="AC52">
        <f t="shared" si="9"/>
        <v>0.15</v>
      </c>
      <c r="AD52">
        <v>2025.38</v>
      </c>
      <c r="AE52">
        <f t="shared" si="10"/>
        <v>2025.38</v>
      </c>
      <c r="AF52">
        <v>1140.65</v>
      </c>
      <c r="AG52">
        <v>884.73</v>
      </c>
      <c r="AH52">
        <f t="shared" si="11"/>
        <v>884.73</v>
      </c>
      <c r="AI52">
        <f t="shared" si="12"/>
        <v>0.436821732218152</v>
      </c>
      <c r="AJ52" t="s">
        <v>77</v>
      </c>
      <c r="AK52" t="str">
        <f t="shared" si="13"/>
        <v>Paid</v>
      </c>
      <c r="AL52" t="s">
        <v>78</v>
      </c>
      <c r="AM52" t="str">
        <f t="shared" si="14"/>
        <v>Completed</v>
      </c>
      <c r="AN52">
        <v>5</v>
      </c>
      <c r="AO52">
        <v>2025</v>
      </c>
      <c r="AP52" t="s">
        <v>79</v>
      </c>
    </row>
    <row r="53" spans="1:42">
      <c r="A53" t="s">
        <v>401</v>
      </c>
      <c r="B53" s="3" t="s">
        <v>402</v>
      </c>
      <c r="C53" s="3">
        <v>45406</v>
      </c>
      <c r="D53" t="s">
        <v>403</v>
      </c>
      <c r="E53" s="3">
        <v>45411</v>
      </c>
      <c r="F53" t="s">
        <v>404</v>
      </c>
      <c r="G53" t="s">
        <v>405</v>
      </c>
      <c r="H53" t="str">
        <f t="shared" si="0"/>
        <v>Ananya Rao</v>
      </c>
      <c r="I53" t="s">
        <v>147</v>
      </c>
      <c r="J53" t="str">
        <f t="shared" si="1"/>
        <v>Corporate</v>
      </c>
      <c r="K53" t="s">
        <v>10</v>
      </c>
      <c r="L53" t="str">
        <f t="shared" si="2"/>
        <v>South</v>
      </c>
      <c r="M53" t="s">
        <v>104</v>
      </c>
      <c r="N53" t="str">
        <f t="shared" si="3"/>
        <v>Telangana</v>
      </c>
      <c r="O53" t="s">
        <v>105</v>
      </c>
      <c r="P53" t="str">
        <f t="shared" si="4"/>
        <v>Hyderabad</v>
      </c>
      <c r="Q53" t="s">
        <v>22</v>
      </c>
      <c r="R53" t="str">
        <f t="shared" si="5"/>
        <v>Office Supplies</v>
      </c>
      <c r="S53" t="s">
        <v>96</v>
      </c>
      <c r="T53" t="str">
        <f t="shared" si="6"/>
        <v>Art</v>
      </c>
      <c r="U53" t="s">
        <v>406</v>
      </c>
      <c r="V53" t="str">
        <f t="shared" si="7"/>
        <v>Pro Art 907</v>
      </c>
      <c r="W53" t="s">
        <v>108</v>
      </c>
      <c r="X53" t="str">
        <f t="shared" si="8"/>
        <v>Standard Class</v>
      </c>
      <c r="Y53">
        <v>5</v>
      </c>
      <c r="Z53">
        <v>6</v>
      </c>
      <c r="AA53">
        <v>1528.08</v>
      </c>
      <c r="AB53">
        <v>0</v>
      </c>
      <c r="AC53">
        <f t="shared" si="9"/>
        <v>0</v>
      </c>
      <c r="AD53">
        <v>9168.48</v>
      </c>
      <c r="AE53">
        <f t="shared" si="10"/>
        <v>9168.48</v>
      </c>
      <c r="AF53">
        <v>7439.77</v>
      </c>
      <c r="AG53">
        <v>1728.71</v>
      </c>
      <c r="AH53">
        <f t="shared" si="11"/>
        <v>1728.71</v>
      </c>
      <c r="AI53">
        <f t="shared" si="12"/>
        <v>0.188549246985324</v>
      </c>
      <c r="AJ53" t="s">
        <v>77</v>
      </c>
      <c r="AK53" t="str">
        <f t="shared" si="13"/>
        <v>Paid</v>
      </c>
      <c r="AL53" t="s">
        <v>78</v>
      </c>
      <c r="AM53" t="str">
        <f t="shared" si="14"/>
        <v>Completed</v>
      </c>
      <c r="AN53">
        <v>4</v>
      </c>
      <c r="AO53">
        <v>2024</v>
      </c>
      <c r="AP53" t="s">
        <v>79</v>
      </c>
    </row>
    <row r="54" spans="1:42">
      <c r="A54" t="s">
        <v>407</v>
      </c>
      <c r="B54" s="3" t="s">
        <v>408</v>
      </c>
      <c r="C54" s="3">
        <v>45591</v>
      </c>
      <c r="D54" t="s">
        <v>409</v>
      </c>
      <c r="E54" s="3">
        <v>45593</v>
      </c>
      <c r="F54" t="s">
        <v>410</v>
      </c>
      <c r="G54" t="s">
        <v>411</v>
      </c>
      <c r="H54" t="str">
        <f t="shared" si="0"/>
        <v>Kabir Singh</v>
      </c>
      <c r="I54" t="s">
        <v>85</v>
      </c>
      <c r="J54" t="str">
        <f t="shared" si="1"/>
        <v>Small Business</v>
      </c>
      <c r="K54" t="s">
        <v>8</v>
      </c>
      <c r="L54" t="str">
        <f t="shared" si="2"/>
        <v>North</v>
      </c>
      <c r="M54" t="s">
        <v>72</v>
      </c>
      <c r="N54" t="str">
        <f t="shared" si="3"/>
        <v>Rajasthan</v>
      </c>
      <c r="O54" t="s">
        <v>73</v>
      </c>
      <c r="P54" t="str">
        <f t="shared" si="4"/>
        <v>Jaipur</v>
      </c>
      <c r="Q54" t="s">
        <v>19</v>
      </c>
      <c r="R54" t="str">
        <f t="shared" si="5"/>
        <v>Furniture</v>
      </c>
      <c r="S54" t="s">
        <v>116</v>
      </c>
      <c r="T54" t="str">
        <f t="shared" si="6"/>
        <v>Chairs</v>
      </c>
      <c r="U54" t="s">
        <v>412</v>
      </c>
      <c r="V54" t="str">
        <f t="shared" si="7"/>
        <v>Pro Chairs 526</v>
      </c>
      <c r="W54" t="s">
        <v>98</v>
      </c>
      <c r="X54" t="str">
        <f t="shared" si="8"/>
        <v>First Class</v>
      </c>
      <c r="Y54">
        <v>2</v>
      </c>
      <c r="Z54">
        <v>9</v>
      </c>
      <c r="AA54">
        <v>1399.63</v>
      </c>
      <c r="AB54">
        <v>0</v>
      </c>
      <c r="AC54">
        <f t="shared" si="9"/>
        <v>0</v>
      </c>
      <c r="AD54">
        <v>12596.67</v>
      </c>
      <c r="AE54">
        <f t="shared" si="10"/>
        <v>12596.67</v>
      </c>
      <c r="AF54">
        <v>10603.29</v>
      </c>
      <c r="AG54">
        <v>1993.38</v>
      </c>
      <c r="AH54">
        <f t="shared" si="11"/>
        <v>1993.38</v>
      </c>
      <c r="AI54">
        <f t="shared" si="12"/>
        <v>0.158246584216305</v>
      </c>
      <c r="AJ54" t="s">
        <v>241</v>
      </c>
      <c r="AK54" t="str">
        <f t="shared" si="13"/>
        <v>Failed</v>
      </c>
      <c r="AL54" t="s">
        <v>118</v>
      </c>
      <c r="AM54" t="str">
        <f t="shared" si="14"/>
        <v>Cancelled</v>
      </c>
      <c r="AN54">
        <v>10</v>
      </c>
      <c r="AO54">
        <v>2024</v>
      </c>
      <c r="AP54" t="s">
        <v>79</v>
      </c>
    </row>
    <row r="55" spans="1:42">
      <c r="A55" t="s">
        <v>413</v>
      </c>
      <c r="B55" s="3" t="s">
        <v>414</v>
      </c>
      <c r="C55" s="3">
        <v>45747</v>
      </c>
      <c r="D55" t="s">
        <v>415</v>
      </c>
      <c r="E55" s="3">
        <v>45747</v>
      </c>
      <c r="F55" t="s">
        <v>416</v>
      </c>
      <c r="G55" t="s">
        <v>411</v>
      </c>
      <c r="H55" t="str">
        <f t="shared" si="0"/>
        <v>Kabir Singh</v>
      </c>
      <c r="I55" t="s">
        <v>154</v>
      </c>
      <c r="J55" t="str">
        <f t="shared" si="1"/>
        <v>Home Office</v>
      </c>
      <c r="K55" t="s">
        <v>11</v>
      </c>
      <c r="L55" t="str">
        <f t="shared" si="2"/>
        <v>West</v>
      </c>
      <c r="M55" t="s">
        <v>278</v>
      </c>
      <c r="N55" t="str">
        <f t="shared" si="3"/>
        <v>Gujarat</v>
      </c>
      <c r="O55" t="s">
        <v>279</v>
      </c>
      <c r="P55" t="str">
        <f t="shared" si="4"/>
        <v>Ahmedabad</v>
      </c>
      <c r="Q55" t="s">
        <v>22</v>
      </c>
      <c r="R55" t="str">
        <f t="shared" si="5"/>
        <v>Office Supplies</v>
      </c>
      <c r="S55" t="s">
        <v>196</v>
      </c>
      <c r="T55" t="str">
        <f t="shared" si="6"/>
        <v>Storage</v>
      </c>
      <c r="U55" t="s">
        <v>417</v>
      </c>
      <c r="V55" t="str">
        <f t="shared" si="7"/>
        <v>Elite Storage 924</v>
      </c>
      <c r="W55" t="s">
        <v>98</v>
      </c>
      <c r="X55" t="str">
        <f t="shared" si="8"/>
        <v>First Class</v>
      </c>
      <c r="Y55">
        <v>0</v>
      </c>
      <c r="Z55">
        <v>5</v>
      </c>
      <c r="AA55">
        <v>1207.47</v>
      </c>
      <c r="AB55">
        <v>0.15</v>
      </c>
      <c r="AC55">
        <f t="shared" si="9"/>
        <v>0.15</v>
      </c>
      <c r="AD55">
        <v>5131.75</v>
      </c>
      <c r="AE55">
        <f t="shared" si="10"/>
        <v>5131.7475</v>
      </c>
      <c r="AF55">
        <v>2838.68</v>
      </c>
      <c r="AG55">
        <v>2293.07</v>
      </c>
      <c r="AH55">
        <f t="shared" si="11"/>
        <v>2293.0675</v>
      </c>
      <c r="AI55">
        <f t="shared" si="12"/>
        <v>0.446839502528135</v>
      </c>
      <c r="AJ55" t="s">
        <v>77</v>
      </c>
      <c r="AK55" t="str">
        <f t="shared" si="13"/>
        <v>Paid</v>
      </c>
      <c r="AL55" t="s">
        <v>78</v>
      </c>
      <c r="AM55" t="str">
        <f t="shared" si="14"/>
        <v>Completed</v>
      </c>
      <c r="AN55">
        <v>3</v>
      </c>
      <c r="AO55">
        <v>2025</v>
      </c>
      <c r="AP55" t="s">
        <v>79</v>
      </c>
    </row>
    <row r="56" spans="1:42">
      <c r="A56" t="s">
        <v>418</v>
      </c>
      <c r="B56" s="3" t="s">
        <v>419</v>
      </c>
      <c r="C56" s="3">
        <v>45807</v>
      </c>
      <c r="D56" t="s">
        <v>420</v>
      </c>
      <c r="E56" s="3">
        <v>45810</v>
      </c>
      <c r="F56" t="s">
        <v>421</v>
      </c>
      <c r="G56" t="s">
        <v>103</v>
      </c>
      <c r="H56" t="str">
        <f t="shared" si="0"/>
        <v>Arjun Bose</v>
      </c>
      <c r="I56" t="s">
        <v>147</v>
      </c>
      <c r="J56" t="str">
        <f t="shared" si="1"/>
        <v>Corporate</v>
      </c>
      <c r="K56" t="s">
        <v>10</v>
      </c>
      <c r="L56" t="str">
        <f t="shared" si="2"/>
        <v>South</v>
      </c>
      <c r="M56" t="s">
        <v>382</v>
      </c>
      <c r="N56" t="str">
        <f t="shared" si="3"/>
        <v>Tamil Nadu</v>
      </c>
      <c r="O56" t="s">
        <v>383</v>
      </c>
      <c r="P56" t="str">
        <f t="shared" si="4"/>
        <v>Chennai</v>
      </c>
      <c r="Q56" t="s">
        <v>22</v>
      </c>
      <c r="R56" t="str">
        <f t="shared" si="5"/>
        <v>Office Supplies</v>
      </c>
      <c r="S56" t="s">
        <v>148</v>
      </c>
      <c r="T56" t="str">
        <f t="shared" si="6"/>
        <v>Labels</v>
      </c>
      <c r="U56" t="s">
        <v>422</v>
      </c>
      <c r="V56" t="str">
        <f t="shared" si="7"/>
        <v>Pro Labels 957</v>
      </c>
      <c r="W56" t="s">
        <v>90</v>
      </c>
      <c r="X56" t="str">
        <f t="shared" si="8"/>
        <v>Same Day</v>
      </c>
      <c r="Y56">
        <v>3</v>
      </c>
      <c r="Z56">
        <v>8</v>
      </c>
      <c r="AA56">
        <v>474.37</v>
      </c>
      <c r="AB56">
        <v>0.1</v>
      </c>
      <c r="AC56">
        <f t="shared" si="9"/>
        <v>0.1</v>
      </c>
      <c r="AD56">
        <v>3415.46</v>
      </c>
      <c r="AE56">
        <f t="shared" si="10"/>
        <v>3415.464</v>
      </c>
      <c r="AF56">
        <v>1993.23</v>
      </c>
      <c r="AG56">
        <v>1422.23</v>
      </c>
      <c r="AH56">
        <f t="shared" si="11"/>
        <v>1422.234</v>
      </c>
      <c r="AI56">
        <f t="shared" si="12"/>
        <v>0.416410186141619</v>
      </c>
      <c r="AJ56" t="s">
        <v>241</v>
      </c>
      <c r="AK56" t="str">
        <f t="shared" si="13"/>
        <v>Failed</v>
      </c>
      <c r="AL56" t="s">
        <v>118</v>
      </c>
      <c r="AM56" t="str">
        <f t="shared" si="14"/>
        <v>Cancelled</v>
      </c>
      <c r="AN56">
        <v>5</v>
      </c>
      <c r="AO56">
        <v>2025</v>
      </c>
      <c r="AP56" t="s">
        <v>79</v>
      </c>
    </row>
    <row r="57" spans="1:42">
      <c r="A57" t="s">
        <v>423</v>
      </c>
      <c r="B57" s="3" t="s">
        <v>424</v>
      </c>
      <c r="C57" s="3">
        <v>45839</v>
      </c>
      <c r="D57" t="s">
        <v>425</v>
      </c>
      <c r="E57" s="3">
        <v>45841</v>
      </c>
      <c r="F57" t="s">
        <v>426</v>
      </c>
      <c r="G57" t="s">
        <v>84</v>
      </c>
      <c r="H57" t="str">
        <f t="shared" si="0"/>
        <v>Mira Das</v>
      </c>
      <c r="I57" t="s">
        <v>85</v>
      </c>
      <c r="J57" t="str">
        <f t="shared" si="1"/>
        <v>Small Business</v>
      </c>
      <c r="K57" t="s">
        <v>10</v>
      </c>
      <c r="L57" t="str">
        <f t="shared" si="2"/>
        <v>South</v>
      </c>
      <c r="M57" t="s">
        <v>139</v>
      </c>
      <c r="N57" t="str">
        <f t="shared" si="3"/>
        <v>Andhra Pradesh</v>
      </c>
      <c r="O57" t="s">
        <v>140</v>
      </c>
      <c r="P57" t="str">
        <f t="shared" si="4"/>
        <v>Vijayawada</v>
      </c>
      <c r="Q57" t="s">
        <v>24</v>
      </c>
      <c r="R57" t="str">
        <f t="shared" si="5"/>
        <v>Technology</v>
      </c>
      <c r="S57" t="s">
        <v>427</v>
      </c>
      <c r="T57" t="str">
        <f t="shared" si="6"/>
        <v>Machines</v>
      </c>
      <c r="U57" t="s">
        <v>428</v>
      </c>
      <c r="V57" t="str">
        <f t="shared" si="7"/>
        <v>Classic Machines 310</v>
      </c>
      <c r="W57" t="s">
        <v>90</v>
      </c>
      <c r="X57" t="str">
        <f t="shared" si="8"/>
        <v>Same Day</v>
      </c>
      <c r="Y57">
        <v>2</v>
      </c>
      <c r="Z57">
        <v>3</v>
      </c>
      <c r="AA57">
        <v>1516.24</v>
      </c>
      <c r="AB57">
        <v>0.25</v>
      </c>
      <c r="AC57">
        <f t="shared" si="9"/>
        <v>0.25</v>
      </c>
      <c r="AD57">
        <v>3411.54</v>
      </c>
      <c r="AE57">
        <f t="shared" si="10"/>
        <v>3411.54</v>
      </c>
      <c r="AF57">
        <v>2803.13</v>
      </c>
      <c r="AG57">
        <v>608.41</v>
      </c>
      <c r="AH57">
        <f t="shared" si="11"/>
        <v>608.41</v>
      </c>
      <c r="AI57">
        <f t="shared" si="12"/>
        <v>0.178338814728832</v>
      </c>
      <c r="AJ57" t="s">
        <v>77</v>
      </c>
      <c r="AK57" t="str">
        <f t="shared" si="13"/>
        <v>Paid</v>
      </c>
      <c r="AL57" t="s">
        <v>78</v>
      </c>
      <c r="AM57" t="str">
        <f t="shared" si="14"/>
        <v>Completed</v>
      </c>
      <c r="AN57">
        <v>7</v>
      </c>
      <c r="AO57">
        <v>2025</v>
      </c>
      <c r="AP57" t="s">
        <v>79</v>
      </c>
    </row>
    <row r="58" spans="1:42">
      <c r="A58" t="s">
        <v>429</v>
      </c>
      <c r="B58" s="3" t="s">
        <v>430</v>
      </c>
      <c r="C58" s="3">
        <v>45662</v>
      </c>
      <c r="D58" t="s">
        <v>431</v>
      </c>
      <c r="E58" s="3">
        <v>45663</v>
      </c>
      <c r="F58" t="s">
        <v>432</v>
      </c>
      <c r="G58" t="s">
        <v>70</v>
      </c>
      <c r="H58" t="str">
        <f t="shared" si="0"/>
        <v>Karan Malhotra</v>
      </c>
      <c r="I58" t="s">
        <v>71</v>
      </c>
      <c r="J58" t="str">
        <f t="shared" si="1"/>
        <v>Consumer</v>
      </c>
      <c r="K58" t="s">
        <v>10</v>
      </c>
      <c r="L58" t="str">
        <f t="shared" si="2"/>
        <v>South</v>
      </c>
      <c r="M58" t="s">
        <v>272</v>
      </c>
      <c r="N58" t="str">
        <f t="shared" si="3"/>
        <v>Karnataka</v>
      </c>
      <c r="O58" t="s">
        <v>273</v>
      </c>
      <c r="P58" t="str">
        <f t="shared" si="4"/>
        <v>Bengaluru</v>
      </c>
      <c r="Q58" t="s">
        <v>22</v>
      </c>
      <c r="R58" t="str">
        <f t="shared" si="5"/>
        <v>Office Supplies</v>
      </c>
      <c r="S58" t="s">
        <v>239</v>
      </c>
      <c r="T58" t="str">
        <f t="shared" si="6"/>
        <v>Binders</v>
      </c>
      <c r="U58" t="s">
        <v>433</v>
      </c>
      <c r="V58" t="str">
        <f t="shared" si="7"/>
        <v>Smart Binders 393</v>
      </c>
      <c r="W58" t="s">
        <v>76</v>
      </c>
      <c r="X58" t="str">
        <f t="shared" si="8"/>
        <v>Second Class</v>
      </c>
      <c r="Y58">
        <v>1</v>
      </c>
      <c r="Z58">
        <v>3</v>
      </c>
      <c r="AA58">
        <v>3155.61</v>
      </c>
      <c r="AB58">
        <v>0</v>
      </c>
      <c r="AC58">
        <f t="shared" si="9"/>
        <v>0</v>
      </c>
      <c r="AD58">
        <v>9466.83</v>
      </c>
      <c r="AE58">
        <f t="shared" si="10"/>
        <v>9466.83</v>
      </c>
      <c r="AF58">
        <v>6557.83</v>
      </c>
      <c r="AG58">
        <v>2909</v>
      </c>
      <c r="AH58">
        <f t="shared" si="11"/>
        <v>2909</v>
      </c>
      <c r="AI58">
        <f t="shared" si="12"/>
        <v>0.307283430673203</v>
      </c>
      <c r="AJ58" t="s">
        <v>163</v>
      </c>
      <c r="AK58" t="str">
        <f t="shared" si="13"/>
        <v>Refunded</v>
      </c>
      <c r="AL58" t="s">
        <v>118</v>
      </c>
      <c r="AM58" t="str">
        <f t="shared" si="14"/>
        <v>Cancelled</v>
      </c>
      <c r="AN58">
        <v>1</v>
      </c>
      <c r="AO58">
        <v>2025</v>
      </c>
      <c r="AP58" t="s">
        <v>79</v>
      </c>
    </row>
    <row r="59" spans="1:42">
      <c r="A59" t="s">
        <v>434</v>
      </c>
      <c r="B59" s="3" t="s">
        <v>435</v>
      </c>
      <c r="C59" s="3">
        <v>45329</v>
      </c>
      <c r="D59" t="s">
        <v>436</v>
      </c>
      <c r="E59" s="3">
        <v>45337</v>
      </c>
      <c r="F59" t="s">
        <v>437</v>
      </c>
      <c r="G59" t="s">
        <v>182</v>
      </c>
      <c r="H59" t="str">
        <f t="shared" si="0"/>
        <v>Priya Menon</v>
      </c>
      <c r="I59" t="s">
        <v>71</v>
      </c>
      <c r="J59" t="str">
        <f t="shared" si="1"/>
        <v>Consumer</v>
      </c>
      <c r="K59" t="s">
        <v>11</v>
      </c>
      <c r="L59" t="str">
        <f t="shared" si="2"/>
        <v>West</v>
      </c>
      <c r="M59" t="s">
        <v>292</v>
      </c>
      <c r="N59" t="str">
        <f t="shared" si="3"/>
        <v>Goa</v>
      </c>
      <c r="O59" t="s">
        <v>293</v>
      </c>
      <c r="P59" t="str">
        <f t="shared" si="4"/>
        <v>Panaji</v>
      </c>
      <c r="Q59" t="s">
        <v>19</v>
      </c>
      <c r="R59" t="str">
        <f t="shared" si="5"/>
        <v>Furniture</v>
      </c>
      <c r="S59" t="s">
        <v>116</v>
      </c>
      <c r="T59" t="str">
        <f t="shared" si="6"/>
        <v>Chairs</v>
      </c>
      <c r="U59" t="s">
        <v>438</v>
      </c>
      <c r="V59" t="str">
        <f t="shared" si="7"/>
        <v>Max Chairs 813</v>
      </c>
      <c r="W59" t="s">
        <v>90</v>
      </c>
      <c r="X59" t="str">
        <f t="shared" si="8"/>
        <v>Same Day</v>
      </c>
      <c r="Y59">
        <v>8</v>
      </c>
      <c r="Z59">
        <v>5</v>
      </c>
      <c r="AA59">
        <v>255.87</v>
      </c>
      <c r="AB59">
        <v>0</v>
      </c>
      <c r="AC59">
        <f t="shared" si="9"/>
        <v>0</v>
      </c>
      <c r="AD59">
        <v>1279.35</v>
      </c>
      <c r="AE59">
        <f t="shared" si="10"/>
        <v>1279.35</v>
      </c>
      <c r="AF59">
        <v>1091.54</v>
      </c>
      <c r="AG59">
        <v>187.81</v>
      </c>
      <c r="AH59">
        <f t="shared" si="11"/>
        <v>187.81</v>
      </c>
      <c r="AI59">
        <f t="shared" si="12"/>
        <v>0.146801109938641</v>
      </c>
      <c r="AJ59" t="s">
        <v>77</v>
      </c>
      <c r="AK59" t="str">
        <f t="shared" si="13"/>
        <v>Paid</v>
      </c>
      <c r="AL59" t="s">
        <v>78</v>
      </c>
      <c r="AM59" t="str">
        <f t="shared" si="14"/>
        <v>Completed</v>
      </c>
      <c r="AN59">
        <v>2</v>
      </c>
      <c r="AO59">
        <v>2024</v>
      </c>
      <c r="AP59" t="s">
        <v>79</v>
      </c>
    </row>
    <row r="60" spans="1:42">
      <c r="A60" t="s">
        <v>439</v>
      </c>
      <c r="B60" s="3" t="s">
        <v>440</v>
      </c>
      <c r="C60" s="3">
        <v>45536</v>
      </c>
      <c r="D60" t="s">
        <v>441</v>
      </c>
      <c r="E60" s="3">
        <v>45542</v>
      </c>
      <c r="F60" t="s">
        <v>442</v>
      </c>
      <c r="G60" t="s">
        <v>95</v>
      </c>
      <c r="H60" t="str">
        <f t="shared" si="0"/>
        <v>Isha Nair</v>
      </c>
      <c r="I60" t="s">
        <v>154</v>
      </c>
      <c r="J60" t="str">
        <f t="shared" si="1"/>
        <v>Home Office</v>
      </c>
      <c r="K60" t="s">
        <v>8</v>
      </c>
      <c r="L60" t="str">
        <f t="shared" si="2"/>
        <v>North</v>
      </c>
      <c r="M60" t="s">
        <v>72</v>
      </c>
      <c r="N60" t="str">
        <f t="shared" si="3"/>
        <v>Rajasthan</v>
      </c>
      <c r="O60" t="s">
        <v>73</v>
      </c>
      <c r="P60" t="str">
        <f t="shared" si="4"/>
        <v>Jaipur</v>
      </c>
      <c r="Q60" t="s">
        <v>22</v>
      </c>
      <c r="R60" t="str">
        <f t="shared" si="5"/>
        <v>Office Supplies</v>
      </c>
      <c r="S60" t="s">
        <v>196</v>
      </c>
      <c r="T60" t="str">
        <f t="shared" si="6"/>
        <v>Storage</v>
      </c>
      <c r="U60" t="s">
        <v>443</v>
      </c>
      <c r="V60" t="str">
        <f t="shared" si="7"/>
        <v>Basic Storage 872</v>
      </c>
      <c r="X60" t="str">
        <f t="shared" si="8"/>
        <v/>
      </c>
      <c r="Y60">
        <v>6</v>
      </c>
      <c r="Z60">
        <v>9</v>
      </c>
      <c r="AA60">
        <v>1389.48</v>
      </c>
      <c r="AB60">
        <v>0.1</v>
      </c>
      <c r="AC60">
        <f t="shared" si="9"/>
        <v>0.1</v>
      </c>
      <c r="AD60">
        <v>11254.79</v>
      </c>
      <c r="AE60">
        <f t="shared" si="10"/>
        <v>11254.788</v>
      </c>
      <c r="AF60">
        <v>6578.06</v>
      </c>
      <c r="AG60">
        <v>4676.73</v>
      </c>
      <c r="AH60">
        <f t="shared" si="11"/>
        <v>4676.728</v>
      </c>
      <c r="AI60">
        <f t="shared" si="12"/>
        <v>0.415532305006545</v>
      </c>
      <c r="AJ60" t="s">
        <v>177</v>
      </c>
      <c r="AK60" t="str">
        <f t="shared" si="13"/>
        <v>Pending</v>
      </c>
      <c r="AL60" t="s">
        <v>164</v>
      </c>
      <c r="AM60" t="str">
        <f t="shared" si="14"/>
        <v>Returned</v>
      </c>
      <c r="AN60">
        <v>9</v>
      </c>
      <c r="AO60">
        <v>2024</v>
      </c>
      <c r="AP60" t="s">
        <v>79</v>
      </c>
    </row>
    <row r="61" spans="1:42">
      <c r="A61" t="s">
        <v>444</v>
      </c>
      <c r="B61" s="3" t="s">
        <v>445</v>
      </c>
      <c r="C61" s="3">
        <v>45493</v>
      </c>
      <c r="D61" t="s">
        <v>446</v>
      </c>
      <c r="E61" s="3">
        <v>45498</v>
      </c>
      <c r="F61" t="s">
        <v>447</v>
      </c>
      <c r="G61" t="s">
        <v>182</v>
      </c>
      <c r="H61" t="str">
        <f t="shared" si="0"/>
        <v>Priya Menon</v>
      </c>
      <c r="I61" t="s">
        <v>147</v>
      </c>
      <c r="J61" t="str">
        <f t="shared" si="1"/>
        <v>Corporate</v>
      </c>
      <c r="K61" t="s">
        <v>7</v>
      </c>
      <c r="L61" t="str">
        <f t="shared" si="2"/>
        <v>East</v>
      </c>
      <c r="M61" t="s">
        <v>258</v>
      </c>
      <c r="N61" t="str">
        <f t="shared" si="3"/>
        <v>Assam</v>
      </c>
      <c r="O61" t="s">
        <v>259</v>
      </c>
      <c r="P61" t="str">
        <f t="shared" si="4"/>
        <v>Guwahati</v>
      </c>
      <c r="Q61" t="s">
        <v>22</v>
      </c>
      <c r="R61" t="str">
        <f t="shared" si="5"/>
        <v>Office Supplies</v>
      </c>
      <c r="S61" t="s">
        <v>148</v>
      </c>
      <c r="T61" t="str">
        <f t="shared" si="6"/>
        <v>Labels</v>
      </c>
      <c r="U61" t="s">
        <v>448</v>
      </c>
      <c r="V61" t="str">
        <f t="shared" si="7"/>
        <v>Smart Labels 655</v>
      </c>
      <c r="W61" t="s">
        <v>90</v>
      </c>
      <c r="X61" t="str">
        <f t="shared" si="8"/>
        <v>Same Day</v>
      </c>
      <c r="Y61">
        <v>5</v>
      </c>
      <c r="Z61">
        <v>5</v>
      </c>
      <c r="AA61">
        <v>4133.85</v>
      </c>
      <c r="AB61">
        <v>0.2</v>
      </c>
      <c r="AC61">
        <f t="shared" si="9"/>
        <v>0.2</v>
      </c>
      <c r="AD61">
        <v>16535.4</v>
      </c>
      <c r="AE61">
        <f t="shared" si="10"/>
        <v>16535.4</v>
      </c>
      <c r="AF61">
        <v>12990.21</v>
      </c>
      <c r="AG61">
        <v>3545.19</v>
      </c>
      <c r="AH61">
        <f t="shared" si="11"/>
        <v>3545.19</v>
      </c>
      <c r="AI61">
        <f t="shared" si="12"/>
        <v>0.214400014514315</v>
      </c>
      <c r="AJ61" t="s">
        <v>77</v>
      </c>
      <c r="AK61" t="str">
        <f t="shared" si="13"/>
        <v>Paid</v>
      </c>
      <c r="AL61" t="s">
        <v>118</v>
      </c>
      <c r="AM61" t="str">
        <f t="shared" si="14"/>
        <v>Cancelled</v>
      </c>
      <c r="AN61">
        <v>7</v>
      </c>
      <c r="AO61">
        <v>2024</v>
      </c>
      <c r="AP61" t="s">
        <v>79</v>
      </c>
    </row>
    <row r="62" spans="1:42">
      <c r="A62" t="s">
        <v>449</v>
      </c>
      <c r="B62" s="3" t="s">
        <v>450</v>
      </c>
      <c r="C62" s="3">
        <v>45486</v>
      </c>
      <c r="D62" t="s">
        <v>451</v>
      </c>
      <c r="E62" s="3">
        <v>45492</v>
      </c>
      <c r="F62" t="s">
        <v>452</v>
      </c>
      <c r="G62" t="s">
        <v>113</v>
      </c>
      <c r="H62" t="str">
        <f t="shared" si="0"/>
        <v>Ananya Rao</v>
      </c>
      <c r="I62" t="s">
        <v>147</v>
      </c>
      <c r="J62" t="str">
        <f t="shared" si="1"/>
        <v>Corporate</v>
      </c>
      <c r="K62" t="s">
        <v>7</v>
      </c>
      <c r="L62" t="str">
        <f t="shared" si="2"/>
        <v>East</v>
      </c>
      <c r="M62" t="s">
        <v>258</v>
      </c>
      <c r="N62" t="str">
        <f t="shared" si="3"/>
        <v>Assam</v>
      </c>
      <c r="O62" t="s">
        <v>259</v>
      </c>
      <c r="P62" t="str">
        <f t="shared" si="4"/>
        <v>Guwahati</v>
      </c>
      <c r="Q62" t="s">
        <v>22</v>
      </c>
      <c r="R62" t="str">
        <f t="shared" si="5"/>
        <v>Office Supplies</v>
      </c>
      <c r="S62" t="s">
        <v>148</v>
      </c>
      <c r="T62" t="str">
        <f t="shared" si="6"/>
        <v>Labels</v>
      </c>
      <c r="U62" t="s">
        <v>453</v>
      </c>
      <c r="V62" t="str">
        <f t="shared" si="7"/>
        <v>Eco Labels 210</v>
      </c>
      <c r="W62" t="s">
        <v>90</v>
      </c>
      <c r="X62" t="str">
        <f t="shared" si="8"/>
        <v>Same Day</v>
      </c>
      <c r="Y62">
        <v>6</v>
      </c>
      <c r="Z62">
        <v>3</v>
      </c>
      <c r="AA62">
        <v>275.76</v>
      </c>
      <c r="AB62">
        <v>0.2</v>
      </c>
      <c r="AC62">
        <f t="shared" si="9"/>
        <v>0.2</v>
      </c>
      <c r="AD62">
        <v>661.82</v>
      </c>
      <c r="AE62">
        <f t="shared" si="10"/>
        <v>661.824</v>
      </c>
      <c r="AF62">
        <v>481.47</v>
      </c>
      <c r="AG62">
        <v>180.35</v>
      </c>
      <c r="AH62">
        <f t="shared" si="11"/>
        <v>180.354</v>
      </c>
      <c r="AI62">
        <f t="shared" si="12"/>
        <v>0.272510516391065</v>
      </c>
      <c r="AJ62" t="s">
        <v>163</v>
      </c>
      <c r="AK62" t="str">
        <f t="shared" si="13"/>
        <v>Refunded</v>
      </c>
      <c r="AL62" t="s">
        <v>118</v>
      </c>
      <c r="AM62" t="str">
        <f t="shared" si="14"/>
        <v>Cancelled</v>
      </c>
      <c r="AN62">
        <v>7</v>
      </c>
      <c r="AO62">
        <v>2024</v>
      </c>
      <c r="AP62" t="s">
        <v>79</v>
      </c>
    </row>
    <row r="63" spans="1:42">
      <c r="A63" t="s">
        <v>454</v>
      </c>
      <c r="B63" s="3" t="s">
        <v>455</v>
      </c>
      <c r="C63" s="3">
        <v>45398</v>
      </c>
      <c r="D63" t="s">
        <v>456</v>
      </c>
      <c r="E63" s="3">
        <v>45398</v>
      </c>
      <c r="F63" t="s">
        <v>457</v>
      </c>
      <c r="G63" t="s">
        <v>123</v>
      </c>
      <c r="H63" t="str">
        <f t="shared" si="0"/>
        <v>Vikram Iyer</v>
      </c>
      <c r="I63" t="s">
        <v>154</v>
      </c>
      <c r="J63" t="str">
        <f t="shared" si="1"/>
        <v>Home Office</v>
      </c>
      <c r="K63" t="s">
        <v>7</v>
      </c>
      <c r="L63" t="str">
        <f t="shared" si="2"/>
        <v>East</v>
      </c>
      <c r="M63" t="s">
        <v>227</v>
      </c>
      <c r="N63" t="str">
        <f t="shared" si="3"/>
        <v>Bihar</v>
      </c>
      <c r="O63" t="s">
        <v>228</v>
      </c>
      <c r="P63" t="str">
        <f t="shared" si="4"/>
        <v>Patna</v>
      </c>
      <c r="Q63" t="s">
        <v>19</v>
      </c>
      <c r="R63" t="str">
        <f t="shared" si="5"/>
        <v>Furniture</v>
      </c>
      <c r="S63" t="s">
        <v>245</v>
      </c>
      <c r="T63" t="str">
        <f t="shared" si="6"/>
        <v>Bookcases</v>
      </c>
      <c r="U63" t="s">
        <v>458</v>
      </c>
      <c r="V63" t="str">
        <f t="shared" si="7"/>
        <v>Classic Bookcases 296</v>
      </c>
      <c r="W63" t="s">
        <v>108</v>
      </c>
      <c r="X63" t="str">
        <f t="shared" si="8"/>
        <v>Standard Class</v>
      </c>
      <c r="Y63">
        <v>0</v>
      </c>
      <c r="Z63">
        <v>1</v>
      </c>
      <c r="AA63">
        <v>949.59</v>
      </c>
      <c r="AB63">
        <v>0</v>
      </c>
      <c r="AC63">
        <f t="shared" si="9"/>
        <v>0</v>
      </c>
      <c r="AD63">
        <v>949.59</v>
      </c>
      <c r="AE63">
        <f t="shared" si="10"/>
        <v>949.59</v>
      </c>
      <c r="AF63">
        <v>751.25</v>
      </c>
      <c r="AG63">
        <v>198.34</v>
      </c>
      <c r="AH63">
        <f t="shared" si="11"/>
        <v>198.34</v>
      </c>
      <c r="AI63">
        <f t="shared" si="12"/>
        <v>0.208869090870797</v>
      </c>
      <c r="AJ63" t="s">
        <v>77</v>
      </c>
      <c r="AK63" t="str">
        <f t="shared" si="13"/>
        <v>Paid</v>
      </c>
      <c r="AL63" t="s">
        <v>78</v>
      </c>
      <c r="AM63" t="str">
        <f t="shared" si="14"/>
        <v>Completed</v>
      </c>
      <c r="AN63">
        <v>4</v>
      </c>
      <c r="AO63">
        <v>2024</v>
      </c>
      <c r="AP63" t="s">
        <v>79</v>
      </c>
    </row>
    <row r="64" spans="1:42">
      <c r="A64" t="s">
        <v>459</v>
      </c>
      <c r="B64" s="3" t="s">
        <v>460</v>
      </c>
      <c r="C64" s="3">
        <v>45595</v>
      </c>
      <c r="D64" t="s">
        <v>461</v>
      </c>
      <c r="E64" s="3">
        <v>45598</v>
      </c>
      <c r="F64" t="s">
        <v>462</v>
      </c>
      <c r="G64" t="s">
        <v>208</v>
      </c>
      <c r="H64" t="str">
        <f t="shared" si="0"/>
        <v>Sneha Kapoor</v>
      </c>
      <c r="I64" t="s">
        <v>154</v>
      </c>
      <c r="J64" t="str">
        <f t="shared" si="1"/>
        <v>Home Office</v>
      </c>
      <c r="K64" t="s">
        <v>8</v>
      </c>
      <c r="L64" t="str">
        <f t="shared" si="2"/>
        <v>North</v>
      </c>
      <c r="M64" t="s">
        <v>72</v>
      </c>
      <c r="N64" t="str">
        <f t="shared" si="3"/>
        <v>Rajasthan</v>
      </c>
      <c r="O64" t="s">
        <v>73</v>
      </c>
      <c r="P64" t="str">
        <f t="shared" si="4"/>
        <v>Jaipur</v>
      </c>
      <c r="Q64" t="s">
        <v>24</v>
      </c>
      <c r="R64" t="str">
        <f t="shared" si="5"/>
        <v>Technology</v>
      </c>
      <c r="S64" t="s">
        <v>265</v>
      </c>
      <c r="T64" t="str">
        <f t="shared" si="6"/>
        <v>Phones</v>
      </c>
      <c r="U64" t="s">
        <v>463</v>
      </c>
      <c r="V64" t="str">
        <f t="shared" si="7"/>
        <v>Basic Phones 230</v>
      </c>
      <c r="W64" t="s">
        <v>108</v>
      </c>
      <c r="X64" t="str">
        <f t="shared" si="8"/>
        <v>Standard Class</v>
      </c>
      <c r="Y64">
        <v>3</v>
      </c>
      <c r="Z64">
        <v>9</v>
      </c>
      <c r="AA64">
        <v>3042.29</v>
      </c>
      <c r="AB64">
        <v>0.2</v>
      </c>
      <c r="AC64">
        <f t="shared" si="9"/>
        <v>0.2</v>
      </c>
      <c r="AD64">
        <v>21904.49</v>
      </c>
      <c r="AE64">
        <f t="shared" si="10"/>
        <v>21904.488</v>
      </c>
      <c r="AF64">
        <v>13570.55</v>
      </c>
      <c r="AG64">
        <v>8333.94</v>
      </c>
      <c r="AH64">
        <f t="shared" si="11"/>
        <v>8333.938</v>
      </c>
      <c r="AI64">
        <f t="shared" si="12"/>
        <v>0.380467144450032</v>
      </c>
      <c r="AJ64" t="s">
        <v>77</v>
      </c>
      <c r="AK64" t="str">
        <f t="shared" si="13"/>
        <v>Paid</v>
      </c>
      <c r="AL64" t="s">
        <v>78</v>
      </c>
      <c r="AM64" t="str">
        <f t="shared" si="14"/>
        <v>Completed</v>
      </c>
      <c r="AN64">
        <v>10</v>
      </c>
      <c r="AO64">
        <v>2024</v>
      </c>
      <c r="AP64" t="s">
        <v>79</v>
      </c>
    </row>
    <row r="65" spans="1:42">
      <c r="A65" t="s">
        <v>464</v>
      </c>
      <c r="B65" s="3" t="s">
        <v>465</v>
      </c>
      <c r="C65" s="3">
        <v>45316</v>
      </c>
      <c r="D65" t="s">
        <v>466</v>
      </c>
      <c r="E65" s="3">
        <v>45323</v>
      </c>
      <c r="F65" t="s">
        <v>467</v>
      </c>
      <c r="G65" t="s">
        <v>208</v>
      </c>
      <c r="H65" t="str">
        <f t="shared" si="0"/>
        <v>Sneha Kapoor</v>
      </c>
      <c r="I65" t="s">
        <v>154</v>
      </c>
      <c r="J65" t="str">
        <f t="shared" si="1"/>
        <v>Home Office</v>
      </c>
      <c r="K65" t="s">
        <v>8</v>
      </c>
      <c r="L65" t="str">
        <f t="shared" si="2"/>
        <v>North</v>
      </c>
      <c r="M65" t="s">
        <v>366</v>
      </c>
      <c r="N65" t="str">
        <f t="shared" si="3"/>
        <v>Haryana</v>
      </c>
      <c r="O65" t="s">
        <v>367</v>
      </c>
      <c r="P65" t="str">
        <f t="shared" si="4"/>
        <v>Gurugram</v>
      </c>
      <c r="Q65" t="s">
        <v>22</v>
      </c>
      <c r="R65" t="str">
        <f t="shared" si="5"/>
        <v>Office Supplies</v>
      </c>
      <c r="S65" t="s">
        <v>239</v>
      </c>
      <c r="T65" t="str">
        <f t="shared" si="6"/>
        <v>Binders</v>
      </c>
      <c r="U65" t="s">
        <v>468</v>
      </c>
      <c r="V65" t="str">
        <f t="shared" si="7"/>
        <v>Pro Binders 690</v>
      </c>
      <c r="W65" t="s">
        <v>90</v>
      </c>
      <c r="X65" t="str">
        <f t="shared" si="8"/>
        <v>Same Day</v>
      </c>
      <c r="Y65">
        <v>7</v>
      </c>
      <c r="Z65">
        <v>2</v>
      </c>
      <c r="AA65">
        <v>2832.77</v>
      </c>
      <c r="AB65">
        <v>0.15</v>
      </c>
      <c r="AC65">
        <f t="shared" si="9"/>
        <v>0.15</v>
      </c>
      <c r="AD65">
        <v>4815.71</v>
      </c>
      <c r="AE65">
        <f t="shared" si="10"/>
        <v>4815.709</v>
      </c>
      <c r="AF65">
        <v>3027.75</v>
      </c>
      <c r="AG65">
        <v>1917.47</v>
      </c>
      <c r="AH65">
        <f t="shared" si="11"/>
        <v>1787.959</v>
      </c>
      <c r="AI65">
        <f t="shared" si="12"/>
        <v>0.3712763790337</v>
      </c>
      <c r="AJ65" t="s">
        <v>267</v>
      </c>
      <c r="AK65" t="str">
        <f t="shared" si="13"/>
        <v>Paid</v>
      </c>
      <c r="AL65" t="s">
        <v>78</v>
      </c>
      <c r="AM65" t="str">
        <f t="shared" si="14"/>
        <v>Completed</v>
      </c>
      <c r="AN65">
        <v>1</v>
      </c>
      <c r="AO65">
        <v>2024</v>
      </c>
      <c r="AP65" t="s">
        <v>79</v>
      </c>
    </row>
    <row r="66" spans="1:42">
      <c r="A66" t="s">
        <v>469</v>
      </c>
      <c r="B66" s="3" t="s">
        <v>470</v>
      </c>
      <c r="C66" s="3">
        <v>45649</v>
      </c>
      <c r="D66" t="s">
        <v>471</v>
      </c>
      <c r="E66" s="3">
        <v>45655</v>
      </c>
      <c r="F66" t="s">
        <v>472</v>
      </c>
      <c r="G66" t="s">
        <v>202</v>
      </c>
      <c r="H66" t="str">
        <f t="shared" ref="H66:H129" si="15">PROPER(TRIM(G66))</f>
        <v>Aarav Sharma</v>
      </c>
      <c r="I66" t="s">
        <v>147</v>
      </c>
      <c r="J66" t="str">
        <f t="shared" ref="J66:J129" si="16">PROPER(TRIM(I66))</f>
        <v>Corporate</v>
      </c>
      <c r="K66" t="s">
        <v>7</v>
      </c>
      <c r="L66" t="str">
        <f t="shared" ref="L66:L129" si="17">PROPER(TRIM(K66))</f>
        <v>East</v>
      </c>
      <c r="M66" t="s">
        <v>354</v>
      </c>
      <c r="N66" t="str">
        <f t="shared" ref="N66:N129" si="18">PROPER(TRIM(M66))</f>
        <v>Jharkhand</v>
      </c>
      <c r="O66" t="s">
        <v>355</v>
      </c>
      <c r="P66" t="str">
        <f t="shared" ref="P66:P129" si="19">PROPER(TRIM(O66))</f>
        <v>Ranchi</v>
      </c>
      <c r="Q66" t="s">
        <v>22</v>
      </c>
      <c r="R66" t="str">
        <f t="shared" ref="R66:R129" si="20">PROPER(TRIM(Q66))</f>
        <v>Office Supplies</v>
      </c>
      <c r="S66" t="s">
        <v>74</v>
      </c>
      <c r="T66" t="str">
        <f t="shared" ref="T66:T129" si="21">PROPER(TRIM(S66))</f>
        <v>Paper</v>
      </c>
      <c r="U66" t="s">
        <v>473</v>
      </c>
      <c r="V66" t="str">
        <f t="shared" ref="V66:V129" si="22">PROPER(TRIM(U66))</f>
        <v>Classic Paper 458</v>
      </c>
      <c r="W66" t="s">
        <v>98</v>
      </c>
      <c r="X66" t="str">
        <f t="shared" ref="X66:X129" si="23">PROPER(TRIM(W66))</f>
        <v>First Class</v>
      </c>
      <c r="Y66">
        <v>6</v>
      </c>
      <c r="Z66">
        <v>7</v>
      </c>
      <c r="AA66">
        <v>447.84</v>
      </c>
      <c r="AB66">
        <v>0</v>
      </c>
      <c r="AC66">
        <f t="shared" ref="AC66:AC129" si="24">IF(OR(AB66="",AB66&lt;0),0,AB66)</f>
        <v>0</v>
      </c>
      <c r="AD66">
        <v>3134.88</v>
      </c>
      <c r="AE66">
        <f t="shared" ref="AE66:AE129" si="25">Z66*AA66*(1-AC66)</f>
        <v>3134.88</v>
      </c>
      <c r="AF66">
        <v>2367.63</v>
      </c>
      <c r="AG66">
        <v>767.25</v>
      </c>
      <c r="AH66">
        <f t="shared" ref="AH66:AH129" si="26">AE66-AF66</f>
        <v>767.25</v>
      </c>
      <c r="AI66">
        <f t="shared" ref="AI66:AI129" si="27">AH66/AE66</f>
        <v>0.244746210381258</v>
      </c>
      <c r="AJ66" t="s">
        <v>163</v>
      </c>
      <c r="AK66" t="str">
        <f t="shared" ref="AK66:AK129" si="28">PROPER(TRIM(AJ66))</f>
        <v>Refunded</v>
      </c>
      <c r="AL66" t="s">
        <v>164</v>
      </c>
      <c r="AM66" t="str">
        <f t="shared" ref="AM66:AM129" si="29">PROPER(TRIM(AL66))</f>
        <v>Returned</v>
      </c>
      <c r="AN66">
        <v>12</v>
      </c>
      <c r="AO66">
        <v>2024</v>
      </c>
      <c r="AP66" t="s">
        <v>79</v>
      </c>
    </row>
    <row r="67" spans="1:42">
      <c r="A67" t="s">
        <v>474</v>
      </c>
      <c r="B67" s="3" t="s">
        <v>475</v>
      </c>
      <c r="C67" s="3">
        <v>45404</v>
      </c>
      <c r="D67" t="s">
        <v>476</v>
      </c>
      <c r="E67" s="3">
        <v>45409</v>
      </c>
      <c r="F67" t="s">
        <v>477</v>
      </c>
      <c r="G67" t="s">
        <v>84</v>
      </c>
      <c r="H67" t="str">
        <f t="shared" si="15"/>
        <v>Mira Das</v>
      </c>
      <c r="I67" t="s">
        <v>154</v>
      </c>
      <c r="J67" t="str">
        <f t="shared" si="16"/>
        <v>Home Office</v>
      </c>
      <c r="K67" t="s">
        <v>11</v>
      </c>
      <c r="L67" t="str">
        <f t="shared" si="17"/>
        <v>West</v>
      </c>
      <c r="M67" t="s">
        <v>114</v>
      </c>
      <c r="N67" t="str">
        <f t="shared" si="18"/>
        <v>Maharashtra</v>
      </c>
      <c r="O67" t="s">
        <v>115</v>
      </c>
      <c r="P67" t="str">
        <f t="shared" si="19"/>
        <v>Mumbai</v>
      </c>
      <c r="Q67" t="s">
        <v>22</v>
      </c>
      <c r="R67" t="str">
        <f t="shared" si="20"/>
        <v>Office Supplies</v>
      </c>
      <c r="S67" t="s">
        <v>74</v>
      </c>
      <c r="T67" t="str">
        <f t="shared" si="21"/>
        <v>Paper</v>
      </c>
      <c r="U67" t="s">
        <v>478</v>
      </c>
      <c r="V67" t="str">
        <f t="shared" si="22"/>
        <v>Pro Paper 552</v>
      </c>
      <c r="W67" t="s">
        <v>76</v>
      </c>
      <c r="X67" t="str">
        <f t="shared" si="23"/>
        <v>Second Class</v>
      </c>
      <c r="Y67">
        <v>5</v>
      </c>
      <c r="Z67">
        <v>1</v>
      </c>
      <c r="AA67">
        <v>4280.19</v>
      </c>
      <c r="AB67">
        <v>0.05</v>
      </c>
      <c r="AC67">
        <f t="shared" si="24"/>
        <v>0.05</v>
      </c>
      <c r="AD67">
        <v>4066.18</v>
      </c>
      <c r="AE67">
        <f t="shared" si="25"/>
        <v>4066.1805</v>
      </c>
      <c r="AF67">
        <v>2628.92</v>
      </c>
      <c r="AG67">
        <v>1437.26</v>
      </c>
      <c r="AH67">
        <f t="shared" si="26"/>
        <v>1437.2605</v>
      </c>
      <c r="AI67">
        <f t="shared" si="27"/>
        <v>0.353466969801267</v>
      </c>
      <c r="AJ67" t="s">
        <v>77</v>
      </c>
      <c r="AK67" t="str">
        <f t="shared" si="28"/>
        <v>Paid</v>
      </c>
      <c r="AL67" t="s">
        <v>78</v>
      </c>
      <c r="AM67" t="str">
        <f t="shared" si="29"/>
        <v>Completed</v>
      </c>
      <c r="AN67">
        <v>4</v>
      </c>
      <c r="AO67">
        <v>2024</v>
      </c>
      <c r="AP67" t="s">
        <v>79</v>
      </c>
    </row>
    <row r="68" spans="1:42">
      <c r="A68" t="s">
        <v>479</v>
      </c>
      <c r="B68" s="3" t="s">
        <v>480</v>
      </c>
      <c r="C68" s="3">
        <v>45897</v>
      </c>
      <c r="D68" t="s">
        <v>481</v>
      </c>
      <c r="E68" s="3">
        <v>45901</v>
      </c>
      <c r="F68" t="s">
        <v>482</v>
      </c>
      <c r="G68" t="s">
        <v>70</v>
      </c>
      <c r="H68" t="str">
        <f t="shared" si="15"/>
        <v>Karan Malhotra</v>
      </c>
      <c r="I68" t="s">
        <v>85</v>
      </c>
      <c r="J68" t="str">
        <f t="shared" si="16"/>
        <v>Small Business</v>
      </c>
      <c r="K68" t="s">
        <v>10</v>
      </c>
      <c r="L68" t="str">
        <f t="shared" si="17"/>
        <v>South</v>
      </c>
      <c r="M68" t="s">
        <v>382</v>
      </c>
      <c r="N68" t="str">
        <f t="shared" si="18"/>
        <v>Tamil Nadu</v>
      </c>
      <c r="O68" t="s">
        <v>383</v>
      </c>
      <c r="P68" t="str">
        <f t="shared" si="19"/>
        <v>Chennai</v>
      </c>
      <c r="Q68" t="s">
        <v>24</v>
      </c>
      <c r="R68" t="str">
        <f t="shared" si="20"/>
        <v>Technology</v>
      </c>
      <c r="S68" t="s">
        <v>126</v>
      </c>
      <c r="T68" t="str">
        <f t="shared" si="21"/>
        <v>Accessories</v>
      </c>
      <c r="U68" t="s">
        <v>483</v>
      </c>
      <c r="V68" t="str">
        <f t="shared" si="22"/>
        <v>Elite Accessories 187</v>
      </c>
      <c r="W68" t="s">
        <v>90</v>
      </c>
      <c r="X68" t="str">
        <f t="shared" si="23"/>
        <v>Same Day</v>
      </c>
      <c r="Y68">
        <v>4</v>
      </c>
      <c r="Z68">
        <v>7</v>
      </c>
      <c r="AA68">
        <v>1057.46</v>
      </c>
      <c r="AB68">
        <v>0.05</v>
      </c>
      <c r="AC68">
        <f t="shared" si="24"/>
        <v>0.05</v>
      </c>
      <c r="AD68">
        <v>7032.11</v>
      </c>
      <c r="AE68">
        <f t="shared" si="25"/>
        <v>7032.109</v>
      </c>
      <c r="AF68">
        <v>4610.34</v>
      </c>
      <c r="AG68">
        <v>2421.77</v>
      </c>
      <c r="AH68">
        <f t="shared" si="26"/>
        <v>2421.769</v>
      </c>
      <c r="AI68">
        <f t="shared" si="27"/>
        <v>0.344387295475653</v>
      </c>
      <c r="AJ68" t="s">
        <v>77</v>
      </c>
      <c r="AK68" t="str">
        <f t="shared" si="28"/>
        <v>Paid</v>
      </c>
      <c r="AL68" t="s">
        <v>78</v>
      </c>
      <c r="AM68" t="str">
        <f t="shared" si="29"/>
        <v>Completed</v>
      </c>
      <c r="AN68">
        <v>8</v>
      </c>
      <c r="AO68">
        <v>2025</v>
      </c>
      <c r="AP68" t="s">
        <v>79</v>
      </c>
    </row>
    <row r="69" spans="1:42">
      <c r="A69" t="s">
        <v>484</v>
      </c>
      <c r="B69" s="3" t="s">
        <v>485</v>
      </c>
      <c r="C69" s="3">
        <v>45691</v>
      </c>
      <c r="D69" t="s">
        <v>486</v>
      </c>
      <c r="E69" s="3">
        <v>45695</v>
      </c>
      <c r="F69" t="s">
        <v>487</v>
      </c>
      <c r="G69" t="s">
        <v>411</v>
      </c>
      <c r="H69" t="str">
        <f t="shared" si="15"/>
        <v>Kabir Singh</v>
      </c>
      <c r="I69" t="s">
        <v>71</v>
      </c>
      <c r="J69" t="str">
        <f t="shared" si="16"/>
        <v>Consumer</v>
      </c>
      <c r="K69" t="s">
        <v>8</v>
      </c>
      <c r="L69" t="str">
        <f t="shared" si="17"/>
        <v>North</v>
      </c>
      <c r="M69" t="s">
        <v>366</v>
      </c>
      <c r="N69" t="str">
        <f t="shared" si="18"/>
        <v>Haryana</v>
      </c>
      <c r="O69" t="s">
        <v>367</v>
      </c>
      <c r="P69" t="str">
        <f t="shared" si="19"/>
        <v>Gurugram</v>
      </c>
      <c r="Q69" t="s">
        <v>22</v>
      </c>
      <c r="R69" t="str">
        <f t="shared" si="20"/>
        <v>Office Supplies</v>
      </c>
      <c r="S69" t="s">
        <v>74</v>
      </c>
      <c r="T69" t="str">
        <f t="shared" si="21"/>
        <v>Paper</v>
      </c>
      <c r="U69" t="s">
        <v>488</v>
      </c>
      <c r="V69" t="str">
        <f t="shared" si="22"/>
        <v>Eco Paper 922</v>
      </c>
      <c r="W69" t="s">
        <v>98</v>
      </c>
      <c r="X69" t="str">
        <f t="shared" si="23"/>
        <v>First Class</v>
      </c>
      <c r="Y69">
        <v>4</v>
      </c>
      <c r="Z69">
        <v>7</v>
      </c>
      <c r="AA69">
        <v>3609.34</v>
      </c>
      <c r="AB69">
        <v>0.05</v>
      </c>
      <c r="AC69">
        <f t="shared" si="24"/>
        <v>0.05</v>
      </c>
      <c r="AD69">
        <v>24002.11</v>
      </c>
      <c r="AE69">
        <f t="shared" si="25"/>
        <v>24002.111</v>
      </c>
      <c r="AF69">
        <v>18707.57</v>
      </c>
      <c r="AG69">
        <v>5294.54</v>
      </c>
      <c r="AH69">
        <f t="shared" si="26"/>
        <v>5294.541</v>
      </c>
      <c r="AI69">
        <f t="shared" si="27"/>
        <v>0.220586472581516</v>
      </c>
      <c r="AJ69" t="s">
        <v>77</v>
      </c>
      <c r="AK69" t="str">
        <f t="shared" si="28"/>
        <v>Paid</v>
      </c>
      <c r="AL69" t="s">
        <v>78</v>
      </c>
      <c r="AM69" t="str">
        <f t="shared" si="29"/>
        <v>Completed</v>
      </c>
      <c r="AN69">
        <v>2</v>
      </c>
      <c r="AO69">
        <v>2025</v>
      </c>
      <c r="AP69" t="s">
        <v>79</v>
      </c>
    </row>
    <row r="70" spans="1:42">
      <c r="A70" t="s">
        <v>489</v>
      </c>
      <c r="B70" s="3" t="s">
        <v>144</v>
      </c>
      <c r="C70" s="3">
        <v>45606</v>
      </c>
      <c r="D70" t="s">
        <v>490</v>
      </c>
      <c r="E70" s="3">
        <v>45609</v>
      </c>
      <c r="F70" t="s">
        <v>491</v>
      </c>
      <c r="G70" t="s">
        <v>95</v>
      </c>
      <c r="H70" t="str">
        <f t="shared" si="15"/>
        <v>Isha Nair</v>
      </c>
      <c r="I70" t="s">
        <v>147</v>
      </c>
      <c r="J70" t="str">
        <f t="shared" si="16"/>
        <v>Corporate</v>
      </c>
      <c r="K70" t="s">
        <v>7</v>
      </c>
      <c r="L70" t="str">
        <f t="shared" si="17"/>
        <v>East</v>
      </c>
      <c r="M70" t="s">
        <v>354</v>
      </c>
      <c r="N70" t="str">
        <f t="shared" si="18"/>
        <v>Jharkhand</v>
      </c>
      <c r="O70" t="s">
        <v>355</v>
      </c>
      <c r="P70" t="str">
        <f t="shared" si="19"/>
        <v>Ranchi</v>
      </c>
      <c r="Q70" t="s">
        <v>22</v>
      </c>
      <c r="R70" t="str">
        <f t="shared" si="20"/>
        <v>Office Supplies</v>
      </c>
      <c r="S70" t="s">
        <v>196</v>
      </c>
      <c r="T70" t="str">
        <f t="shared" si="21"/>
        <v>Storage</v>
      </c>
      <c r="U70" t="s">
        <v>492</v>
      </c>
      <c r="V70" t="str">
        <f t="shared" si="22"/>
        <v>Pro Storage 975</v>
      </c>
      <c r="W70" t="s">
        <v>76</v>
      </c>
      <c r="X70" t="str">
        <f t="shared" si="23"/>
        <v>Second Class</v>
      </c>
      <c r="Y70">
        <v>3</v>
      </c>
      <c r="Z70">
        <v>9</v>
      </c>
      <c r="AA70">
        <v>2211.12</v>
      </c>
      <c r="AB70">
        <v>0</v>
      </c>
      <c r="AC70">
        <f t="shared" si="24"/>
        <v>0</v>
      </c>
      <c r="AD70">
        <v>19900.08</v>
      </c>
      <c r="AE70">
        <f t="shared" si="25"/>
        <v>19900.08</v>
      </c>
      <c r="AF70">
        <v>10962.66</v>
      </c>
      <c r="AG70">
        <v>8937.42</v>
      </c>
      <c r="AH70">
        <f t="shared" si="26"/>
        <v>8937.42</v>
      </c>
      <c r="AI70">
        <f t="shared" si="27"/>
        <v>0.44911477742803</v>
      </c>
      <c r="AJ70" t="s">
        <v>241</v>
      </c>
      <c r="AK70" t="str">
        <f t="shared" si="28"/>
        <v>Failed</v>
      </c>
      <c r="AL70" t="s">
        <v>164</v>
      </c>
      <c r="AM70" t="str">
        <f t="shared" si="29"/>
        <v>Returned</v>
      </c>
      <c r="AN70">
        <v>11</v>
      </c>
      <c r="AO70">
        <v>2024</v>
      </c>
      <c r="AP70" t="s">
        <v>79</v>
      </c>
    </row>
    <row r="71" spans="1:42">
      <c r="A71" t="s">
        <v>493</v>
      </c>
      <c r="B71" s="3" t="s">
        <v>494</v>
      </c>
      <c r="C71" s="3">
        <v>45391</v>
      </c>
      <c r="D71" t="s">
        <v>495</v>
      </c>
      <c r="E71" s="3">
        <v>45396</v>
      </c>
      <c r="F71" t="s">
        <v>496</v>
      </c>
      <c r="G71" t="s">
        <v>132</v>
      </c>
      <c r="H71" t="str">
        <f t="shared" si="15"/>
        <v>Neha Gupta</v>
      </c>
      <c r="I71" t="s">
        <v>85</v>
      </c>
      <c r="J71" t="str">
        <f t="shared" si="16"/>
        <v>Small Business</v>
      </c>
      <c r="K71" t="s">
        <v>11</v>
      </c>
      <c r="L71" t="str">
        <f t="shared" si="17"/>
        <v>West</v>
      </c>
      <c r="M71" t="s">
        <v>278</v>
      </c>
      <c r="N71" t="str">
        <f t="shared" si="18"/>
        <v>Gujarat</v>
      </c>
      <c r="O71" t="s">
        <v>279</v>
      </c>
      <c r="P71" t="str">
        <f t="shared" si="19"/>
        <v>Ahmedabad</v>
      </c>
      <c r="Q71" t="s">
        <v>24</v>
      </c>
      <c r="R71" t="str">
        <f t="shared" si="20"/>
        <v>Technology</v>
      </c>
      <c r="S71" t="s">
        <v>427</v>
      </c>
      <c r="T71" t="str">
        <f t="shared" si="21"/>
        <v>Machines</v>
      </c>
      <c r="U71" t="s">
        <v>497</v>
      </c>
      <c r="V71" t="str">
        <f t="shared" si="22"/>
        <v>Prime Machines 782</v>
      </c>
      <c r="W71" t="s">
        <v>90</v>
      </c>
      <c r="X71" t="str">
        <f t="shared" si="23"/>
        <v>Same Day</v>
      </c>
      <c r="Y71">
        <v>5</v>
      </c>
      <c r="Z71">
        <v>7</v>
      </c>
      <c r="AA71">
        <v>3417.09</v>
      </c>
      <c r="AB71">
        <v>0.1</v>
      </c>
      <c r="AC71">
        <f t="shared" si="24"/>
        <v>0.1</v>
      </c>
      <c r="AD71">
        <v>21527.67</v>
      </c>
      <c r="AE71">
        <f t="shared" si="25"/>
        <v>21527.667</v>
      </c>
      <c r="AF71">
        <v>18287.58</v>
      </c>
      <c r="AG71">
        <v>3240.09</v>
      </c>
      <c r="AH71">
        <f t="shared" si="26"/>
        <v>3240.087</v>
      </c>
      <c r="AI71">
        <f t="shared" si="27"/>
        <v>0.150508041582026</v>
      </c>
      <c r="AJ71" t="s">
        <v>163</v>
      </c>
      <c r="AK71" t="str">
        <f t="shared" si="28"/>
        <v>Refunded</v>
      </c>
      <c r="AL71" t="s">
        <v>164</v>
      </c>
      <c r="AM71" t="str">
        <f t="shared" si="29"/>
        <v>Returned</v>
      </c>
      <c r="AN71">
        <v>4</v>
      </c>
      <c r="AO71">
        <v>2024</v>
      </c>
      <c r="AP71" t="s">
        <v>79</v>
      </c>
    </row>
    <row r="72" spans="1:42">
      <c r="A72" t="s">
        <v>498</v>
      </c>
      <c r="B72" s="3" t="s">
        <v>499</v>
      </c>
      <c r="C72" s="3">
        <v>45891</v>
      </c>
      <c r="D72" t="s">
        <v>500</v>
      </c>
      <c r="E72" s="3">
        <v>45896</v>
      </c>
      <c r="F72" t="s">
        <v>501</v>
      </c>
      <c r="G72" t="s">
        <v>70</v>
      </c>
      <c r="H72" t="str">
        <f t="shared" si="15"/>
        <v>Karan Malhotra</v>
      </c>
      <c r="I72" t="s">
        <v>147</v>
      </c>
      <c r="J72" t="str">
        <f t="shared" si="16"/>
        <v>Corporate</v>
      </c>
      <c r="K72" t="s">
        <v>10</v>
      </c>
      <c r="L72" t="str">
        <f t="shared" si="17"/>
        <v>South</v>
      </c>
      <c r="M72" t="s">
        <v>139</v>
      </c>
      <c r="N72" t="str">
        <f t="shared" si="18"/>
        <v>Andhra Pradesh</v>
      </c>
      <c r="O72" t="s">
        <v>140</v>
      </c>
      <c r="P72" t="str">
        <f t="shared" si="19"/>
        <v>Vijayawada</v>
      </c>
      <c r="Q72" t="s">
        <v>24</v>
      </c>
      <c r="R72" t="str">
        <f t="shared" si="20"/>
        <v>Technology</v>
      </c>
      <c r="S72" t="s">
        <v>265</v>
      </c>
      <c r="T72" t="str">
        <f t="shared" si="21"/>
        <v>Phones</v>
      </c>
      <c r="U72" t="s">
        <v>502</v>
      </c>
      <c r="V72" t="str">
        <f t="shared" si="22"/>
        <v>Max Phones 661</v>
      </c>
      <c r="W72" t="s">
        <v>98</v>
      </c>
      <c r="X72" t="str">
        <f t="shared" si="23"/>
        <v>First Class</v>
      </c>
      <c r="Y72">
        <v>5</v>
      </c>
      <c r="Z72">
        <v>2</v>
      </c>
      <c r="AA72">
        <v>905.87</v>
      </c>
      <c r="AB72">
        <v>0.15</v>
      </c>
      <c r="AC72">
        <f t="shared" si="24"/>
        <v>0.15</v>
      </c>
      <c r="AD72">
        <v>1539.98</v>
      </c>
      <c r="AE72">
        <f t="shared" si="25"/>
        <v>1539.979</v>
      </c>
      <c r="AF72">
        <v>1070.2</v>
      </c>
      <c r="AG72">
        <v>469.78</v>
      </c>
      <c r="AH72">
        <f t="shared" si="26"/>
        <v>469.779</v>
      </c>
      <c r="AI72">
        <f t="shared" si="27"/>
        <v>0.305055458548461</v>
      </c>
      <c r="AJ72" t="s">
        <v>77</v>
      </c>
      <c r="AK72" t="str">
        <f t="shared" si="28"/>
        <v>Paid</v>
      </c>
      <c r="AL72" t="s">
        <v>78</v>
      </c>
      <c r="AM72" t="str">
        <f t="shared" si="29"/>
        <v>Completed</v>
      </c>
      <c r="AN72">
        <v>8</v>
      </c>
      <c r="AO72">
        <v>2025</v>
      </c>
      <c r="AP72" t="s">
        <v>79</v>
      </c>
    </row>
    <row r="73" spans="1:42">
      <c r="A73" t="s">
        <v>503</v>
      </c>
      <c r="B73" s="3" t="s">
        <v>130</v>
      </c>
      <c r="C73" s="3">
        <v>45763</v>
      </c>
      <c r="D73" t="s">
        <v>504</v>
      </c>
      <c r="E73" s="3">
        <v>45770</v>
      </c>
      <c r="F73" t="s">
        <v>505</v>
      </c>
      <c r="G73" t="s">
        <v>84</v>
      </c>
      <c r="H73" t="str">
        <f t="shared" si="15"/>
        <v>Mira Das</v>
      </c>
      <c r="I73" t="s">
        <v>506</v>
      </c>
      <c r="J73" t="str">
        <f t="shared" si="16"/>
        <v>Small Business</v>
      </c>
      <c r="K73" t="s">
        <v>11</v>
      </c>
      <c r="L73" t="str">
        <f t="shared" si="17"/>
        <v>West</v>
      </c>
      <c r="M73" t="s">
        <v>292</v>
      </c>
      <c r="N73" t="str">
        <f t="shared" si="18"/>
        <v>Goa</v>
      </c>
      <c r="O73" t="s">
        <v>293</v>
      </c>
      <c r="P73" t="str">
        <f t="shared" si="19"/>
        <v>Panaji</v>
      </c>
      <c r="Q73" t="s">
        <v>24</v>
      </c>
      <c r="R73" t="str">
        <f t="shared" si="20"/>
        <v>Technology</v>
      </c>
      <c r="S73" t="s">
        <v>427</v>
      </c>
      <c r="T73" t="str">
        <f t="shared" si="21"/>
        <v>Machines</v>
      </c>
      <c r="U73" t="s">
        <v>507</v>
      </c>
      <c r="V73" t="str">
        <f t="shared" si="22"/>
        <v>Elite Machines 836</v>
      </c>
      <c r="W73" t="s">
        <v>108</v>
      </c>
      <c r="X73" t="str">
        <f t="shared" si="23"/>
        <v>Standard Class</v>
      </c>
      <c r="Y73">
        <v>7</v>
      </c>
      <c r="Z73">
        <v>6</v>
      </c>
      <c r="AA73">
        <v>2027.32</v>
      </c>
      <c r="AB73">
        <v>0.1</v>
      </c>
      <c r="AC73">
        <f t="shared" si="24"/>
        <v>0.1</v>
      </c>
      <c r="AD73">
        <v>10947.53</v>
      </c>
      <c r="AE73">
        <f t="shared" si="25"/>
        <v>10947.528</v>
      </c>
      <c r="AF73">
        <v>6447.36</v>
      </c>
      <c r="AG73">
        <v>4500.17</v>
      </c>
      <c r="AH73">
        <f t="shared" si="26"/>
        <v>4500.168</v>
      </c>
      <c r="AI73">
        <f t="shared" si="27"/>
        <v>0.411067046368824</v>
      </c>
      <c r="AJ73" t="s">
        <v>77</v>
      </c>
      <c r="AK73" t="str">
        <f t="shared" si="28"/>
        <v>Paid</v>
      </c>
      <c r="AL73" t="s">
        <v>78</v>
      </c>
      <c r="AM73" t="str">
        <f t="shared" si="29"/>
        <v>Completed</v>
      </c>
      <c r="AN73">
        <v>4</v>
      </c>
      <c r="AO73">
        <v>2025</v>
      </c>
      <c r="AP73" t="s">
        <v>79</v>
      </c>
    </row>
    <row r="74" spans="1:42">
      <c r="A74" t="s">
        <v>508</v>
      </c>
      <c r="B74" s="3" t="s">
        <v>509</v>
      </c>
      <c r="C74" s="3">
        <v>45333</v>
      </c>
      <c r="D74" t="s">
        <v>510</v>
      </c>
      <c r="E74" s="3">
        <v>45329</v>
      </c>
      <c r="F74" t="s">
        <v>511</v>
      </c>
      <c r="G74" t="s">
        <v>70</v>
      </c>
      <c r="H74" t="str">
        <f t="shared" si="15"/>
        <v>Karan Malhotra</v>
      </c>
      <c r="I74" t="s">
        <v>154</v>
      </c>
      <c r="J74" t="str">
        <f t="shared" si="16"/>
        <v>Home Office</v>
      </c>
      <c r="K74" t="s">
        <v>10</v>
      </c>
      <c r="L74" t="str">
        <f t="shared" si="17"/>
        <v>South</v>
      </c>
      <c r="M74" t="s">
        <v>382</v>
      </c>
      <c r="N74" t="str">
        <f t="shared" si="18"/>
        <v>Tamil Nadu</v>
      </c>
      <c r="O74" t="s">
        <v>383</v>
      </c>
      <c r="P74" t="str">
        <f t="shared" si="19"/>
        <v>Chennai</v>
      </c>
      <c r="Q74" t="s">
        <v>19</v>
      </c>
      <c r="R74" t="str">
        <f t="shared" si="20"/>
        <v>Furniture</v>
      </c>
      <c r="S74" t="s">
        <v>88</v>
      </c>
      <c r="T74" t="str">
        <f t="shared" si="21"/>
        <v>Tables</v>
      </c>
      <c r="U74" t="s">
        <v>512</v>
      </c>
      <c r="V74" t="str">
        <f t="shared" si="22"/>
        <v>Prime Tables 902</v>
      </c>
      <c r="W74" t="s">
        <v>98</v>
      </c>
      <c r="X74" t="str">
        <f t="shared" si="23"/>
        <v>First Class</v>
      </c>
      <c r="Y74">
        <v>-4</v>
      </c>
      <c r="Z74">
        <v>7</v>
      </c>
      <c r="AA74">
        <v>2287.47</v>
      </c>
      <c r="AB74">
        <v>0.15</v>
      </c>
      <c r="AC74">
        <f t="shared" si="24"/>
        <v>0.15</v>
      </c>
      <c r="AD74">
        <v>13610.45</v>
      </c>
      <c r="AE74">
        <f t="shared" si="25"/>
        <v>13610.4465</v>
      </c>
      <c r="AF74">
        <v>10039.05</v>
      </c>
      <c r="AG74">
        <v>3571.4</v>
      </c>
      <c r="AH74">
        <f t="shared" si="26"/>
        <v>3571.3965</v>
      </c>
      <c r="AI74">
        <f t="shared" si="27"/>
        <v>0.262401126957885</v>
      </c>
      <c r="AJ74" t="s">
        <v>77</v>
      </c>
      <c r="AK74" t="str">
        <f t="shared" si="28"/>
        <v>Paid</v>
      </c>
      <c r="AL74" t="s">
        <v>78</v>
      </c>
      <c r="AM74" t="str">
        <f t="shared" si="29"/>
        <v>Completed</v>
      </c>
      <c r="AN74">
        <v>2</v>
      </c>
      <c r="AO74">
        <v>2024</v>
      </c>
      <c r="AP74" t="s">
        <v>253</v>
      </c>
    </row>
    <row r="75" spans="1:42">
      <c r="A75" t="s">
        <v>513</v>
      </c>
      <c r="B75" s="3" t="s">
        <v>514</v>
      </c>
      <c r="C75" s="3">
        <v>45745</v>
      </c>
      <c r="D75" t="s">
        <v>515</v>
      </c>
      <c r="E75" s="3">
        <v>45750</v>
      </c>
      <c r="F75" t="s">
        <v>516</v>
      </c>
      <c r="G75" t="s">
        <v>208</v>
      </c>
      <c r="H75" t="str">
        <f t="shared" si="15"/>
        <v>Sneha Kapoor</v>
      </c>
      <c r="I75" t="s">
        <v>147</v>
      </c>
      <c r="J75" t="str">
        <f t="shared" si="16"/>
        <v>Corporate</v>
      </c>
      <c r="K75" t="s">
        <v>7</v>
      </c>
      <c r="L75" t="str">
        <f t="shared" si="17"/>
        <v>East</v>
      </c>
      <c r="M75" t="s">
        <v>160</v>
      </c>
      <c r="N75" t="str">
        <f t="shared" si="18"/>
        <v>West Bengal</v>
      </c>
      <c r="O75" t="s">
        <v>161</v>
      </c>
      <c r="P75" t="str">
        <f t="shared" si="19"/>
        <v>Kolkata</v>
      </c>
      <c r="Q75" t="s">
        <v>19</v>
      </c>
      <c r="R75" t="str">
        <f t="shared" si="20"/>
        <v>Furniture</v>
      </c>
      <c r="S75" t="s">
        <v>245</v>
      </c>
      <c r="T75" t="str">
        <f t="shared" si="21"/>
        <v>Bookcases</v>
      </c>
      <c r="U75" t="s">
        <v>517</v>
      </c>
      <c r="V75" t="str">
        <f t="shared" si="22"/>
        <v>Smart Bookcases 167</v>
      </c>
      <c r="W75" t="s">
        <v>98</v>
      </c>
      <c r="X75" t="str">
        <f t="shared" si="23"/>
        <v>First Class</v>
      </c>
      <c r="Y75">
        <v>5</v>
      </c>
      <c r="Z75">
        <v>5</v>
      </c>
      <c r="AA75">
        <v>1425.74</v>
      </c>
      <c r="AB75">
        <v>0</v>
      </c>
      <c r="AC75">
        <f t="shared" si="24"/>
        <v>0</v>
      </c>
      <c r="AD75">
        <v>7128.7</v>
      </c>
      <c r="AE75">
        <f t="shared" si="25"/>
        <v>7128.7</v>
      </c>
      <c r="AF75">
        <v>4382.15</v>
      </c>
      <c r="AG75">
        <v>2746.55</v>
      </c>
      <c r="AH75">
        <f t="shared" si="26"/>
        <v>2746.55</v>
      </c>
      <c r="AI75">
        <f t="shared" si="27"/>
        <v>0.385280626201131</v>
      </c>
      <c r="AJ75" t="s">
        <v>77</v>
      </c>
      <c r="AK75" t="str">
        <f t="shared" si="28"/>
        <v>Paid</v>
      </c>
      <c r="AL75" t="s">
        <v>78</v>
      </c>
      <c r="AM75" t="str">
        <f t="shared" si="29"/>
        <v>Completed</v>
      </c>
      <c r="AN75">
        <v>3</v>
      </c>
      <c r="AO75">
        <v>2025</v>
      </c>
      <c r="AP75" t="s">
        <v>79</v>
      </c>
    </row>
    <row r="76" spans="1:42">
      <c r="A76" t="s">
        <v>518</v>
      </c>
      <c r="B76" s="3" t="s">
        <v>519</v>
      </c>
      <c r="C76" s="3">
        <v>45715</v>
      </c>
      <c r="D76" t="s">
        <v>520</v>
      </c>
      <c r="E76" s="3">
        <v>45717</v>
      </c>
      <c r="F76" t="s">
        <v>521</v>
      </c>
      <c r="G76" t="s">
        <v>123</v>
      </c>
      <c r="H76" t="str">
        <f t="shared" si="15"/>
        <v>Vikram Iyer</v>
      </c>
      <c r="I76" t="s">
        <v>85</v>
      </c>
      <c r="J76" t="str">
        <f t="shared" si="16"/>
        <v>Small Business</v>
      </c>
      <c r="K76" t="s">
        <v>7</v>
      </c>
      <c r="L76" t="str">
        <f t="shared" si="17"/>
        <v>East</v>
      </c>
      <c r="M76" t="s">
        <v>160</v>
      </c>
      <c r="N76" t="str">
        <f t="shared" si="18"/>
        <v>West Bengal</v>
      </c>
      <c r="O76" t="s">
        <v>161</v>
      </c>
      <c r="P76" t="str">
        <f t="shared" si="19"/>
        <v>Kolkata</v>
      </c>
      <c r="Q76" t="s">
        <v>19</v>
      </c>
      <c r="R76" t="str">
        <f t="shared" si="20"/>
        <v>Furniture</v>
      </c>
      <c r="S76" t="s">
        <v>116</v>
      </c>
      <c r="T76" t="str">
        <f t="shared" si="21"/>
        <v>Chairs</v>
      </c>
      <c r="U76" t="s">
        <v>522</v>
      </c>
      <c r="V76" t="str">
        <f t="shared" si="22"/>
        <v>Max Chairs 244</v>
      </c>
      <c r="W76" t="s">
        <v>108</v>
      </c>
      <c r="X76" t="str">
        <f t="shared" si="23"/>
        <v>Standard Class</v>
      </c>
      <c r="Y76">
        <v>2</v>
      </c>
      <c r="Z76">
        <v>6</v>
      </c>
      <c r="AA76">
        <v>551.64</v>
      </c>
      <c r="AB76">
        <v>0</v>
      </c>
      <c r="AC76">
        <f t="shared" si="24"/>
        <v>0</v>
      </c>
      <c r="AD76">
        <v>3309.84</v>
      </c>
      <c r="AE76">
        <f t="shared" si="25"/>
        <v>3309.84</v>
      </c>
      <c r="AF76">
        <v>2671.08</v>
      </c>
      <c r="AG76">
        <v>638.76</v>
      </c>
      <c r="AH76">
        <f t="shared" si="26"/>
        <v>638.76</v>
      </c>
      <c r="AI76">
        <f t="shared" si="27"/>
        <v>0.192988180697556</v>
      </c>
      <c r="AJ76" t="s">
        <v>77</v>
      </c>
      <c r="AK76" t="str">
        <f t="shared" si="28"/>
        <v>Paid</v>
      </c>
      <c r="AL76" t="s">
        <v>78</v>
      </c>
      <c r="AM76" t="str">
        <f t="shared" si="29"/>
        <v>Completed</v>
      </c>
      <c r="AN76">
        <v>2</v>
      </c>
      <c r="AO76">
        <v>2025</v>
      </c>
      <c r="AP76" t="s">
        <v>79</v>
      </c>
    </row>
    <row r="77" spans="1:42">
      <c r="A77" t="s">
        <v>523</v>
      </c>
      <c r="B77" s="3" t="s">
        <v>524</v>
      </c>
      <c r="C77" s="3">
        <v>45891</v>
      </c>
      <c r="D77" t="s">
        <v>525</v>
      </c>
      <c r="E77" s="3">
        <v>45896</v>
      </c>
      <c r="F77" t="s">
        <v>526</v>
      </c>
      <c r="G77" t="s">
        <v>182</v>
      </c>
      <c r="H77" t="str">
        <f t="shared" si="15"/>
        <v>Priya Menon</v>
      </c>
      <c r="I77" t="s">
        <v>85</v>
      </c>
      <c r="J77" t="str">
        <f t="shared" si="16"/>
        <v>Small Business</v>
      </c>
      <c r="K77" t="s">
        <v>7</v>
      </c>
      <c r="L77" t="str">
        <f t="shared" si="17"/>
        <v>East</v>
      </c>
      <c r="M77" t="s">
        <v>86</v>
      </c>
      <c r="N77" t="str">
        <f t="shared" si="18"/>
        <v>Odisha</v>
      </c>
      <c r="O77" t="s">
        <v>87</v>
      </c>
      <c r="P77" t="str">
        <f t="shared" si="19"/>
        <v>Bhubaneswar</v>
      </c>
      <c r="Q77" t="s">
        <v>22</v>
      </c>
      <c r="R77" t="str">
        <f t="shared" si="20"/>
        <v>Office Supplies</v>
      </c>
      <c r="S77" t="s">
        <v>148</v>
      </c>
      <c r="T77" t="str">
        <f t="shared" si="21"/>
        <v>Labels</v>
      </c>
      <c r="U77" t="s">
        <v>527</v>
      </c>
      <c r="V77" t="str">
        <f t="shared" si="22"/>
        <v>Eco Labels 653</v>
      </c>
      <c r="W77" t="s">
        <v>98</v>
      </c>
      <c r="X77" t="str">
        <f t="shared" si="23"/>
        <v>First Class</v>
      </c>
      <c r="Y77">
        <v>5</v>
      </c>
      <c r="Z77">
        <v>3</v>
      </c>
      <c r="AA77">
        <v>3294.82</v>
      </c>
      <c r="AB77">
        <v>0.2</v>
      </c>
      <c r="AC77">
        <f t="shared" si="24"/>
        <v>0.2</v>
      </c>
      <c r="AD77">
        <v>7907.57</v>
      </c>
      <c r="AE77">
        <f t="shared" si="25"/>
        <v>7907.568</v>
      </c>
      <c r="AF77">
        <v>5391.18</v>
      </c>
      <c r="AG77">
        <v>2516.39</v>
      </c>
      <c r="AH77">
        <f t="shared" si="26"/>
        <v>2516.388</v>
      </c>
      <c r="AI77">
        <f t="shared" si="27"/>
        <v>0.318225274825332</v>
      </c>
      <c r="AJ77" t="s">
        <v>77</v>
      </c>
      <c r="AK77" t="str">
        <f t="shared" si="28"/>
        <v>Paid</v>
      </c>
      <c r="AL77" t="s">
        <v>78</v>
      </c>
      <c r="AM77" t="str">
        <f t="shared" si="29"/>
        <v>Completed</v>
      </c>
      <c r="AN77">
        <v>8</v>
      </c>
      <c r="AO77">
        <v>2025</v>
      </c>
      <c r="AP77" t="s">
        <v>79</v>
      </c>
    </row>
    <row r="78" spans="1:42">
      <c r="A78" t="s">
        <v>528</v>
      </c>
      <c r="B78" s="3" t="s">
        <v>529</v>
      </c>
      <c r="C78" s="3">
        <v>45599</v>
      </c>
      <c r="D78" t="s">
        <v>530</v>
      </c>
      <c r="E78" s="3">
        <v>45607</v>
      </c>
      <c r="F78" t="s">
        <v>531</v>
      </c>
      <c r="G78" t="s">
        <v>113</v>
      </c>
      <c r="H78" t="str">
        <f t="shared" si="15"/>
        <v>Ananya Rao</v>
      </c>
      <c r="I78" t="s">
        <v>147</v>
      </c>
      <c r="J78" t="str">
        <f t="shared" si="16"/>
        <v>Corporate</v>
      </c>
      <c r="K78" t="s">
        <v>7</v>
      </c>
      <c r="L78" t="str">
        <f t="shared" si="17"/>
        <v>East</v>
      </c>
      <c r="M78" t="s">
        <v>354</v>
      </c>
      <c r="N78" t="str">
        <f t="shared" si="18"/>
        <v>Jharkhand</v>
      </c>
      <c r="O78" t="s">
        <v>355</v>
      </c>
      <c r="P78" t="str">
        <f t="shared" si="19"/>
        <v>Ranchi</v>
      </c>
      <c r="Q78" t="s">
        <v>22</v>
      </c>
      <c r="R78" t="str">
        <f t="shared" si="20"/>
        <v>Office Supplies</v>
      </c>
      <c r="S78" t="s">
        <v>148</v>
      </c>
      <c r="T78" t="str">
        <f t="shared" si="21"/>
        <v>Labels</v>
      </c>
      <c r="U78" t="s">
        <v>532</v>
      </c>
      <c r="V78" t="str">
        <f t="shared" si="22"/>
        <v>Max Labels 617</v>
      </c>
      <c r="W78" t="s">
        <v>76</v>
      </c>
      <c r="X78" t="str">
        <f t="shared" si="23"/>
        <v>Second Class</v>
      </c>
      <c r="Y78">
        <v>8</v>
      </c>
      <c r="Z78">
        <v>3</v>
      </c>
      <c r="AA78">
        <v>3406.27</v>
      </c>
      <c r="AB78">
        <v>0</v>
      </c>
      <c r="AC78">
        <f t="shared" si="24"/>
        <v>0</v>
      </c>
      <c r="AD78">
        <v>10218.81</v>
      </c>
      <c r="AE78">
        <f t="shared" si="25"/>
        <v>10218.81</v>
      </c>
      <c r="AF78">
        <v>7616.97</v>
      </c>
      <c r="AG78">
        <v>2601.84</v>
      </c>
      <c r="AH78">
        <f t="shared" si="26"/>
        <v>2601.84</v>
      </c>
      <c r="AI78">
        <f t="shared" si="27"/>
        <v>0.254612816952267</v>
      </c>
      <c r="AJ78" t="s">
        <v>77</v>
      </c>
      <c r="AK78" t="str">
        <f t="shared" si="28"/>
        <v>Paid</v>
      </c>
      <c r="AL78" t="s">
        <v>78</v>
      </c>
      <c r="AM78" t="str">
        <f t="shared" si="29"/>
        <v>Completed</v>
      </c>
      <c r="AN78">
        <v>11</v>
      </c>
      <c r="AO78">
        <v>2024</v>
      </c>
      <c r="AP78" t="s">
        <v>79</v>
      </c>
    </row>
    <row r="79" spans="1:42">
      <c r="A79" t="s">
        <v>533</v>
      </c>
      <c r="B79" s="3" t="s">
        <v>534</v>
      </c>
      <c r="C79" s="3">
        <v>45846</v>
      </c>
      <c r="D79" t="s">
        <v>535</v>
      </c>
      <c r="E79" s="3">
        <v>45850</v>
      </c>
      <c r="F79" t="s">
        <v>536</v>
      </c>
      <c r="G79" t="s">
        <v>220</v>
      </c>
      <c r="H79" t="str">
        <f t="shared" si="15"/>
        <v>Rohan Mehta</v>
      </c>
      <c r="I79" t="s">
        <v>154</v>
      </c>
      <c r="J79" t="str">
        <f t="shared" si="16"/>
        <v>Home Office</v>
      </c>
      <c r="K79" t="s">
        <v>8</v>
      </c>
      <c r="L79" t="str">
        <f t="shared" si="17"/>
        <v>North</v>
      </c>
      <c r="M79" t="s">
        <v>214</v>
      </c>
      <c r="N79" t="str">
        <f t="shared" si="18"/>
        <v>Uttar Pradesh</v>
      </c>
      <c r="O79" t="s">
        <v>215</v>
      </c>
      <c r="P79" t="str">
        <f t="shared" si="19"/>
        <v>Noida</v>
      </c>
      <c r="Q79" t="s">
        <v>19</v>
      </c>
      <c r="R79" t="str">
        <f t="shared" si="20"/>
        <v>Furniture</v>
      </c>
      <c r="S79" t="s">
        <v>106</v>
      </c>
      <c r="T79" t="str">
        <f t="shared" si="21"/>
        <v>Furnishings</v>
      </c>
      <c r="U79" t="s">
        <v>537</v>
      </c>
      <c r="V79" t="str">
        <f t="shared" si="22"/>
        <v>Pro Furnishings 529</v>
      </c>
      <c r="W79" t="s">
        <v>108</v>
      </c>
      <c r="X79" t="str">
        <f t="shared" si="23"/>
        <v>Standard Class</v>
      </c>
      <c r="Y79">
        <v>4</v>
      </c>
      <c r="Z79">
        <v>1</v>
      </c>
      <c r="AA79">
        <v>2582.2</v>
      </c>
      <c r="AB79">
        <v>0.15</v>
      </c>
      <c r="AC79">
        <f t="shared" si="24"/>
        <v>0.15</v>
      </c>
      <c r="AD79">
        <v>2194.87</v>
      </c>
      <c r="AE79">
        <f t="shared" si="25"/>
        <v>2194.87</v>
      </c>
      <c r="AF79">
        <v>1223.17</v>
      </c>
      <c r="AG79">
        <v>971.7</v>
      </c>
      <c r="AH79">
        <f t="shared" si="26"/>
        <v>971.7</v>
      </c>
      <c r="AI79">
        <f t="shared" si="27"/>
        <v>0.442714147079326</v>
      </c>
      <c r="AJ79" t="s">
        <v>163</v>
      </c>
      <c r="AK79" t="str">
        <f t="shared" si="28"/>
        <v>Refunded</v>
      </c>
      <c r="AL79" t="s">
        <v>118</v>
      </c>
      <c r="AM79" t="str">
        <f t="shared" si="29"/>
        <v>Cancelled</v>
      </c>
      <c r="AN79">
        <v>7</v>
      </c>
      <c r="AO79">
        <v>2025</v>
      </c>
      <c r="AP79" t="s">
        <v>79</v>
      </c>
    </row>
    <row r="80" spans="1:42">
      <c r="A80" t="s">
        <v>538</v>
      </c>
      <c r="B80" s="3" t="s">
        <v>539</v>
      </c>
      <c r="C80" s="3">
        <v>45854</v>
      </c>
      <c r="D80" t="s">
        <v>540</v>
      </c>
      <c r="E80" s="3">
        <v>45859</v>
      </c>
      <c r="F80" t="s">
        <v>541</v>
      </c>
      <c r="G80" t="s">
        <v>208</v>
      </c>
      <c r="H80" t="str">
        <f t="shared" si="15"/>
        <v>Sneha Kapoor</v>
      </c>
      <c r="I80" t="s">
        <v>147</v>
      </c>
      <c r="J80" t="str">
        <f t="shared" si="16"/>
        <v>Corporate</v>
      </c>
      <c r="K80" t="s">
        <v>7</v>
      </c>
      <c r="L80" t="str">
        <f t="shared" si="17"/>
        <v>East</v>
      </c>
      <c r="M80" t="s">
        <v>160</v>
      </c>
      <c r="N80" t="str">
        <f t="shared" si="18"/>
        <v>West Bengal</v>
      </c>
      <c r="O80" t="s">
        <v>161</v>
      </c>
      <c r="P80" t="str">
        <f t="shared" si="19"/>
        <v>Kolkata</v>
      </c>
      <c r="Q80" t="s">
        <v>19</v>
      </c>
      <c r="R80" t="str">
        <f t="shared" si="20"/>
        <v>Furniture</v>
      </c>
      <c r="S80" t="s">
        <v>88</v>
      </c>
      <c r="T80" t="str">
        <f t="shared" si="21"/>
        <v>Tables</v>
      </c>
      <c r="U80" t="s">
        <v>542</v>
      </c>
      <c r="V80" t="str">
        <f t="shared" si="22"/>
        <v>Smart Tables 561</v>
      </c>
      <c r="W80" t="s">
        <v>98</v>
      </c>
      <c r="X80" t="str">
        <f t="shared" si="23"/>
        <v>First Class</v>
      </c>
      <c r="Y80">
        <v>5</v>
      </c>
      <c r="Z80">
        <v>5</v>
      </c>
      <c r="AA80">
        <v>2129.51</v>
      </c>
      <c r="AB80">
        <v>0.15</v>
      </c>
      <c r="AC80">
        <f t="shared" si="24"/>
        <v>0.15</v>
      </c>
      <c r="AD80">
        <v>9050.42</v>
      </c>
      <c r="AE80">
        <f t="shared" si="25"/>
        <v>9050.4175</v>
      </c>
      <c r="AF80">
        <v>6778.85</v>
      </c>
      <c r="AG80">
        <v>2271.57</v>
      </c>
      <c r="AH80">
        <f t="shared" si="26"/>
        <v>2271.5675</v>
      </c>
      <c r="AI80">
        <f t="shared" si="27"/>
        <v>0.250990354864845</v>
      </c>
      <c r="AJ80" t="s">
        <v>77</v>
      </c>
      <c r="AK80" t="str">
        <f t="shared" si="28"/>
        <v>Paid</v>
      </c>
      <c r="AL80" t="s">
        <v>78</v>
      </c>
      <c r="AM80" t="str">
        <f t="shared" si="29"/>
        <v>Completed</v>
      </c>
      <c r="AN80">
        <v>7</v>
      </c>
      <c r="AO80">
        <v>2025</v>
      </c>
      <c r="AP80" t="s">
        <v>79</v>
      </c>
    </row>
    <row r="81" spans="1:42">
      <c r="A81" t="s">
        <v>543</v>
      </c>
      <c r="B81" s="3" t="s">
        <v>544</v>
      </c>
      <c r="C81" s="3">
        <v>45927</v>
      </c>
      <c r="D81" t="s">
        <v>545</v>
      </c>
      <c r="E81" s="3">
        <v>45933</v>
      </c>
      <c r="F81" t="s">
        <v>546</v>
      </c>
      <c r="G81" t="s">
        <v>251</v>
      </c>
      <c r="H81" t="str">
        <f t="shared" si="15"/>
        <v>Diya Patel</v>
      </c>
      <c r="I81" t="s">
        <v>154</v>
      </c>
      <c r="J81" t="str">
        <f t="shared" si="16"/>
        <v>Home Office</v>
      </c>
      <c r="K81" t="s">
        <v>10</v>
      </c>
      <c r="L81" t="str">
        <f t="shared" si="17"/>
        <v>South</v>
      </c>
      <c r="M81" t="s">
        <v>382</v>
      </c>
      <c r="N81" t="str">
        <f t="shared" si="18"/>
        <v>Tamil Nadu</v>
      </c>
      <c r="O81" t="s">
        <v>383</v>
      </c>
      <c r="P81" t="str">
        <f t="shared" si="19"/>
        <v>Chennai</v>
      </c>
      <c r="Q81" t="s">
        <v>17</v>
      </c>
      <c r="R81" t="str">
        <f t="shared" si="20"/>
        <v>Furniture</v>
      </c>
      <c r="S81" t="s">
        <v>116</v>
      </c>
      <c r="T81" t="str">
        <f t="shared" si="21"/>
        <v>Chairs</v>
      </c>
      <c r="U81" t="s">
        <v>547</v>
      </c>
      <c r="V81" t="str">
        <f t="shared" si="22"/>
        <v>Prime Chairs 838</v>
      </c>
      <c r="W81" t="s">
        <v>90</v>
      </c>
      <c r="X81" t="str">
        <f t="shared" si="23"/>
        <v>Same Day</v>
      </c>
      <c r="Y81">
        <v>6</v>
      </c>
      <c r="Z81">
        <v>9</v>
      </c>
      <c r="AA81">
        <v>4131.52</v>
      </c>
      <c r="AB81">
        <v>0.1</v>
      </c>
      <c r="AC81">
        <f t="shared" si="24"/>
        <v>0.1</v>
      </c>
      <c r="AD81">
        <v>33465.31</v>
      </c>
      <c r="AE81">
        <f t="shared" si="25"/>
        <v>33465.312</v>
      </c>
      <c r="AF81">
        <v>24781.26</v>
      </c>
      <c r="AG81">
        <v>8684.05</v>
      </c>
      <c r="AH81">
        <f t="shared" si="26"/>
        <v>8684.05200000001</v>
      </c>
      <c r="AI81">
        <f t="shared" si="27"/>
        <v>0.259494129324119</v>
      </c>
      <c r="AJ81" t="s">
        <v>77</v>
      </c>
      <c r="AK81" t="str">
        <f t="shared" si="28"/>
        <v>Paid</v>
      </c>
      <c r="AL81" t="s">
        <v>78</v>
      </c>
      <c r="AM81" t="str">
        <f t="shared" si="29"/>
        <v>Completed</v>
      </c>
      <c r="AN81">
        <v>9</v>
      </c>
      <c r="AO81">
        <v>2025</v>
      </c>
      <c r="AP81" t="s">
        <v>79</v>
      </c>
    </row>
    <row r="82" spans="1:42">
      <c r="A82" t="s">
        <v>548</v>
      </c>
      <c r="B82" s="3" t="s">
        <v>549</v>
      </c>
      <c r="C82" s="3">
        <v>45514</v>
      </c>
      <c r="D82" t="s">
        <v>550</v>
      </c>
      <c r="E82" s="3">
        <v>45518</v>
      </c>
      <c r="F82" t="s">
        <v>551</v>
      </c>
      <c r="G82" t="s">
        <v>202</v>
      </c>
      <c r="H82" t="str">
        <f t="shared" si="15"/>
        <v>Aarav Sharma</v>
      </c>
      <c r="I82" t="s">
        <v>85</v>
      </c>
      <c r="J82" t="str">
        <f t="shared" si="16"/>
        <v>Small Business</v>
      </c>
      <c r="K82" t="s">
        <v>8</v>
      </c>
      <c r="L82" t="str">
        <f t="shared" si="17"/>
        <v>North</v>
      </c>
      <c r="M82" t="s">
        <v>552</v>
      </c>
      <c r="N82" t="str">
        <f t="shared" si="18"/>
        <v>Delhi</v>
      </c>
      <c r="O82" t="s">
        <v>553</v>
      </c>
      <c r="P82" t="str">
        <f t="shared" si="19"/>
        <v>New Delhi</v>
      </c>
      <c r="Q82" t="s">
        <v>22</v>
      </c>
      <c r="R82" t="str">
        <f t="shared" si="20"/>
        <v>Office Supplies</v>
      </c>
      <c r="S82" t="s">
        <v>196</v>
      </c>
      <c r="T82" t="str">
        <f t="shared" si="21"/>
        <v>Storage</v>
      </c>
      <c r="U82" t="s">
        <v>554</v>
      </c>
      <c r="V82" t="str">
        <f t="shared" si="22"/>
        <v>Elite Storage 371</v>
      </c>
      <c r="W82" t="s">
        <v>76</v>
      </c>
      <c r="X82" t="str">
        <f t="shared" si="23"/>
        <v>Second Class</v>
      </c>
      <c r="Y82">
        <v>4</v>
      </c>
      <c r="Z82">
        <v>4</v>
      </c>
      <c r="AA82">
        <v>1182.32</v>
      </c>
      <c r="AB82">
        <v>0.1</v>
      </c>
      <c r="AC82">
        <f t="shared" si="24"/>
        <v>0.1</v>
      </c>
      <c r="AD82">
        <v>4256.35</v>
      </c>
      <c r="AE82">
        <f t="shared" si="25"/>
        <v>4256.352</v>
      </c>
      <c r="AF82">
        <v>2495.33</v>
      </c>
      <c r="AG82">
        <v>1761.02</v>
      </c>
      <c r="AH82">
        <f t="shared" si="26"/>
        <v>1761.022</v>
      </c>
      <c r="AI82">
        <f t="shared" si="27"/>
        <v>0.413739747088587</v>
      </c>
      <c r="AJ82" t="s">
        <v>177</v>
      </c>
      <c r="AK82" t="str">
        <f t="shared" si="28"/>
        <v>Pending</v>
      </c>
      <c r="AL82" t="s">
        <v>164</v>
      </c>
      <c r="AM82" t="str">
        <f t="shared" si="29"/>
        <v>Returned</v>
      </c>
      <c r="AN82">
        <v>8</v>
      </c>
      <c r="AO82">
        <v>2024</v>
      </c>
      <c r="AP82" t="s">
        <v>79</v>
      </c>
    </row>
    <row r="83" spans="1:42">
      <c r="A83" t="s">
        <v>555</v>
      </c>
      <c r="B83" s="3" t="s">
        <v>556</v>
      </c>
      <c r="C83" s="3">
        <v>45732</v>
      </c>
      <c r="D83" t="s">
        <v>557</v>
      </c>
      <c r="E83" s="3">
        <v>45733</v>
      </c>
      <c r="F83" t="s">
        <v>558</v>
      </c>
      <c r="G83" t="s">
        <v>70</v>
      </c>
      <c r="H83" t="str">
        <f t="shared" si="15"/>
        <v>Karan Malhotra</v>
      </c>
      <c r="I83" t="s">
        <v>154</v>
      </c>
      <c r="J83" t="str">
        <f t="shared" si="16"/>
        <v>Home Office</v>
      </c>
      <c r="K83" t="s">
        <v>11</v>
      </c>
      <c r="L83" t="str">
        <f t="shared" si="17"/>
        <v>West</v>
      </c>
      <c r="M83" t="s">
        <v>292</v>
      </c>
      <c r="N83" t="str">
        <f t="shared" si="18"/>
        <v>Goa</v>
      </c>
      <c r="O83" t="s">
        <v>293</v>
      </c>
      <c r="P83" t="str">
        <f t="shared" si="19"/>
        <v>Panaji</v>
      </c>
      <c r="Q83" t="s">
        <v>22</v>
      </c>
      <c r="R83" t="str">
        <f t="shared" si="20"/>
        <v>Office Supplies</v>
      </c>
      <c r="S83" t="s">
        <v>148</v>
      </c>
      <c r="T83" t="str">
        <f t="shared" si="21"/>
        <v>Labels</v>
      </c>
      <c r="U83" t="s">
        <v>559</v>
      </c>
      <c r="V83" t="str">
        <f t="shared" si="22"/>
        <v>Eco Labels 662</v>
      </c>
      <c r="W83" t="s">
        <v>90</v>
      </c>
      <c r="X83" t="str">
        <f t="shared" si="23"/>
        <v>Same Day</v>
      </c>
      <c r="Y83">
        <v>1</v>
      </c>
      <c r="Z83">
        <v>3</v>
      </c>
      <c r="AA83">
        <v>1841.91</v>
      </c>
      <c r="AB83">
        <v>0</v>
      </c>
      <c r="AC83">
        <f t="shared" si="24"/>
        <v>0</v>
      </c>
      <c r="AD83">
        <v>5525.73</v>
      </c>
      <c r="AE83">
        <f t="shared" si="25"/>
        <v>5525.73</v>
      </c>
      <c r="AF83">
        <v>3093.42</v>
      </c>
      <c r="AG83">
        <v>2432.31</v>
      </c>
      <c r="AH83">
        <f t="shared" si="26"/>
        <v>2432.31</v>
      </c>
      <c r="AI83">
        <f t="shared" si="27"/>
        <v>0.440178944682422</v>
      </c>
      <c r="AJ83" t="s">
        <v>77</v>
      </c>
      <c r="AK83" t="str">
        <f t="shared" si="28"/>
        <v>Paid</v>
      </c>
      <c r="AL83" t="s">
        <v>78</v>
      </c>
      <c r="AM83" t="str">
        <f t="shared" si="29"/>
        <v>Completed</v>
      </c>
      <c r="AN83">
        <v>3</v>
      </c>
      <c r="AO83">
        <v>2025</v>
      </c>
      <c r="AP83" t="s">
        <v>79</v>
      </c>
    </row>
    <row r="84" spans="1:42">
      <c r="A84" t="s">
        <v>560</v>
      </c>
      <c r="B84" s="3" t="s">
        <v>561</v>
      </c>
      <c r="C84" s="3">
        <v>45507</v>
      </c>
      <c r="D84" t="s">
        <v>562</v>
      </c>
      <c r="E84" s="3">
        <v>45508</v>
      </c>
      <c r="F84" t="s">
        <v>563</v>
      </c>
      <c r="G84" t="s">
        <v>103</v>
      </c>
      <c r="H84" t="str">
        <f t="shared" si="15"/>
        <v>Arjun Bose</v>
      </c>
      <c r="I84" t="s">
        <v>71</v>
      </c>
      <c r="J84" t="str">
        <f t="shared" si="16"/>
        <v>Consumer</v>
      </c>
      <c r="K84" t="s">
        <v>8</v>
      </c>
      <c r="L84" t="str">
        <f t="shared" si="17"/>
        <v>North</v>
      </c>
      <c r="M84" t="s">
        <v>214</v>
      </c>
      <c r="N84" t="str">
        <f t="shared" si="18"/>
        <v>Uttar Pradesh</v>
      </c>
      <c r="O84" t="s">
        <v>215</v>
      </c>
      <c r="P84" t="str">
        <f t="shared" si="19"/>
        <v>Noida</v>
      </c>
      <c r="Q84" t="s">
        <v>24</v>
      </c>
      <c r="R84" t="str">
        <f t="shared" si="20"/>
        <v>Technology</v>
      </c>
      <c r="S84" t="s">
        <v>133</v>
      </c>
      <c r="T84" t="str">
        <f t="shared" si="21"/>
        <v>Copiers</v>
      </c>
      <c r="U84" t="s">
        <v>564</v>
      </c>
      <c r="V84" t="str">
        <f t="shared" si="22"/>
        <v>Smart Copiers 702</v>
      </c>
      <c r="W84" t="s">
        <v>76</v>
      </c>
      <c r="X84" t="str">
        <f t="shared" si="23"/>
        <v>Second Class</v>
      </c>
      <c r="Y84">
        <v>1</v>
      </c>
      <c r="Z84">
        <v>6</v>
      </c>
      <c r="AA84">
        <v>1001.73</v>
      </c>
      <c r="AB84">
        <v>0</v>
      </c>
      <c r="AC84">
        <f t="shared" si="24"/>
        <v>0</v>
      </c>
      <c r="AD84">
        <v>6010.38</v>
      </c>
      <c r="AE84">
        <f t="shared" si="25"/>
        <v>6010.38</v>
      </c>
      <c r="AF84">
        <v>3762.85</v>
      </c>
      <c r="AG84">
        <v>2247.53</v>
      </c>
      <c r="AH84">
        <f t="shared" si="26"/>
        <v>2247.53</v>
      </c>
      <c r="AI84">
        <f t="shared" si="27"/>
        <v>0.373941414685927</v>
      </c>
      <c r="AJ84" t="s">
        <v>241</v>
      </c>
      <c r="AK84" t="str">
        <f t="shared" si="28"/>
        <v>Failed</v>
      </c>
      <c r="AL84" t="s">
        <v>164</v>
      </c>
      <c r="AM84" t="str">
        <f t="shared" si="29"/>
        <v>Returned</v>
      </c>
      <c r="AN84">
        <v>8</v>
      </c>
      <c r="AO84">
        <v>2024</v>
      </c>
      <c r="AP84" t="s">
        <v>79</v>
      </c>
    </row>
    <row r="85" spans="1:42">
      <c r="A85" t="s">
        <v>565</v>
      </c>
      <c r="B85" s="3" t="s">
        <v>408</v>
      </c>
      <c r="C85" s="3">
        <v>45591</v>
      </c>
      <c r="D85" t="s">
        <v>566</v>
      </c>
      <c r="E85" s="3">
        <v>45594</v>
      </c>
      <c r="F85" t="s">
        <v>567</v>
      </c>
      <c r="G85" t="s">
        <v>146</v>
      </c>
      <c r="H85" t="str">
        <f t="shared" si="15"/>
        <v>Aditi Sen</v>
      </c>
      <c r="I85" t="s">
        <v>154</v>
      </c>
      <c r="J85" t="str">
        <f t="shared" si="16"/>
        <v>Home Office</v>
      </c>
      <c r="K85" t="s">
        <v>11</v>
      </c>
      <c r="L85" t="str">
        <f t="shared" si="17"/>
        <v>West</v>
      </c>
      <c r="M85" t="s">
        <v>114</v>
      </c>
      <c r="N85" t="str">
        <f t="shared" si="18"/>
        <v>Maharashtra</v>
      </c>
      <c r="O85" t="s">
        <v>115</v>
      </c>
      <c r="P85" t="str">
        <f t="shared" si="19"/>
        <v>Mumbai</v>
      </c>
      <c r="Q85" t="s">
        <v>19</v>
      </c>
      <c r="R85" t="str">
        <f t="shared" si="20"/>
        <v>Furniture</v>
      </c>
      <c r="S85" t="s">
        <v>88</v>
      </c>
      <c r="T85" t="str">
        <f t="shared" si="21"/>
        <v>Tables</v>
      </c>
      <c r="U85" t="s">
        <v>568</v>
      </c>
      <c r="V85" t="str">
        <f t="shared" si="22"/>
        <v>Elite Tables 362</v>
      </c>
      <c r="W85" t="s">
        <v>76</v>
      </c>
      <c r="X85" t="str">
        <f t="shared" si="23"/>
        <v>Second Class</v>
      </c>
      <c r="Y85">
        <v>3</v>
      </c>
      <c r="Z85">
        <v>9</v>
      </c>
      <c r="AA85">
        <v>131.74</v>
      </c>
      <c r="AB85">
        <v>0.2</v>
      </c>
      <c r="AC85">
        <f t="shared" si="24"/>
        <v>0.2</v>
      </c>
      <c r="AD85">
        <v>948.53</v>
      </c>
      <c r="AE85">
        <f t="shared" si="25"/>
        <v>948.528</v>
      </c>
      <c r="AF85">
        <v>674.62</v>
      </c>
      <c r="AG85">
        <v>273.91</v>
      </c>
      <c r="AH85">
        <f t="shared" si="26"/>
        <v>273.908</v>
      </c>
      <c r="AI85">
        <f t="shared" si="27"/>
        <v>0.288771654605874</v>
      </c>
      <c r="AJ85" t="s">
        <v>77</v>
      </c>
      <c r="AK85" t="str">
        <f t="shared" si="28"/>
        <v>Paid</v>
      </c>
      <c r="AL85" t="s">
        <v>78</v>
      </c>
      <c r="AM85" t="str">
        <f t="shared" si="29"/>
        <v>Completed</v>
      </c>
      <c r="AN85">
        <v>10</v>
      </c>
      <c r="AO85">
        <v>2024</v>
      </c>
      <c r="AP85" t="s">
        <v>79</v>
      </c>
    </row>
    <row r="86" spans="1:42">
      <c r="A86" t="s">
        <v>569</v>
      </c>
      <c r="B86" s="3" t="s">
        <v>570</v>
      </c>
      <c r="C86" s="3">
        <v>45566</v>
      </c>
      <c r="D86" t="s">
        <v>571</v>
      </c>
      <c r="E86" s="3">
        <v>45568</v>
      </c>
      <c r="F86" t="s">
        <v>572</v>
      </c>
      <c r="G86" t="s">
        <v>220</v>
      </c>
      <c r="H86" t="str">
        <f t="shared" si="15"/>
        <v>Rohan Mehta</v>
      </c>
      <c r="I86" t="s">
        <v>147</v>
      </c>
      <c r="J86" t="str">
        <f t="shared" si="16"/>
        <v>Corporate</v>
      </c>
      <c r="K86" t="s">
        <v>10</v>
      </c>
      <c r="L86" t="str">
        <f t="shared" si="17"/>
        <v>South</v>
      </c>
      <c r="M86" t="s">
        <v>382</v>
      </c>
      <c r="N86" t="str">
        <f t="shared" si="18"/>
        <v>Tamil Nadu</v>
      </c>
      <c r="O86" t="s">
        <v>383</v>
      </c>
      <c r="P86" t="str">
        <f t="shared" si="19"/>
        <v>Chennai</v>
      </c>
      <c r="Q86" t="s">
        <v>25</v>
      </c>
      <c r="R86" t="str">
        <f t="shared" si="20"/>
        <v>Technology</v>
      </c>
      <c r="S86" t="s">
        <v>265</v>
      </c>
      <c r="T86" t="str">
        <f t="shared" si="21"/>
        <v>Phones</v>
      </c>
      <c r="U86" t="s">
        <v>573</v>
      </c>
      <c r="V86" t="str">
        <f t="shared" si="22"/>
        <v>Elite Phones 781</v>
      </c>
      <c r="W86" t="s">
        <v>76</v>
      </c>
      <c r="X86" t="str">
        <f t="shared" si="23"/>
        <v>Second Class</v>
      </c>
      <c r="Y86">
        <v>2</v>
      </c>
      <c r="Z86">
        <v>6</v>
      </c>
      <c r="AA86">
        <v>570.28</v>
      </c>
      <c r="AB86">
        <v>0.2</v>
      </c>
      <c r="AC86">
        <f t="shared" si="24"/>
        <v>0.2</v>
      </c>
      <c r="AD86">
        <v>2737.34</v>
      </c>
      <c r="AE86">
        <f t="shared" si="25"/>
        <v>2737.344</v>
      </c>
      <c r="AF86">
        <v>2085.44</v>
      </c>
      <c r="AG86">
        <v>651.9</v>
      </c>
      <c r="AH86">
        <f t="shared" si="26"/>
        <v>651.904</v>
      </c>
      <c r="AI86">
        <f t="shared" si="27"/>
        <v>0.238152018891305</v>
      </c>
      <c r="AJ86" t="s">
        <v>77</v>
      </c>
      <c r="AK86" t="str">
        <f t="shared" si="28"/>
        <v>Paid</v>
      </c>
      <c r="AL86" t="s">
        <v>78</v>
      </c>
      <c r="AM86" t="str">
        <f t="shared" si="29"/>
        <v>Completed</v>
      </c>
      <c r="AN86">
        <v>10</v>
      </c>
      <c r="AO86">
        <v>2024</v>
      </c>
      <c r="AP86" t="s">
        <v>79</v>
      </c>
    </row>
    <row r="87" spans="1:42">
      <c r="A87" t="s">
        <v>574</v>
      </c>
      <c r="B87" s="3" t="s">
        <v>575</v>
      </c>
      <c r="C87" s="3">
        <v>45503</v>
      </c>
      <c r="D87" t="s">
        <v>576</v>
      </c>
      <c r="E87" s="3">
        <v>45509</v>
      </c>
      <c r="F87" t="s">
        <v>577</v>
      </c>
      <c r="G87" t="s">
        <v>411</v>
      </c>
      <c r="H87" t="str">
        <f t="shared" si="15"/>
        <v>Kabir Singh</v>
      </c>
      <c r="I87" t="s">
        <v>147</v>
      </c>
      <c r="J87" t="str">
        <f t="shared" si="16"/>
        <v>Corporate</v>
      </c>
      <c r="K87" t="s">
        <v>8</v>
      </c>
      <c r="L87" t="str">
        <f t="shared" si="17"/>
        <v>North</v>
      </c>
      <c r="M87" t="s">
        <v>552</v>
      </c>
      <c r="N87" t="str">
        <f t="shared" si="18"/>
        <v>Delhi</v>
      </c>
      <c r="O87" t="s">
        <v>553</v>
      </c>
      <c r="P87" t="str">
        <f t="shared" si="19"/>
        <v>New Delhi</v>
      </c>
      <c r="Q87" t="s">
        <v>22</v>
      </c>
      <c r="R87" t="str">
        <f t="shared" si="20"/>
        <v>Office Supplies</v>
      </c>
      <c r="S87" t="s">
        <v>239</v>
      </c>
      <c r="T87" t="str">
        <f t="shared" si="21"/>
        <v>Binders</v>
      </c>
      <c r="U87" t="s">
        <v>578</v>
      </c>
      <c r="V87" t="str">
        <f t="shared" si="22"/>
        <v>Eco Binders 456</v>
      </c>
      <c r="W87" t="s">
        <v>108</v>
      </c>
      <c r="X87" t="str">
        <f t="shared" si="23"/>
        <v>Standard Class</v>
      </c>
      <c r="Y87">
        <v>6</v>
      </c>
      <c r="Z87">
        <v>1</v>
      </c>
      <c r="AA87">
        <v>608.64</v>
      </c>
      <c r="AB87">
        <v>0</v>
      </c>
      <c r="AC87">
        <f t="shared" si="24"/>
        <v>0</v>
      </c>
      <c r="AD87">
        <v>608.64</v>
      </c>
      <c r="AE87">
        <f t="shared" si="25"/>
        <v>608.64</v>
      </c>
      <c r="AF87">
        <v>343.99</v>
      </c>
      <c r="AG87">
        <v>264.65</v>
      </c>
      <c r="AH87">
        <f t="shared" si="26"/>
        <v>264.65</v>
      </c>
      <c r="AI87">
        <f t="shared" si="27"/>
        <v>0.434821898002103</v>
      </c>
      <c r="AJ87" t="s">
        <v>77</v>
      </c>
      <c r="AK87" t="str">
        <f t="shared" si="28"/>
        <v>Paid</v>
      </c>
      <c r="AL87" t="s">
        <v>118</v>
      </c>
      <c r="AM87" t="str">
        <f t="shared" si="29"/>
        <v>Cancelled</v>
      </c>
      <c r="AN87">
        <v>7</v>
      </c>
      <c r="AO87">
        <v>2024</v>
      </c>
      <c r="AP87" t="s">
        <v>79</v>
      </c>
    </row>
    <row r="88" spans="1:42">
      <c r="A88" t="s">
        <v>579</v>
      </c>
      <c r="B88" s="3" t="s">
        <v>580</v>
      </c>
      <c r="C88" s="3">
        <v>45474</v>
      </c>
      <c r="D88" t="s">
        <v>580</v>
      </c>
      <c r="E88" s="3">
        <v>45474</v>
      </c>
      <c r="F88" t="s">
        <v>581</v>
      </c>
      <c r="G88" t="s">
        <v>113</v>
      </c>
      <c r="H88" t="str">
        <f t="shared" si="15"/>
        <v>Ananya Rao</v>
      </c>
      <c r="I88" t="s">
        <v>85</v>
      </c>
      <c r="J88" t="str">
        <f t="shared" si="16"/>
        <v>Small Business</v>
      </c>
      <c r="K88" t="s">
        <v>8</v>
      </c>
      <c r="L88" t="str">
        <f t="shared" si="17"/>
        <v>North</v>
      </c>
      <c r="M88" t="s">
        <v>552</v>
      </c>
      <c r="N88" t="str">
        <f t="shared" si="18"/>
        <v>Delhi</v>
      </c>
      <c r="O88" t="s">
        <v>553</v>
      </c>
      <c r="P88" t="str">
        <f t="shared" si="19"/>
        <v>New Delhi</v>
      </c>
      <c r="Q88" t="s">
        <v>24</v>
      </c>
      <c r="R88" t="str">
        <f t="shared" si="20"/>
        <v>Technology</v>
      </c>
      <c r="S88" t="s">
        <v>133</v>
      </c>
      <c r="T88" t="str">
        <f t="shared" si="21"/>
        <v>Copiers</v>
      </c>
      <c r="U88" t="s">
        <v>582</v>
      </c>
      <c r="V88" t="str">
        <f t="shared" si="22"/>
        <v>Basic Copiers 525</v>
      </c>
      <c r="W88" t="s">
        <v>76</v>
      </c>
      <c r="X88" t="str">
        <f t="shared" si="23"/>
        <v>Second Class</v>
      </c>
      <c r="Y88">
        <v>0</v>
      </c>
      <c r="Z88">
        <v>3</v>
      </c>
      <c r="AA88">
        <v>885.28</v>
      </c>
      <c r="AB88">
        <v>0.1</v>
      </c>
      <c r="AC88">
        <f t="shared" si="24"/>
        <v>0.1</v>
      </c>
      <c r="AD88">
        <v>2390.26</v>
      </c>
      <c r="AE88">
        <f t="shared" si="25"/>
        <v>2390.256</v>
      </c>
      <c r="AF88">
        <v>1495.94</v>
      </c>
      <c r="AG88">
        <v>894.32</v>
      </c>
      <c r="AH88">
        <f t="shared" si="26"/>
        <v>894.316</v>
      </c>
      <c r="AI88">
        <f t="shared" si="27"/>
        <v>0.374150718584118</v>
      </c>
      <c r="AJ88" t="s">
        <v>163</v>
      </c>
      <c r="AK88" t="str">
        <f t="shared" si="28"/>
        <v>Refunded</v>
      </c>
      <c r="AL88" t="s">
        <v>118</v>
      </c>
      <c r="AM88" t="str">
        <f t="shared" si="29"/>
        <v>Cancelled</v>
      </c>
      <c r="AN88">
        <v>7</v>
      </c>
      <c r="AO88">
        <v>2024</v>
      </c>
      <c r="AP88" t="s">
        <v>79</v>
      </c>
    </row>
    <row r="89" spans="1:42">
      <c r="A89" t="s">
        <v>583</v>
      </c>
      <c r="B89" s="3" t="s">
        <v>584</v>
      </c>
      <c r="C89" s="3">
        <v>45506</v>
      </c>
      <c r="D89" t="s">
        <v>561</v>
      </c>
      <c r="E89" s="3">
        <v>45507</v>
      </c>
      <c r="F89" t="s">
        <v>585</v>
      </c>
      <c r="G89" t="s">
        <v>123</v>
      </c>
      <c r="H89" t="str">
        <f t="shared" si="15"/>
        <v>Vikram Iyer</v>
      </c>
      <c r="I89" t="s">
        <v>71</v>
      </c>
      <c r="J89" t="str">
        <f t="shared" si="16"/>
        <v>Consumer</v>
      </c>
      <c r="K89" t="s">
        <v>7</v>
      </c>
      <c r="L89" t="str">
        <f t="shared" si="17"/>
        <v>East</v>
      </c>
      <c r="M89" t="s">
        <v>258</v>
      </c>
      <c r="N89" t="str">
        <f t="shared" si="18"/>
        <v>Assam</v>
      </c>
      <c r="O89" t="s">
        <v>259</v>
      </c>
      <c r="P89" t="str">
        <f t="shared" si="19"/>
        <v>Guwahati</v>
      </c>
      <c r="Q89" t="s">
        <v>22</v>
      </c>
      <c r="R89" t="str">
        <f t="shared" si="20"/>
        <v>Office Supplies</v>
      </c>
      <c r="S89" t="s">
        <v>239</v>
      </c>
      <c r="T89" t="str">
        <f t="shared" si="21"/>
        <v>Binders</v>
      </c>
      <c r="U89" t="s">
        <v>586</v>
      </c>
      <c r="V89" t="str">
        <f t="shared" si="22"/>
        <v>Eco Binders 258</v>
      </c>
      <c r="W89" t="s">
        <v>108</v>
      </c>
      <c r="X89" t="str">
        <f t="shared" si="23"/>
        <v>Standard Class</v>
      </c>
      <c r="Y89">
        <v>1</v>
      </c>
      <c r="Z89">
        <v>7</v>
      </c>
      <c r="AA89">
        <v>3345.22</v>
      </c>
      <c r="AB89">
        <v>0</v>
      </c>
      <c r="AC89">
        <f t="shared" si="24"/>
        <v>0</v>
      </c>
      <c r="AD89">
        <v>23416.54</v>
      </c>
      <c r="AE89">
        <f t="shared" si="25"/>
        <v>23416.54</v>
      </c>
      <c r="AF89">
        <v>15490.89</v>
      </c>
      <c r="AG89">
        <v>7925.65</v>
      </c>
      <c r="AH89">
        <f t="shared" si="26"/>
        <v>7925.65</v>
      </c>
      <c r="AI89">
        <f t="shared" si="27"/>
        <v>0.338463752544142</v>
      </c>
      <c r="AJ89" t="s">
        <v>77</v>
      </c>
      <c r="AK89" t="str">
        <f t="shared" si="28"/>
        <v>Paid</v>
      </c>
      <c r="AL89" t="s">
        <v>78</v>
      </c>
      <c r="AM89" t="str">
        <f t="shared" si="29"/>
        <v>Completed</v>
      </c>
      <c r="AN89">
        <v>8</v>
      </c>
      <c r="AO89">
        <v>2024</v>
      </c>
      <c r="AP89" t="s">
        <v>79</v>
      </c>
    </row>
    <row r="90" spans="1:42">
      <c r="A90" t="s">
        <v>587</v>
      </c>
      <c r="B90" s="3" t="s">
        <v>588</v>
      </c>
      <c r="C90" s="3">
        <v>45375</v>
      </c>
      <c r="D90" t="s">
        <v>589</v>
      </c>
      <c r="E90" s="3">
        <v>45378</v>
      </c>
      <c r="F90" t="s">
        <v>590</v>
      </c>
      <c r="G90" t="s">
        <v>220</v>
      </c>
      <c r="H90" t="str">
        <f t="shared" si="15"/>
        <v>Rohan Mehta</v>
      </c>
      <c r="I90" t="s">
        <v>85</v>
      </c>
      <c r="J90" t="str">
        <f t="shared" si="16"/>
        <v>Small Business</v>
      </c>
      <c r="K90" t="s">
        <v>11</v>
      </c>
      <c r="L90" t="str">
        <f t="shared" si="17"/>
        <v>West</v>
      </c>
      <c r="M90" t="s">
        <v>114</v>
      </c>
      <c r="N90" t="str">
        <f t="shared" si="18"/>
        <v>Maharashtra</v>
      </c>
      <c r="O90" t="s">
        <v>115</v>
      </c>
      <c r="P90" t="str">
        <f t="shared" si="19"/>
        <v>Mumbai</v>
      </c>
      <c r="Q90" t="s">
        <v>19</v>
      </c>
      <c r="R90" t="str">
        <f t="shared" si="20"/>
        <v>Furniture</v>
      </c>
      <c r="S90" t="s">
        <v>245</v>
      </c>
      <c r="T90" t="str">
        <f t="shared" si="21"/>
        <v>Bookcases</v>
      </c>
      <c r="U90" t="s">
        <v>591</v>
      </c>
      <c r="V90" t="str">
        <f t="shared" si="22"/>
        <v>Max Bookcases 398</v>
      </c>
      <c r="W90" t="s">
        <v>108</v>
      </c>
      <c r="X90" t="str">
        <f t="shared" si="23"/>
        <v>Standard Class</v>
      </c>
      <c r="Y90">
        <v>3</v>
      </c>
      <c r="Z90">
        <v>2</v>
      </c>
      <c r="AA90">
        <v>3284.75</v>
      </c>
      <c r="AB90">
        <v>0.05</v>
      </c>
      <c r="AC90">
        <f t="shared" si="24"/>
        <v>0.05</v>
      </c>
      <c r="AD90">
        <v>6241.02</v>
      </c>
      <c r="AE90">
        <f t="shared" si="25"/>
        <v>6241.025</v>
      </c>
      <c r="AF90">
        <v>5345.88</v>
      </c>
      <c r="AG90">
        <v>895.14</v>
      </c>
      <c r="AH90">
        <f t="shared" si="26"/>
        <v>895.145</v>
      </c>
      <c r="AI90">
        <f t="shared" si="27"/>
        <v>0.143429164279906</v>
      </c>
      <c r="AJ90" t="s">
        <v>77</v>
      </c>
      <c r="AK90" t="str">
        <f t="shared" si="28"/>
        <v>Paid</v>
      </c>
      <c r="AL90" t="s">
        <v>78</v>
      </c>
      <c r="AM90" t="str">
        <f t="shared" si="29"/>
        <v>Completed</v>
      </c>
      <c r="AN90">
        <v>3</v>
      </c>
      <c r="AO90">
        <v>2024</v>
      </c>
      <c r="AP90" t="s">
        <v>79</v>
      </c>
    </row>
    <row r="91" spans="1:42">
      <c r="A91" t="s">
        <v>592</v>
      </c>
      <c r="B91" s="3" t="s">
        <v>82</v>
      </c>
      <c r="C91" s="3">
        <v>45540</v>
      </c>
      <c r="D91" t="s">
        <v>82</v>
      </c>
      <c r="E91" s="3">
        <v>45540</v>
      </c>
      <c r="F91" t="s">
        <v>593</v>
      </c>
      <c r="G91" t="s">
        <v>411</v>
      </c>
      <c r="H91" t="str">
        <f t="shared" si="15"/>
        <v>Kabir Singh</v>
      </c>
      <c r="I91" t="s">
        <v>71</v>
      </c>
      <c r="J91" t="str">
        <f t="shared" si="16"/>
        <v>Consumer</v>
      </c>
      <c r="K91" t="s">
        <v>10</v>
      </c>
      <c r="L91" t="str">
        <f t="shared" si="17"/>
        <v>South</v>
      </c>
      <c r="M91" t="s">
        <v>139</v>
      </c>
      <c r="N91" t="str">
        <f t="shared" si="18"/>
        <v>Andhra Pradesh</v>
      </c>
      <c r="O91" t="s">
        <v>140</v>
      </c>
      <c r="P91" t="str">
        <f t="shared" si="19"/>
        <v>Vijayawada</v>
      </c>
      <c r="Q91" t="s">
        <v>19</v>
      </c>
      <c r="R91" t="str">
        <f t="shared" si="20"/>
        <v>Furniture</v>
      </c>
      <c r="S91" t="s">
        <v>245</v>
      </c>
      <c r="T91" t="str">
        <f t="shared" si="21"/>
        <v>Bookcases</v>
      </c>
      <c r="U91" t="s">
        <v>594</v>
      </c>
      <c r="V91" t="str">
        <f t="shared" si="22"/>
        <v>Smart Bookcases 857</v>
      </c>
      <c r="W91" t="s">
        <v>108</v>
      </c>
      <c r="X91" t="str">
        <f t="shared" si="23"/>
        <v>Standard Class</v>
      </c>
      <c r="Y91">
        <v>0</v>
      </c>
      <c r="Z91">
        <v>7</v>
      </c>
      <c r="AA91">
        <v>3761.09</v>
      </c>
      <c r="AB91">
        <v>0.2</v>
      </c>
      <c r="AC91">
        <f t="shared" si="24"/>
        <v>0.2</v>
      </c>
      <c r="AD91">
        <v>21062.1</v>
      </c>
      <c r="AE91">
        <f t="shared" si="25"/>
        <v>21062.104</v>
      </c>
      <c r="AF91">
        <v>12057.13</v>
      </c>
      <c r="AG91">
        <v>9004.97</v>
      </c>
      <c r="AH91">
        <f t="shared" si="26"/>
        <v>9004.974</v>
      </c>
      <c r="AI91">
        <f t="shared" si="27"/>
        <v>0.427543895899479</v>
      </c>
      <c r="AJ91" t="s">
        <v>177</v>
      </c>
      <c r="AK91" t="str">
        <f t="shared" si="28"/>
        <v>Pending</v>
      </c>
      <c r="AL91" t="s">
        <v>118</v>
      </c>
      <c r="AM91" t="str">
        <f t="shared" si="29"/>
        <v>Cancelled</v>
      </c>
      <c r="AN91">
        <v>9</v>
      </c>
      <c r="AO91">
        <v>2024</v>
      </c>
      <c r="AP91" t="s">
        <v>79</v>
      </c>
    </row>
    <row r="92" spans="1:42">
      <c r="A92" t="s">
        <v>595</v>
      </c>
      <c r="B92" s="3" t="s">
        <v>596</v>
      </c>
      <c r="C92" s="3">
        <v>45893</v>
      </c>
      <c r="D92" t="s">
        <v>110</v>
      </c>
      <c r="E92" s="3">
        <v>45898</v>
      </c>
      <c r="F92" t="s">
        <v>597</v>
      </c>
      <c r="G92" t="s">
        <v>202</v>
      </c>
      <c r="H92" t="str">
        <f t="shared" si="15"/>
        <v>Aarav Sharma</v>
      </c>
      <c r="I92" t="s">
        <v>85</v>
      </c>
      <c r="J92" t="str">
        <f t="shared" si="16"/>
        <v>Small Business</v>
      </c>
      <c r="K92" t="s">
        <v>7</v>
      </c>
      <c r="L92" t="str">
        <f t="shared" si="17"/>
        <v>East</v>
      </c>
      <c r="M92" t="s">
        <v>227</v>
      </c>
      <c r="N92" t="str">
        <f t="shared" si="18"/>
        <v>Bihar</v>
      </c>
      <c r="O92" t="s">
        <v>228</v>
      </c>
      <c r="P92" t="str">
        <f t="shared" si="19"/>
        <v>Patna</v>
      </c>
      <c r="Q92" t="s">
        <v>24</v>
      </c>
      <c r="R92" t="str">
        <f t="shared" si="20"/>
        <v>Technology</v>
      </c>
      <c r="S92" t="s">
        <v>133</v>
      </c>
      <c r="T92" t="str">
        <f t="shared" si="21"/>
        <v>Copiers</v>
      </c>
      <c r="U92" t="s">
        <v>598</v>
      </c>
      <c r="V92" t="str">
        <f t="shared" si="22"/>
        <v>Smart Copiers 556</v>
      </c>
      <c r="W92" t="s">
        <v>98</v>
      </c>
      <c r="X92" t="str">
        <f t="shared" si="23"/>
        <v>First Class</v>
      </c>
      <c r="Y92">
        <v>5</v>
      </c>
      <c r="Z92">
        <v>3</v>
      </c>
      <c r="AA92">
        <v>3703.96</v>
      </c>
      <c r="AB92">
        <v>0.15</v>
      </c>
      <c r="AC92">
        <f t="shared" si="24"/>
        <v>0.15</v>
      </c>
      <c r="AD92">
        <v>9445.1</v>
      </c>
      <c r="AE92">
        <f t="shared" si="25"/>
        <v>9445.098</v>
      </c>
      <c r="AF92">
        <v>5586.28</v>
      </c>
      <c r="AG92">
        <v>3858.82</v>
      </c>
      <c r="AH92">
        <f t="shared" si="26"/>
        <v>3858.818</v>
      </c>
      <c r="AI92">
        <f t="shared" si="27"/>
        <v>0.4085524575817</v>
      </c>
      <c r="AJ92" t="s">
        <v>77</v>
      </c>
      <c r="AK92" t="str">
        <f t="shared" si="28"/>
        <v>Paid</v>
      </c>
      <c r="AL92" t="s">
        <v>78</v>
      </c>
      <c r="AM92" t="str">
        <f t="shared" si="29"/>
        <v>Completed</v>
      </c>
      <c r="AN92">
        <v>8</v>
      </c>
      <c r="AO92">
        <v>2025</v>
      </c>
      <c r="AP92" t="s">
        <v>79</v>
      </c>
    </row>
    <row r="93" spans="1:42">
      <c r="A93" t="s">
        <v>599</v>
      </c>
      <c r="B93" s="3" t="s">
        <v>600</v>
      </c>
      <c r="C93" s="3">
        <v>45718</v>
      </c>
      <c r="D93" t="s">
        <v>601</v>
      </c>
      <c r="E93" s="3">
        <v>45724</v>
      </c>
      <c r="F93" t="s">
        <v>602</v>
      </c>
      <c r="G93" t="s">
        <v>208</v>
      </c>
      <c r="H93" t="str">
        <f t="shared" si="15"/>
        <v>Sneha Kapoor</v>
      </c>
      <c r="I93" t="s">
        <v>147</v>
      </c>
      <c r="J93" t="str">
        <f t="shared" si="16"/>
        <v>Corporate</v>
      </c>
      <c r="K93" t="s">
        <v>11</v>
      </c>
      <c r="L93" t="str">
        <f t="shared" si="17"/>
        <v>West</v>
      </c>
      <c r="M93" t="s">
        <v>124</v>
      </c>
      <c r="N93" t="str">
        <f t="shared" si="18"/>
        <v>Madhya Pradesh</v>
      </c>
      <c r="O93" t="s">
        <v>125</v>
      </c>
      <c r="P93" t="str">
        <f t="shared" si="19"/>
        <v>Indore</v>
      </c>
      <c r="Q93" t="s">
        <v>24</v>
      </c>
      <c r="R93" t="str">
        <f t="shared" si="20"/>
        <v>Technology</v>
      </c>
      <c r="S93" t="s">
        <v>133</v>
      </c>
      <c r="T93" t="str">
        <f t="shared" si="21"/>
        <v>Copiers</v>
      </c>
      <c r="U93" t="s">
        <v>603</v>
      </c>
      <c r="V93" t="str">
        <f t="shared" si="22"/>
        <v>Prime Copiers 575</v>
      </c>
      <c r="W93" t="s">
        <v>76</v>
      </c>
      <c r="X93" t="str">
        <f t="shared" si="23"/>
        <v>Second Class</v>
      </c>
      <c r="Y93">
        <v>6</v>
      </c>
      <c r="Z93">
        <v>9</v>
      </c>
      <c r="AA93">
        <v>269.68</v>
      </c>
      <c r="AB93">
        <v>0</v>
      </c>
      <c r="AC93">
        <f t="shared" si="24"/>
        <v>0</v>
      </c>
      <c r="AD93">
        <v>2427.12</v>
      </c>
      <c r="AE93">
        <f t="shared" si="25"/>
        <v>2427.12</v>
      </c>
      <c r="AF93">
        <v>1538.35</v>
      </c>
      <c r="AG93">
        <v>804.53</v>
      </c>
      <c r="AH93">
        <f t="shared" si="26"/>
        <v>888.77</v>
      </c>
      <c r="AI93">
        <f t="shared" si="27"/>
        <v>0.366182965819572</v>
      </c>
      <c r="AJ93" t="s">
        <v>77</v>
      </c>
      <c r="AK93" t="str">
        <f t="shared" si="28"/>
        <v>Paid</v>
      </c>
      <c r="AL93" t="s">
        <v>78</v>
      </c>
      <c r="AM93" t="str">
        <f t="shared" si="29"/>
        <v>Completed</v>
      </c>
      <c r="AN93">
        <v>3</v>
      </c>
      <c r="AO93">
        <v>2025</v>
      </c>
      <c r="AP93" t="s">
        <v>79</v>
      </c>
    </row>
    <row r="94" spans="1:42">
      <c r="A94" t="s">
        <v>604</v>
      </c>
      <c r="B94" s="3" t="s">
        <v>225</v>
      </c>
      <c r="C94" s="3">
        <v>45680</v>
      </c>
      <c r="D94" t="s">
        <v>605</v>
      </c>
      <c r="E94" s="3">
        <v>45683</v>
      </c>
      <c r="F94" t="s">
        <v>606</v>
      </c>
      <c r="G94" t="s">
        <v>202</v>
      </c>
      <c r="H94" t="str">
        <f t="shared" si="15"/>
        <v>Aarav Sharma</v>
      </c>
      <c r="I94" t="s">
        <v>71</v>
      </c>
      <c r="J94" t="str">
        <f t="shared" si="16"/>
        <v>Consumer</v>
      </c>
      <c r="K94" t="s">
        <v>11</v>
      </c>
      <c r="L94" t="str">
        <f t="shared" si="17"/>
        <v>West</v>
      </c>
      <c r="M94" t="s">
        <v>124</v>
      </c>
      <c r="N94" t="str">
        <f t="shared" si="18"/>
        <v>Madhya Pradesh</v>
      </c>
      <c r="O94" t="s">
        <v>125</v>
      </c>
      <c r="P94" t="str">
        <f t="shared" si="19"/>
        <v>Indore</v>
      </c>
      <c r="Q94" t="s">
        <v>22</v>
      </c>
      <c r="R94" t="str">
        <f t="shared" si="20"/>
        <v>Office Supplies</v>
      </c>
      <c r="S94" t="s">
        <v>74</v>
      </c>
      <c r="T94" t="str">
        <f t="shared" si="21"/>
        <v>Paper</v>
      </c>
      <c r="U94" t="s">
        <v>607</v>
      </c>
      <c r="V94" t="str">
        <f t="shared" si="22"/>
        <v>Elite Paper 669</v>
      </c>
      <c r="W94" t="s">
        <v>108</v>
      </c>
      <c r="X94" t="str">
        <f t="shared" si="23"/>
        <v>Standard Class</v>
      </c>
      <c r="Y94">
        <v>3</v>
      </c>
      <c r="Z94">
        <v>9</v>
      </c>
      <c r="AA94">
        <v>4458.26</v>
      </c>
      <c r="AB94">
        <v>0.1</v>
      </c>
      <c r="AC94">
        <f t="shared" si="24"/>
        <v>0.1</v>
      </c>
      <c r="AD94">
        <v>36111.91</v>
      </c>
      <c r="AE94">
        <f t="shared" si="25"/>
        <v>36111.906</v>
      </c>
      <c r="AF94">
        <v>29194.5</v>
      </c>
      <c r="AG94">
        <v>6917.41</v>
      </c>
      <c r="AH94">
        <f t="shared" si="26"/>
        <v>6917.406</v>
      </c>
      <c r="AI94">
        <f t="shared" si="27"/>
        <v>0.191554718823205</v>
      </c>
      <c r="AJ94" t="s">
        <v>77</v>
      </c>
      <c r="AK94" t="str">
        <f t="shared" si="28"/>
        <v>Paid</v>
      </c>
      <c r="AL94" t="s">
        <v>78</v>
      </c>
      <c r="AM94" t="str">
        <f t="shared" si="29"/>
        <v>Completed</v>
      </c>
      <c r="AN94">
        <v>1</v>
      </c>
      <c r="AO94">
        <v>2025</v>
      </c>
      <c r="AP94" t="s">
        <v>79</v>
      </c>
    </row>
    <row r="95" spans="1:42">
      <c r="A95" t="s">
        <v>608</v>
      </c>
      <c r="B95" s="3" t="s">
        <v>205</v>
      </c>
      <c r="C95" s="3">
        <v>45298</v>
      </c>
      <c r="D95" t="s">
        <v>609</v>
      </c>
      <c r="E95" s="3">
        <v>45304</v>
      </c>
      <c r="F95" t="s">
        <v>610</v>
      </c>
      <c r="G95" t="s">
        <v>220</v>
      </c>
      <c r="H95" t="str">
        <f t="shared" si="15"/>
        <v>Rohan Mehta</v>
      </c>
      <c r="I95" t="s">
        <v>147</v>
      </c>
      <c r="J95" t="str">
        <f t="shared" si="16"/>
        <v>Corporate</v>
      </c>
      <c r="K95" t="s">
        <v>8</v>
      </c>
      <c r="L95" t="str">
        <f t="shared" si="17"/>
        <v>North</v>
      </c>
      <c r="M95" t="s">
        <v>214</v>
      </c>
      <c r="N95" t="str">
        <f t="shared" si="18"/>
        <v>Uttar Pradesh</v>
      </c>
      <c r="O95" t="s">
        <v>215</v>
      </c>
      <c r="P95" t="str">
        <f t="shared" si="19"/>
        <v>Noida</v>
      </c>
      <c r="Q95" t="s">
        <v>22</v>
      </c>
      <c r="R95" t="str">
        <f t="shared" si="20"/>
        <v>Office Supplies</v>
      </c>
      <c r="S95" t="s">
        <v>239</v>
      </c>
      <c r="T95" t="str">
        <f t="shared" si="21"/>
        <v>Binders</v>
      </c>
      <c r="U95" t="s">
        <v>611</v>
      </c>
      <c r="V95" t="str">
        <f t="shared" si="22"/>
        <v>Eco Binders 780</v>
      </c>
      <c r="W95" t="s">
        <v>108</v>
      </c>
      <c r="X95" t="str">
        <f t="shared" si="23"/>
        <v>Standard Class</v>
      </c>
      <c r="Y95">
        <v>6</v>
      </c>
      <c r="Z95">
        <v>7</v>
      </c>
      <c r="AA95">
        <v>2788.97</v>
      </c>
      <c r="AB95">
        <v>-0.09</v>
      </c>
      <c r="AC95">
        <f t="shared" si="24"/>
        <v>0</v>
      </c>
      <c r="AD95">
        <v>19522.79</v>
      </c>
      <c r="AE95">
        <f t="shared" si="25"/>
        <v>19522.79</v>
      </c>
      <c r="AF95">
        <v>12455.78</v>
      </c>
      <c r="AG95">
        <v>7067.01</v>
      </c>
      <c r="AH95">
        <f t="shared" si="26"/>
        <v>7067.01</v>
      </c>
      <c r="AI95">
        <f t="shared" si="27"/>
        <v>0.361987707699565</v>
      </c>
      <c r="AJ95" t="s">
        <v>77</v>
      </c>
      <c r="AK95" t="str">
        <f t="shared" si="28"/>
        <v>Paid</v>
      </c>
      <c r="AL95" t="s">
        <v>78</v>
      </c>
      <c r="AM95" t="str">
        <f t="shared" si="29"/>
        <v>Completed</v>
      </c>
      <c r="AN95">
        <v>1</v>
      </c>
      <c r="AO95">
        <v>2024</v>
      </c>
      <c r="AP95" t="s">
        <v>222</v>
      </c>
    </row>
    <row r="96" spans="1:42">
      <c r="A96" t="s">
        <v>612</v>
      </c>
      <c r="B96" s="3" t="s">
        <v>613</v>
      </c>
      <c r="C96" s="3">
        <v>45541</v>
      </c>
      <c r="D96" t="s">
        <v>614</v>
      </c>
      <c r="E96" s="3">
        <v>45544</v>
      </c>
      <c r="F96" t="s">
        <v>615</v>
      </c>
      <c r="G96" t="s">
        <v>251</v>
      </c>
      <c r="H96" t="str">
        <f t="shared" si="15"/>
        <v>Diya Patel</v>
      </c>
      <c r="I96" t="s">
        <v>71</v>
      </c>
      <c r="J96" t="str">
        <f t="shared" si="16"/>
        <v>Consumer</v>
      </c>
      <c r="K96" t="s">
        <v>8</v>
      </c>
      <c r="L96" t="str">
        <f t="shared" si="17"/>
        <v>North</v>
      </c>
      <c r="M96" t="s">
        <v>366</v>
      </c>
      <c r="N96" t="str">
        <f t="shared" si="18"/>
        <v>Haryana</v>
      </c>
      <c r="O96" t="s">
        <v>367</v>
      </c>
      <c r="P96" t="str">
        <f t="shared" si="19"/>
        <v>Gurugram</v>
      </c>
      <c r="Q96" t="s">
        <v>24</v>
      </c>
      <c r="R96" t="str">
        <f t="shared" si="20"/>
        <v>Technology</v>
      </c>
      <c r="S96" t="s">
        <v>265</v>
      </c>
      <c r="T96" t="str">
        <f t="shared" si="21"/>
        <v>Phones</v>
      </c>
      <c r="U96" t="s">
        <v>616</v>
      </c>
      <c r="V96" t="str">
        <f t="shared" si="22"/>
        <v>Elite Phones 723</v>
      </c>
      <c r="W96" t="s">
        <v>76</v>
      </c>
      <c r="X96" t="str">
        <f t="shared" si="23"/>
        <v>Second Class</v>
      </c>
      <c r="Y96">
        <v>3</v>
      </c>
      <c r="Z96">
        <v>7</v>
      </c>
      <c r="AA96">
        <v>3781.53</v>
      </c>
      <c r="AB96">
        <v>0</v>
      </c>
      <c r="AC96">
        <f t="shared" si="24"/>
        <v>0</v>
      </c>
      <c r="AD96">
        <v>26470.71</v>
      </c>
      <c r="AE96">
        <f t="shared" si="25"/>
        <v>26470.71</v>
      </c>
      <c r="AF96">
        <v>21367.6</v>
      </c>
      <c r="AG96">
        <v>5103.11</v>
      </c>
      <c r="AH96">
        <f t="shared" si="26"/>
        <v>5103.11</v>
      </c>
      <c r="AI96">
        <f t="shared" si="27"/>
        <v>0.192783268752519</v>
      </c>
      <c r="AJ96" t="s">
        <v>177</v>
      </c>
      <c r="AK96" t="str">
        <f t="shared" si="28"/>
        <v>Pending</v>
      </c>
      <c r="AL96" t="s">
        <v>118</v>
      </c>
      <c r="AM96" t="str">
        <f t="shared" si="29"/>
        <v>Cancelled</v>
      </c>
      <c r="AN96">
        <v>9</v>
      </c>
      <c r="AO96">
        <v>2024</v>
      </c>
      <c r="AP96" t="s">
        <v>79</v>
      </c>
    </row>
    <row r="97" spans="1:42">
      <c r="A97" t="s">
        <v>617</v>
      </c>
      <c r="B97" s="3" t="s">
        <v>618</v>
      </c>
      <c r="C97" s="3">
        <v>45905</v>
      </c>
      <c r="D97" t="s">
        <v>619</v>
      </c>
      <c r="E97" s="3">
        <v>45910</v>
      </c>
      <c r="F97" t="s">
        <v>620</v>
      </c>
      <c r="G97" t="s">
        <v>208</v>
      </c>
      <c r="H97" t="str">
        <f t="shared" si="15"/>
        <v>Sneha Kapoor</v>
      </c>
      <c r="I97" t="s">
        <v>147</v>
      </c>
      <c r="J97" t="str">
        <f t="shared" si="16"/>
        <v>Corporate</v>
      </c>
      <c r="K97" t="s">
        <v>11</v>
      </c>
      <c r="L97" t="str">
        <f t="shared" si="17"/>
        <v>West</v>
      </c>
      <c r="M97" t="s">
        <v>292</v>
      </c>
      <c r="N97" t="str">
        <f t="shared" si="18"/>
        <v>Goa</v>
      </c>
      <c r="O97" t="s">
        <v>293</v>
      </c>
      <c r="P97" t="str">
        <f t="shared" si="19"/>
        <v>Panaji</v>
      </c>
      <c r="Q97" t="s">
        <v>19</v>
      </c>
      <c r="R97" t="str">
        <f t="shared" si="20"/>
        <v>Furniture</v>
      </c>
      <c r="S97" t="s">
        <v>245</v>
      </c>
      <c r="T97" t="str">
        <f t="shared" si="21"/>
        <v>Bookcases</v>
      </c>
      <c r="U97" t="s">
        <v>621</v>
      </c>
      <c r="V97" t="str">
        <f t="shared" si="22"/>
        <v>Classic Bookcases 988</v>
      </c>
      <c r="W97" t="s">
        <v>90</v>
      </c>
      <c r="X97" t="str">
        <f t="shared" si="23"/>
        <v>Same Day</v>
      </c>
      <c r="Y97">
        <v>5</v>
      </c>
      <c r="Z97">
        <v>6</v>
      </c>
      <c r="AA97">
        <v>1754.13</v>
      </c>
      <c r="AB97">
        <v>0</v>
      </c>
      <c r="AC97">
        <f t="shared" si="24"/>
        <v>0</v>
      </c>
      <c r="AD97">
        <v>10524.78</v>
      </c>
      <c r="AE97">
        <f t="shared" si="25"/>
        <v>10524.78</v>
      </c>
      <c r="AF97">
        <v>8841.05</v>
      </c>
      <c r="AG97">
        <v>1683.73</v>
      </c>
      <c r="AH97">
        <f t="shared" si="26"/>
        <v>1683.73</v>
      </c>
      <c r="AI97">
        <f t="shared" si="27"/>
        <v>0.15997769074508</v>
      </c>
      <c r="AJ97" t="s">
        <v>77</v>
      </c>
      <c r="AK97" t="str">
        <f t="shared" si="28"/>
        <v>Paid</v>
      </c>
      <c r="AL97" t="s">
        <v>78</v>
      </c>
      <c r="AM97" t="str">
        <f t="shared" si="29"/>
        <v>Completed</v>
      </c>
      <c r="AN97">
        <v>9</v>
      </c>
      <c r="AO97">
        <v>2025</v>
      </c>
      <c r="AP97" t="s">
        <v>79</v>
      </c>
    </row>
    <row r="98" spans="1:42">
      <c r="A98" t="s">
        <v>622</v>
      </c>
      <c r="B98" s="3" t="s">
        <v>623</v>
      </c>
      <c r="C98" s="3">
        <v>45448</v>
      </c>
      <c r="D98" t="s">
        <v>624</v>
      </c>
      <c r="E98" s="3">
        <v>45450</v>
      </c>
      <c r="F98" t="s">
        <v>625</v>
      </c>
      <c r="G98" t="s">
        <v>188</v>
      </c>
      <c r="H98" t="str">
        <f t="shared" si="15"/>
        <v>Rahul Verma</v>
      </c>
      <c r="I98" t="s">
        <v>154</v>
      </c>
      <c r="J98" t="str">
        <f t="shared" si="16"/>
        <v>Home Office</v>
      </c>
      <c r="K98" t="s">
        <v>7</v>
      </c>
      <c r="L98" t="str">
        <f t="shared" si="17"/>
        <v>East</v>
      </c>
      <c r="M98" t="s">
        <v>86</v>
      </c>
      <c r="N98" t="str">
        <f t="shared" si="18"/>
        <v>Odisha</v>
      </c>
      <c r="O98" t="s">
        <v>87</v>
      </c>
      <c r="P98" t="str">
        <f t="shared" si="19"/>
        <v>Bhubaneswar</v>
      </c>
      <c r="Q98" t="s">
        <v>24</v>
      </c>
      <c r="R98" t="str">
        <f t="shared" si="20"/>
        <v>Technology</v>
      </c>
      <c r="S98" t="s">
        <v>133</v>
      </c>
      <c r="T98" t="str">
        <f t="shared" si="21"/>
        <v>Copiers</v>
      </c>
      <c r="U98" t="s">
        <v>626</v>
      </c>
      <c r="V98" t="str">
        <f t="shared" si="22"/>
        <v>Smart Copiers 547</v>
      </c>
      <c r="W98" t="s">
        <v>76</v>
      </c>
      <c r="X98" t="str">
        <f t="shared" si="23"/>
        <v>Second Class</v>
      </c>
      <c r="Y98">
        <v>2</v>
      </c>
      <c r="Z98">
        <v>2</v>
      </c>
      <c r="AA98">
        <v>2259.24</v>
      </c>
      <c r="AB98">
        <v>0.15</v>
      </c>
      <c r="AC98">
        <f t="shared" si="24"/>
        <v>0.15</v>
      </c>
      <c r="AD98">
        <v>3840.71</v>
      </c>
      <c r="AE98">
        <f t="shared" si="25"/>
        <v>3840.708</v>
      </c>
      <c r="AF98">
        <v>2516.29</v>
      </c>
      <c r="AG98">
        <v>1324.42</v>
      </c>
      <c r="AH98">
        <f t="shared" si="26"/>
        <v>1324.418</v>
      </c>
      <c r="AI98">
        <f t="shared" si="27"/>
        <v>0.34483694152224</v>
      </c>
      <c r="AJ98" t="s">
        <v>77</v>
      </c>
      <c r="AK98" t="str">
        <f t="shared" si="28"/>
        <v>Paid</v>
      </c>
      <c r="AL98" t="s">
        <v>78</v>
      </c>
      <c r="AM98" t="str">
        <f t="shared" si="29"/>
        <v>Completed</v>
      </c>
      <c r="AN98">
        <v>6</v>
      </c>
      <c r="AO98">
        <v>2024</v>
      </c>
      <c r="AP98" t="s">
        <v>79</v>
      </c>
    </row>
    <row r="99" spans="1:42">
      <c r="A99" t="s">
        <v>627</v>
      </c>
      <c r="B99" s="3" t="s">
        <v>628</v>
      </c>
      <c r="C99" s="3">
        <v>45877</v>
      </c>
      <c r="D99" t="s">
        <v>629</v>
      </c>
      <c r="E99" s="3">
        <v>45880</v>
      </c>
      <c r="F99" t="s">
        <v>630</v>
      </c>
      <c r="G99" t="s">
        <v>251</v>
      </c>
      <c r="H99" t="str">
        <f t="shared" si="15"/>
        <v>Diya Patel</v>
      </c>
      <c r="I99" t="s">
        <v>85</v>
      </c>
      <c r="J99" t="str">
        <f t="shared" si="16"/>
        <v>Small Business</v>
      </c>
      <c r="K99" t="s">
        <v>11</v>
      </c>
      <c r="L99" t="str">
        <f t="shared" si="17"/>
        <v>West</v>
      </c>
      <c r="M99" t="s">
        <v>278</v>
      </c>
      <c r="N99" t="str">
        <f t="shared" si="18"/>
        <v>Gujarat</v>
      </c>
      <c r="O99" t="s">
        <v>279</v>
      </c>
      <c r="P99" t="str">
        <f t="shared" si="19"/>
        <v>Ahmedabad</v>
      </c>
      <c r="Q99" t="s">
        <v>22</v>
      </c>
      <c r="R99" t="str">
        <f t="shared" si="20"/>
        <v>Office Supplies</v>
      </c>
      <c r="S99" t="s">
        <v>196</v>
      </c>
      <c r="T99" t="str">
        <f t="shared" si="21"/>
        <v>Storage</v>
      </c>
      <c r="U99" t="s">
        <v>631</v>
      </c>
      <c r="V99" t="str">
        <f t="shared" si="22"/>
        <v>Basic Storage 656</v>
      </c>
      <c r="W99" t="s">
        <v>90</v>
      </c>
      <c r="X99" t="str">
        <f t="shared" si="23"/>
        <v>Same Day</v>
      </c>
      <c r="Y99">
        <v>3</v>
      </c>
      <c r="Z99">
        <v>5</v>
      </c>
      <c r="AA99">
        <v>3602.36</v>
      </c>
      <c r="AB99">
        <v>0.2</v>
      </c>
      <c r="AC99">
        <f t="shared" si="24"/>
        <v>0.2</v>
      </c>
      <c r="AD99">
        <v>14409.44</v>
      </c>
      <c r="AE99">
        <f t="shared" si="25"/>
        <v>14409.44</v>
      </c>
      <c r="AF99">
        <v>8809.97</v>
      </c>
      <c r="AG99">
        <v>5599.47</v>
      </c>
      <c r="AH99">
        <f t="shared" si="26"/>
        <v>5599.47</v>
      </c>
      <c r="AI99">
        <f t="shared" si="27"/>
        <v>0.38859733619072</v>
      </c>
      <c r="AJ99" t="s">
        <v>177</v>
      </c>
      <c r="AK99" t="str">
        <f t="shared" si="28"/>
        <v>Pending</v>
      </c>
      <c r="AL99" t="s">
        <v>164</v>
      </c>
      <c r="AM99" t="str">
        <f t="shared" si="29"/>
        <v>Returned</v>
      </c>
      <c r="AN99">
        <v>8</v>
      </c>
      <c r="AO99">
        <v>2025</v>
      </c>
      <c r="AP99" t="s">
        <v>79</v>
      </c>
    </row>
    <row r="100" spans="1:42">
      <c r="A100" t="s">
        <v>632</v>
      </c>
      <c r="B100" s="3" t="s">
        <v>633</v>
      </c>
      <c r="C100" s="3">
        <v>45317</v>
      </c>
      <c r="D100" t="s">
        <v>634</v>
      </c>
      <c r="E100" s="3">
        <v>45323</v>
      </c>
      <c r="F100" t="s">
        <v>635</v>
      </c>
      <c r="G100" t="s">
        <v>220</v>
      </c>
      <c r="H100" t="str">
        <f t="shared" si="15"/>
        <v>Rohan Mehta</v>
      </c>
      <c r="I100" t="s">
        <v>154</v>
      </c>
      <c r="J100" t="str">
        <f t="shared" si="16"/>
        <v>Home Office</v>
      </c>
      <c r="K100" t="s">
        <v>10</v>
      </c>
      <c r="L100" t="str">
        <f t="shared" si="17"/>
        <v>South</v>
      </c>
      <c r="M100" t="s">
        <v>285</v>
      </c>
      <c r="N100" t="str">
        <f t="shared" si="18"/>
        <v>Kerala</v>
      </c>
      <c r="O100" t="s">
        <v>286</v>
      </c>
      <c r="P100" t="str">
        <f t="shared" si="19"/>
        <v>Kochi</v>
      </c>
      <c r="Q100" t="s">
        <v>24</v>
      </c>
      <c r="R100" t="str">
        <f t="shared" si="20"/>
        <v>Technology</v>
      </c>
      <c r="S100" t="s">
        <v>133</v>
      </c>
      <c r="T100" t="str">
        <f t="shared" si="21"/>
        <v>Copiers</v>
      </c>
      <c r="U100" t="s">
        <v>636</v>
      </c>
      <c r="V100" t="str">
        <f t="shared" si="22"/>
        <v>Elite Copiers 785</v>
      </c>
      <c r="X100" t="str">
        <f t="shared" si="23"/>
        <v/>
      </c>
      <c r="Y100">
        <v>6</v>
      </c>
      <c r="Z100">
        <v>8</v>
      </c>
      <c r="AA100">
        <v>2108.93</v>
      </c>
      <c r="AB100">
        <v>0.1</v>
      </c>
      <c r="AC100">
        <f t="shared" si="24"/>
        <v>0.1</v>
      </c>
      <c r="AD100">
        <v>15184.3</v>
      </c>
      <c r="AE100">
        <f t="shared" si="25"/>
        <v>15184.296</v>
      </c>
      <c r="AF100">
        <v>11270.74</v>
      </c>
      <c r="AG100">
        <v>3913.56</v>
      </c>
      <c r="AH100">
        <f t="shared" si="26"/>
        <v>3913.556</v>
      </c>
      <c r="AI100">
        <f t="shared" si="27"/>
        <v>0.257737072564971</v>
      </c>
      <c r="AJ100" t="s">
        <v>77</v>
      </c>
      <c r="AK100" t="str">
        <f t="shared" si="28"/>
        <v>Paid</v>
      </c>
      <c r="AL100" t="s">
        <v>78</v>
      </c>
      <c r="AM100" t="str">
        <f t="shared" si="29"/>
        <v>Completed</v>
      </c>
      <c r="AN100">
        <v>1</v>
      </c>
      <c r="AO100">
        <v>2024</v>
      </c>
      <c r="AP100" t="s">
        <v>79</v>
      </c>
    </row>
    <row r="101" spans="1:42">
      <c r="A101" t="s">
        <v>637</v>
      </c>
      <c r="B101" s="3" t="s">
        <v>638</v>
      </c>
      <c r="C101" s="3">
        <v>45668</v>
      </c>
      <c r="D101" t="s">
        <v>638</v>
      </c>
      <c r="E101" s="3">
        <v>45668</v>
      </c>
      <c r="F101" t="s">
        <v>639</v>
      </c>
      <c r="G101" t="s">
        <v>146</v>
      </c>
      <c r="H101" t="str">
        <f t="shared" si="15"/>
        <v>Aditi Sen</v>
      </c>
      <c r="I101" t="s">
        <v>85</v>
      </c>
      <c r="J101" t="str">
        <f t="shared" si="16"/>
        <v>Small Business</v>
      </c>
      <c r="K101" t="s">
        <v>11</v>
      </c>
      <c r="L101" t="str">
        <f t="shared" si="17"/>
        <v>West</v>
      </c>
      <c r="M101" t="s">
        <v>72</v>
      </c>
      <c r="N101" t="str">
        <f t="shared" si="18"/>
        <v>Rajasthan</v>
      </c>
      <c r="O101" t="s">
        <v>175</v>
      </c>
      <c r="P101" t="str">
        <f t="shared" si="19"/>
        <v>Udaipur</v>
      </c>
      <c r="Q101" t="s">
        <v>24</v>
      </c>
      <c r="R101" t="str">
        <f t="shared" si="20"/>
        <v>Technology</v>
      </c>
      <c r="S101" t="s">
        <v>126</v>
      </c>
      <c r="T101" t="str">
        <f t="shared" si="21"/>
        <v>Accessories</v>
      </c>
      <c r="U101" t="s">
        <v>640</v>
      </c>
      <c r="V101" t="str">
        <f t="shared" si="22"/>
        <v>Smart Accessories 542</v>
      </c>
      <c r="W101" t="s">
        <v>90</v>
      </c>
      <c r="X101" t="str">
        <f t="shared" si="23"/>
        <v>Same Day</v>
      </c>
      <c r="Y101">
        <v>0</v>
      </c>
      <c r="Z101">
        <v>3</v>
      </c>
      <c r="AA101">
        <v>2165.29</v>
      </c>
      <c r="AB101">
        <v>0</v>
      </c>
      <c r="AC101">
        <f t="shared" si="24"/>
        <v>0</v>
      </c>
      <c r="AD101">
        <v>6495.87</v>
      </c>
      <c r="AE101">
        <f t="shared" si="25"/>
        <v>6495.87</v>
      </c>
      <c r="AF101">
        <v>4700.89</v>
      </c>
      <c r="AG101">
        <v>1794.98</v>
      </c>
      <c r="AH101">
        <f t="shared" si="26"/>
        <v>1794.98</v>
      </c>
      <c r="AI101">
        <f t="shared" si="27"/>
        <v>0.27632634273777</v>
      </c>
      <c r="AJ101" t="s">
        <v>77</v>
      </c>
      <c r="AK101" t="str">
        <f t="shared" si="28"/>
        <v>Paid</v>
      </c>
      <c r="AL101" t="s">
        <v>78</v>
      </c>
      <c r="AM101" t="str">
        <f t="shared" si="29"/>
        <v>Completed</v>
      </c>
      <c r="AN101">
        <v>1</v>
      </c>
      <c r="AO101">
        <v>2025</v>
      </c>
      <c r="AP101" t="s">
        <v>79</v>
      </c>
    </row>
    <row r="102" spans="1:42">
      <c r="A102" t="s">
        <v>641</v>
      </c>
      <c r="B102" s="3" t="s">
        <v>642</v>
      </c>
      <c r="C102" s="3">
        <v>45912</v>
      </c>
      <c r="D102" t="s">
        <v>643</v>
      </c>
      <c r="E102" s="3">
        <v>45918</v>
      </c>
      <c r="F102" t="s">
        <v>644</v>
      </c>
      <c r="G102" t="s">
        <v>202</v>
      </c>
      <c r="H102" t="str">
        <f t="shared" si="15"/>
        <v>Aarav Sharma</v>
      </c>
      <c r="I102" t="s">
        <v>154</v>
      </c>
      <c r="J102" t="str">
        <f t="shared" si="16"/>
        <v>Home Office</v>
      </c>
      <c r="K102" t="s">
        <v>10</v>
      </c>
      <c r="L102" t="str">
        <f t="shared" si="17"/>
        <v>South</v>
      </c>
      <c r="M102" t="s">
        <v>285</v>
      </c>
      <c r="N102" t="str">
        <f t="shared" si="18"/>
        <v>Kerala</v>
      </c>
      <c r="O102" t="s">
        <v>286</v>
      </c>
      <c r="P102" t="str">
        <f t="shared" si="19"/>
        <v>Kochi</v>
      </c>
      <c r="Q102" t="s">
        <v>22</v>
      </c>
      <c r="R102" t="str">
        <f t="shared" si="20"/>
        <v>Office Supplies</v>
      </c>
      <c r="S102" t="s">
        <v>196</v>
      </c>
      <c r="T102" t="str">
        <f t="shared" si="21"/>
        <v>Storage</v>
      </c>
      <c r="U102" t="s">
        <v>645</v>
      </c>
      <c r="V102" t="str">
        <f t="shared" si="22"/>
        <v>Eco Storage 936</v>
      </c>
      <c r="W102" t="s">
        <v>108</v>
      </c>
      <c r="X102" t="str">
        <f t="shared" si="23"/>
        <v>Standard Class</v>
      </c>
      <c r="Y102">
        <v>6</v>
      </c>
      <c r="Z102">
        <v>6</v>
      </c>
      <c r="AA102">
        <v>1673.8</v>
      </c>
      <c r="AB102">
        <v>0.05</v>
      </c>
      <c r="AC102">
        <f t="shared" si="24"/>
        <v>0.05</v>
      </c>
      <c r="AD102">
        <v>9540.66</v>
      </c>
      <c r="AE102">
        <f t="shared" si="25"/>
        <v>9540.66</v>
      </c>
      <c r="AF102">
        <v>5561.49</v>
      </c>
      <c r="AG102">
        <v>3979.17</v>
      </c>
      <c r="AH102">
        <f t="shared" si="26"/>
        <v>3979.17</v>
      </c>
      <c r="AI102">
        <f t="shared" si="27"/>
        <v>0.417074919345202</v>
      </c>
      <c r="AJ102" t="s">
        <v>77</v>
      </c>
      <c r="AK102" t="str">
        <f t="shared" si="28"/>
        <v>Paid</v>
      </c>
      <c r="AL102" t="s">
        <v>78</v>
      </c>
      <c r="AM102" t="str">
        <f t="shared" si="29"/>
        <v>Completed</v>
      </c>
      <c r="AN102">
        <v>9</v>
      </c>
      <c r="AO102">
        <v>2025</v>
      </c>
      <c r="AP102" t="s">
        <v>79</v>
      </c>
    </row>
    <row r="103" spans="1:42">
      <c r="A103" t="s">
        <v>646</v>
      </c>
      <c r="B103" s="3" t="s">
        <v>363</v>
      </c>
      <c r="C103" s="3">
        <v>45465</v>
      </c>
      <c r="D103" t="s">
        <v>647</v>
      </c>
      <c r="E103" s="3">
        <v>45469</v>
      </c>
      <c r="F103" t="s">
        <v>648</v>
      </c>
      <c r="G103" t="s">
        <v>220</v>
      </c>
      <c r="H103" t="str">
        <f t="shared" si="15"/>
        <v>Rohan Mehta</v>
      </c>
      <c r="I103" t="s">
        <v>649</v>
      </c>
      <c r="J103" t="str">
        <f t="shared" si="16"/>
        <v>Home Office</v>
      </c>
      <c r="K103" t="s">
        <v>7</v>
      </c>
      <c r="L103" t="str">
        <f t="shared" si="17"/>
        <v>East</v>
      </c>
      <c r="M103" t="s">
        <v>227</v>
      </c>
      <c r="N103" t="str">
        <f t="shared" si="18"/>
        <v>Bihar</v>
      </c>
      <c r="O103" t="s">
        <v>228</v>
      </c>
      <c r="P103" t="str">
        <f t="shared" si="19"/>
        <v>Patna</v>
      </c>
      <c r="Q103" t="s">
        <v>19</v>
      </c>
      <c r="R103" t="str">
        <f t="shared" si="20"/>
        <v>Furniture</v>
      </c>
      <c r="S103" t="s">
        <v>106</v>
      </c>
      <c r="T103" t="str">
        <f t="shared" si="21"/>
        <v>Furnishings</v>
      </c>
      <c r="U103" t="s">
        <v>650</v>
      </c>
      <c r="V103" t="str">
        <f t="shared" si="22"/>
        <v>Classic Furnishings 682</v>
      </c>
      <c r="W103" t="s">
        <v>98</v>
      </c>
      <c r="X103" t="str">
        <f t="shared" si="23"/>
        <v>First Class</v>
      </c>
      <c r="Y103">
        <v>4</v>
      </c>
      <c r="Z103">
        <v>5</v>
      </c>
      <c r="AA103">
        <v>4396.52</v>
      </c>
      <c r="AB103">
        <v>0.25</v>
      </c>
      <c r="AC103">
        <f t="shared" si="24"/>
        <v>0.25</v>
      </c>
      <c r="AD103">
        <v>16486.95</v>
      </c>
      <c r="AE103">
        <f t="shared" si="25"/>
        <v>16486.95</v>
      </c>
      <c r="AF103">
        <v>12054.14</v>
      </c>
      <c r="AG103">
        <v>4432.81</v>
      </c>
      <c r="AH103">
        <f t="shared" si="26"/>
        <v>4432.81</v>
      </c>
      <c r="AI103">
        <f t="shared" si="27"/>
        <v>0.268867801503614</v>
      </c>
      <c r="AJ103" t="s">
        <v>77</v>
      </c>
      <c r="AK103" t="str">
        <f t="shared" si="28"/>
        <v>Paid</v>
      </c>
      <c r="AL103" t="s">
        <v>78</v>
      </c>
      <c r="AM103" t="str">
        <f t="shared" si="29"/>
        <v>Completed</v>
      </c>
      <c r="AN103">
        <v>6</v>
      </c>
      <c r="AO103">
        <v>2024</v>
      </c>
      <c r="AP103" t="s">
        <v>79</v>
      </c>
    </row>
    <row r="104" spans="1:42">
      <c r="A104" t="s">
        <v>651</v>
      </c>
      <c r="B104" s="3" t="s">
        <v>652</v>
      </c>
      <c r="C104" s="3">
        <v>45850</v>
      </c>
      <c r="D104" t="s">
        <v>653</v>
      </c>
      <c r="E104" s="3">
        <v>45854</v>
      </c>
      <c r="F104" t="s">
        <v>654</v>
      </c>
      <c r="G104" t="s">
        <v>123</v>
      </c>
      <c r="H104" t="str">
        <f t="shared" si="15"/>
        <v>Vikram Iyer</v>
      </c>
      <c r="I104" t="s">
        <v>71</v>
      </c>
      <c r="J104" t="str">
        <f t="shared" si="16"/>
        <v>Consumer</v>
      </c>
      <c r="K104" t="s">
        <v>10</v>
      </c>
      <c r="L104" t="str">
        <f t="shared" si="17"/>
        <v>South</v>
      </c>
      <c r="M104" t="s">
        <v>272</v>
      </c>
      <c r="N104" t="str">
        <f t="shared" si="18"/>
        <v>Karnataka</v>
      </c>
      <c r="O104" t="s">
        <v>273</v>
      </c>
      <c r="P104" t="str">
        <f t="shared" si="19"/>
        <v>Bengaluru</v>
      </c>
      <c r="Q104" t="s">
        <v>19</v>
      </c>
      <c r="R104" t="str">
        <f t="shared" si="20"/>
        <v>Furniture</v>
      </c>
      <c r="S104" t="s">
        <v>116</v>
      </c>
      <c r="T104" t="str">
        <f t="shared" si="21"/>
        <v>Chairs</v>
      </c>
      <c r="U104" t="s">
        <v>655</v>
      </c>
      <c r="V104" t="str">
        <f t="shared" si="22"/>
        <v>Classic Chairs 604</v>
      </c>
      <c r="W104" t="s">
        <v>98</v>
      </c>
      <c r="X104" t="str">
        <f t="shared" si="23"/>
        <v>First Class</v>
      </c>
      <c r="Y104">
        <v>4</v>
      </c>
      <c r="Z104">
        <v>4</v>
      </c>
      <c r="AA104">
        <v>2865.71</v>
      </c>
      <c r="AB104">
        <v>0</v>
      </c>
      <c r="AC104">
        <f t="shared" si="24"/>
        <v>0</v>
      </c>
      <c r="AD104">
        <v>11462.84</v>
      </c>
      <c r="AE104">
        <f t="shared" si="25"/>
        <v>11462.84</v>
      </c>
      <c r="AF104">
        <v>8979.78</v>
      </c>
      <c r="AG104">
        <v>2483.06</v>
      </c>
      <c r="AH104">
        <f t="shared" si="26"/>
        <v>2483.06</v>
      </c>
      <c r="AI104">
        <f t="shared" si="27"/>
        <v>0.216618220266531</v>
      </c>
      <c r="AJ104" t="s">
        <v>163</v>
      </c>
      <c r="AK104" t="str">
        <f t="shared" si="28"/>
        <v>Refunded</v>
      </c>
      <c r="AL104" t="s">
        <v>118</v>
      </c>
      <c r="AM104" t="str">
        <f t="shared" si="29"/>
        <v>Cancelled</v>
      </c>
      <c r="AN104">
        <v>7</v>
      </c>
      <c r="AO104">
        <v>2025</v>
      </c>
      <c r="AP104" t="s">
        <v>79</v>
      </c>
    </row>
    <row r="105" spans="1:42">
      <c r="A105" t="s">
        <v>656</v>
      </c>
      <c r="B105" s="3" t="s">
        <v>657</v>
      </c>
      <c r="C105" s="3">
        <v>45779</v>
      </c>
      <c r="D105" t="s">
        <v>658</v>
      </c>
      <c r="E105" s="3">
        <v>45787</v>
      </c>
      <c r="F105" t="s">
        <v>659</v>
      </c>
      <c r="G105" t="s">
        <v>411</v>
      </c>
      <c r="H105" t="str">
        <f t="shared" si="15"/>
        <v>Kabir Singh</v>
      </c>
      <c r="I105" t="s">
        <v>147</v>
      </c>
      <c r="J105" t="str">
        <f t="shared" si="16"/>
        <v>Corporate</v>
      </c>
      <c r="K105" t="s">
        <v>11</v>
      </c>
      <c r="L105" t="str">
        <f t="shared" si="17"/>
        <v>West</v>
      </c>
      <c r="M105" t="s">
        <v>114</v>
      </c>
      <c r="N105" t="str">
        <f t="shared" si="18"/>
        <v>Maharashtra</v>
      </c>
      <c r="O105" t="s">
        <v>115</v>
      </c>
      <c r="P105" t="str">
        <f t="shared" si="19"/>
        <v>Mumbai</v>
      </c>
      <c r="Q105" t="s">
        <v>19</v>
      </c>
      <c r="R105" t="str">
        <f t="shared" si="20"/>
        <v>Furniture</v>
      </c>
      <c r="S105" t="s">
        <v>88</v>
      </c>
      <c r="T105" t="str">
        <f t="shared" si="21"/>
        <v>Tables</v>
      </c>
      <c r="U105" t="s">
        <v>660</v>
      </c>
      <c r="V105" t="str">
        <f t="shared" si="22"/>
        <v>Prime Tables 377</v>
      </c>
      <c r="W105" t="s">
        <v>98</v>
      </c>
      <c r="X105" t="str">
        <f t="shared" si="23"/>
        <v>First Class</v>
      </c>
      <c r="Y105">
        <v>8</v>
      </c>
      <c r="Z105">
        <v>4</v>
      </c>
      <c r="AA105">
        <v>2440.34</v>
      </c>
      <c r="AB105">
        <v>0.2</v>
      </c>
      <c r="AC105">
        <f t="shared" si="24"/>
        <v>0.2</v>
      </c>
      <c r="AD105">
        <v>7809.09</v>
      </c>
      <c r="AE105">
        <f t="shared" si="25"/>
        <v>7809.088</v>
      </c>
      <c r="AF105">
        <v>6657.75</v>
      </c>
      <c r="AG105">
        <v>1151.34</v>
      </c>
      <c r="AH105">
        <f t="shared" si="26"/>
        <v>1151.338</v>
      </c>
      <c r="AI105">
        <f t="shared" si="27"/>
        <v>0.147435654457985</v>
      </c>
      <c r="AJ105" t="s">
        <v>77</v>
      </c>
      <c r="AK105" t="str">
        <f t="shared" si="28"/>
        <v>Paid</v>
      </c>
      <c r="AL105" t="s">
        <v>78</v>
      </c>
      <c r="AM105" t="str">
        <f t="shared" si="29"/>
        <v>Completed</v>
      </c>
      <c r="AN105">
        <v>5</v>
      </c>
      <c r="AO105">
        <v>2025</v>
      </c>
      <c r="AP105" t="s">
        <v>79</v>
      </c>
    </row>
    <row r="106" spans="1:42">
      <c r="A106" t="s">
        <v>661</v>
      </c>
      <c r="B106" s="3" t="s">
        <v>662</v>
      </c>
      <c r="C106" s="3">
        <v>45689</v>
      </c>
      <c r="D106" t="s">
        <v>663</v>
      </c>
      <c r="E106" s="3">
        <v>45696</v>
      </c>
      <c r="F106" t="s">
        <v>664</v>
      </c>
      <c r="G106" t="s">
        <v>113</v>
      </c>
      <c r="H106" t="str">
        <f t="shared" si="15"/>
        <v>Ananya Rao</v>
      </c>
      <c r="I106" t="s">
        <v>71</v>
      </c>
      <c r="J106" t="str">
        <f t="shared" si="16"/>
        <v>Consumer</v>
      </c>
      <c r="K106" t="s">
        <v>10</v>
      </c>
      <c r="L106" t="str">
        <f t="shared" si="17"/>
        <v>South</v>
      </c>
      <c r="M106" t="s">
        <v>272</v>
      </c>
      <c r="N106" t="str">
        <f t="shared" si="18"/>
        <v>Karnataka</v>
      </c>
      <c r="O106" t="s">
        <v>273</v>
      </c>
      <c r="P106" t="str">
        <f t="shared" si="19"/>
        <v>Bengaluru</v>
      </c>
      <c r="Q106" t="s">
        <v>22</v>
      </c>
      <c r="R106" t="str">
        <f t="shared" si="20"/>
        <v>Office Supplies</v>
      </c>
      <c r="S106" t="s">
        <v>148</v>
      </c>
      <c r="T106" t="str">
        <f t="shared" si="21"/>
        <v>Labels</v>
      </c>
      <c r="U106" t="s">
        <v>665</v>
      </c>
      <c r="V106" t="str">
        <f t="shared" si="22"/>
        <v>Prime Labels 807</v>
      </c>
      <c r="W106" t="s">
        <v>90</v>
      </c>
      <c r="X106" t="str">
        <f t="shared" si="23"/>
        <v>Same Day</v>
      </c>
      <c r="Y106">
        <v>7</v>
      </c>
      <c r="Z106">
        <v>5</v>
      </c>
      <c r="AA106">
        <v>2112.54</v>
      </c>
      <c r="AB106">
        <v>0.25</v>
      </c>
      <c r="AC106">
        <f t="shared" si="24"/>
        <v>0.25</v>
      </c>
      <c r="AD106">
        <v>8260.46</v>
      </c>
      <c r="AE106">
        <f t="shared" si="25"/>
        <v>7922.025</v>
      </c>
      <c r="AF106">
        <v>5619.95</v>
      </c>
      <c r="AG106">
        <v>2302.08</v>
      </c>
      <c r="AH106">
        <f t="shared" si="26"/>
        <v>2302.075</v>
      </c>
      <c r="AI106">
        <f t="shared" si="27"/>
        <v>0.290591736330042</v>
      </c>
      <c r="AJ106" t="s">
        <v>77</v>
      </c>
      <c r="AK106" t="str">
        <f t="shared" si="28"/>
        <v>Paid</v>
      </c>
      <c r="AL106" t="s">
        <v>118</v>
      </c>
      <c r="AM106" t="str">
        <f t="shared" si="29"/>
        <v>Cancelled</v>
      </c>
      <c r="AN106">
        <v>2</v>
      </c>
      <c r="AO106">
        <v>2025</v>
      </c>
      <c r="AP106" t="s">
        <v>79</v>
      </c>
    </row>
    <row r="107" spans="1:42">
      <c r="A107" t="s">
        <v>666</v>
      </c>
      <c r="B107" s="3" t="s">
        <v>667</v>
      </c>
      <c r="C107" s="3">
        <v>45467</v>
      </c>
      <c r="D107" t="s">
        <v>668</v>
      </c>
      <c r="E107" s="3">
        <v>45472</v>
      </c>
      <c r="F107" t="s">
        <v>669</v>
      </c>
      <c r="G107" t="s">
        <v>84</v>
      </c>
      <c r="H107" t="str">
        <f t="shared" si="15"/>
        <v>Mira Das</v>
      </c>
      <c r="I107" t="s">
        <v>154</v>
      </c>
      <c r="J107" t="str">
        <f t="shared" si="16"/>
        <v>Home Office</v>
      </c>
      <c r="K107" t="s">
        <v>7</v>
      </c>
      <c r="L107" t="str">
        <f t="shared" si="17"/>
        <v>East</v>
      </c>
      <c r="M107" t="s">
        <v>160</v>
      </c>
      <c r="N107" t="str">
        <f t="shared" si="18"/>
        <v>West Bengal</v>
      </c>
      <c r="O107" t="s">
        <v>161</v>
      </c>
      <c r="P107" t="str">
        <f t="shared" si="19"/>
        <v>Kolkata</v>
      </c>
      <c r="Q107" t="s">
        <v>19</v>
      </c>
      <c r="R107" t="str">
        <f t="shared" si="20"/>
        <v>Furniture</v>
      </c>
      <c r="S107" t="s">
        <v>88</v>
      </c>
      <c r="T107" t="str">
        <f t="shared" si="21"/>
        <v>Tables</v>
      </c>
      <c r="U107" t="s">
        <v>670</v>
      </c>
      <c r="V107" t="str">
        <f t="shared" si="22"/>
        <v>Eco Tables 575</v>
      </c>
      <c r="W107" t="s">
        <v>76</v>
      </c>
      <c r="X107" t="str">
        <f t="shared" si="23"/>
        <v>Second Class</v>
      </c>
      <c r="Y107">
        <v>5</v>
      </c>
      <c r="Z107">
        <v>2</v>
      </c>
      <c r="AA107">
        <v>685</v>
      </c>
      <c r="AB107">
        <v>0.1</v>
      </c>
      <c r="AC107">
        <f t="shared" si="24"/>
        <v>0.1</v>
      </c>
      <c r="AD107">
        <v>1233</v>
      </c>
      <c r="AE107">
        <f t="shared" si="25"/>
        <v>1233</v>
      </c>
      <c r="AF107">
        <v>1006.9</v>
      </c>
      <c r="AG107">
        <v>226.1</v>
      </c>
      <c r="AH107">
        <f t="shared" si="26"/>
        <v>226.1</v>
      </c>
      <c r="AI107">
        <f t="shared" si="27"/>
        <v>0.183373884833739</v>
      </c>
      <c r="AJ107" t="s">
        <v>77</v>
      </c>
      <c r="AK107" t="str">
        <f t="shared" si="28"/>
        <v>Paid</v>
      </c>
      <c r="AL107" t="s">
        <v>78</v>
      </c>
      <c r="AM107" t="str">
        <f t="shared" si="29"/>
        <v>Completed</v>
      </c>
      <c r="AN107">
        <v>6</v>
      </c>
      <c r="AO107">
        <v>2024</v>
      </c>
      <c r="AP107" t="s">
        <v>79</v>
      </c>
    </row>
    <row r="108" spans="1:42">
      <c r="A108" t="s">
        <v>671</v>
      </c>
      <c r="B108" s="3" t="s">
        <v>672</v>
      </c>
      <c r="C108" s="3">
        <v>45342</v>
      </c>
      <c r="D108" t="s">
        <v>673</v>
      </c>
      <c r="E108" s="3">
        <v>45350</v>
      </c>
      <c r="F108" t="s">
        <v>674</v>
      </c>
      <c r="G108" t="s">
        <v>103</v>
      </c>
      <c r="H108" t="str">
        <f t="shared" si="15"/>
        <v>Arjun Bose</v>
      </c>
      <c r="I108" t="s">
        <v>154</v>
      </c>
      <c r="J108" t="str">
        <f t="shared" si="16"/>
        <v>Home Office</v>
      </c>
      <c r="K108" t="s">
        <v>7</v>
      </c>
      <c r="L108" t="str">
        <f t="shared" si="17"/>
        <v>East</v>
      </c>
      <c r="M108" t="s">
        <v>160</v>
      </c>
      <c r="N108" t="str">
        <f t="shared" si="18"/>
        <v>West Bengal</v>
      </c>
      <c r="O108" t="s">
        <v>161</v>
      </c>
      <c r="P108" t="str">
        <f t="shared" si="19"/>
        <v>Kolkata</v>
      </c>
      <c r="Q108" t="s">
        <v>22</v>
      </c>
      <c r="R108" t="str">
        <f t="shared" si="20"/>
        <v>Office Supplies</v>
      </c>
      <c r="S108" t="s">
        <v>74</v>
      </c>
      <c r="T108" t="str">
        <f t="shared" si="21"/>
        <v>Paper</v>
      </c>
      <c r="U108" t="s">
        <v>675</v>
      </c>
      <c r="V108" t="str">
        <f t="shared" si="22"/>
        <v>Eco Paper 918</v>
      </c>
      <c r="W108" t="s">
        <v>108</v>
      </c>
      <c r="X108" t="str">
        <f t="shared" si="23"/>
        <v>Standard Class</v>
      </c>
      <c r="Y108">
        <v>8</v>
      </c>
      <c r="Z108">
        <v>2</v>
      </c>
      <c r="AA108">
        <v>4004.04</v>
      </c>
      <c r="AC108">
        <f t="shared" si="24"/>
        <v>0</v>
      </c>
      <c r="AD108">
        <v>7207.27</v>
      </c>
      <c r="AE108">
        <f t="shared" si="25"/>
        <v>8008.08</v>
      </c>
      <c r="AF108">
        <v>5709.39</v>
      </c>
      <c r="AG108">
        <v>1497.88</v>
      </c>
      <c r="AH108">
        <f t="shared" si="26"/>
        <v>2298.69</v>
      </c>
      <c r="AI108">
        <f t="shared" si="27"/>
        <v>0.287046333203464</v>
      </c>
      <c r="AJ108" t="s">
        <v>77</v>
      </c>
      <c r="AK108" t="str">
        <f t="shared" si="28"/>
        <v>Paid</v>
      </c>
      <c r="AL108" t="s">
        <v>118</v>
      </c>
      <c r="AM108" t="str">
        <f t="shared" si="29"/>
        <v>Cancelled</v>
      </c>
      <c r="AN108">
        <v>2</v>
      </c>
      <c r="AO108">
        <v>2024</v>
      </c>
      <c r="AP108" t="s">
        <v>222</v>
      </c>
    </row>
    <row r="109" spans="1:42">
      <c r="A109" t="s">
        <v>676</v>
      </c>
      <c r="B109" s="3" t="s">
        <v>677</v>
      </c>
      <c r="C109" s="3">
        <v>45594</v>
      </c>
      <c r="D109" t="s">
        <v>678</v>
      </c>
      <c r="E109" s="3">
        <v>45600</v>
      </c>
      <c r="F109" t="s">
        <v>679</v>
      </c>
      <c r="G109" t="s">
        <v>220</v>
      </c>
      <c r="H109" t="str">
        <f t="shared" si="15"/>
        <v>Rohan Mehta</v>
      </c>
      <c r="I109" t="s">
        <v>154</v>
      </c>
      <c r="J109" t="str">
        <f t="shared" si="16"/>
        <v>Home Office</v>
      </c>
      <c r="K109" t="s">
        <v>7</v>
      </c>
      <c r="L109" t="str">
        <f t="shared" si="17"/>
        <v>East</v>
      </c>
      <c r="M109" t="s">
        <v>160</v>
      </c>
      <c r="N109" t="str">
        <f t="shared" si="18"/>
        <v>West Bengal</v>
      </c>
      <c r="O109" t="s">
        <v>161</v>
      </c>
      <c r="P109" t="str">
        <f t="shared" si="19"/>
        <v>Kolkata</v>
      </c>
      <c r="Q109" t="s">
        <v>19</v>
      </c>
      <c r="R109" t="str">
        <f t="shared" si="20"/>
        <v>Furniture</v>
      </c>
      <c r="S109" t="s">
        <v>106</v>
      </c>
      <c r="T109" t="str">
        <f t="shared" si="21"/>
        <v>Furnishings</v>
      </c>
      <c r="U109" t="s">
        <v>680</v>
      </c>
      <c r="V109" t="str">
        <f t="shared" si="22"/>
        <v>Prime Furnishings 952</v>
      </c>
      <c r="W109" t="s">
        <v>98</v>
      </c>
      <c r="X109" t="str">
        <f t="shared" si="23"/>
        <v>First Class</v>
      </c>
      <c r="Y109">
        <v>6</v>
      </c>
      <c r="Z109">
        <v>3</v>
      </c>
      <c r="AA109">
        <v>4302.89</v>
      </c>
      <c r="AB109">
        <v>0.05</v>
      </c>
      <c r="AC109">
        <f t="shared" si="24"/>
        <v>0.05</v>
      </c>
      <c r="AD109">
        <v>12263.24</v>
      </c>
      <c r="AE109">
        <f t="shared" si="25"/>
        <v>12263.2365</v>
      </c>
      <c r="AF109">
        <v>8925.57</v>
      </c>
      <c r="AG109">
        <v>3337.67</v>
      </c>
      <c r="AH109">
        <f t="shared" si="26"/>
        <v>3337.6665</v>
      </c>
      <c r="AI109">
        <f t="shared" si="27"/>
        <v>0.272168485048788</v>
      </c>
      <c r="AJ109" t="s">
        <v>77</v>
      </c>
      <c r="AK109" t="str">
        <f t="shared" si="28"/>
        <v>Paid</v>
      </c>
      <c r="AL109" t="s">
        <v>78</v>
      </c>
      <c r="AM109" t="str">
        <f t="shared" si="29"/>
        <v>Completed</v>
      </c>
      <c r="AN109">
        <v>10</v>
      </c>
      <c r="AO109">
        <v>2024</v>
      </c>
      <c r="AP109" t="s">
        <v>79</v>
      </c>
    </row>
    <row r="110" spans="1:42">
      <c r="A110" t="s">
        <v>681</v>
      </c>
      <c r="B110" s="3" t="s">
        <v>682</v>
      </c>
      <c r="C110" s="3">
        <v>45519</v>
      </c>
      <c r="D110" t="s">
        <v>683</v>
      </c>
      <c r="E110" s="3">
        <v>45527</v>
      </c>
      <c r="F110" t="s">
        <v>684</v>
      </c>
      <c r="G110" t="s">
        <v>146</v>
      </c>
      <c r="H110" t="str">
        <f t="shared" si="15"/>
        <v>Aditi Sen</v>
      </c>
      <c r="I110" t="s">
        <v>85</v>
      </c>
      <c r="J110" t="str">
        <f t="shared" si="16"/>
        <v>Small Business</v>
      </c>
      <c r="K110" t="s">
        <v>7</v>
      </c>
      <c r="L110" t="str">
        <f t="shared" si="17"/>
        <v>East</v>
      </c>
      <c r="M110" t="s">
        <v>86</v>
      </c>
      <c r="N110" t="str">
        <f t="shared" si="18"/>
        <v>Odisha</v>
      </c>
      <c r="O110" t="s">
        <v>87</v>
      </c>
      <c r="P110" t="str">
        <f t="shared" si="19"/>
        <v>Bhubaneswar</v>
      </c>
      <c r="Q110" t="s">
        <v>19</v>
      </c>
      <c r="R110" t="str">
        <f t="shared" si="20"/>
        <v>Furniture</v>
      </c>
      <c r="S110" t="s">
        <v>245</v>
      </c>
      <c r="T110" t="str">
        <f t="shared" si="21"/>
        <v>Bookcases</v>
      </c>
      <c r="U110" t="s">
        <v>685</v>
      </c>
      <c r="V110" t="str">
        <f t="shared" si="22"/>
        <v>Prime Bookcases 631</v>
      </c>
      <c r="W110" t="s">
        <v>90</v>
      </c>
      <c r="X110" t="str">
        <f t="shared" si="23"/>
        <v>Same Day</v>
      </c>
      <c r="Y110">
        <v>8</v>
      </c>
      <c r="Z110">
        <v>2</v>
      </c>
      <c r="AA110">
        <v>537.54</v>
      </c>
      <c r="AB110">
        <v>0.25</v>
      </c>
      <c r="AC110">
        <f t="shared" si="24"/>
        <v>0.25</v>
      </c>
      <c r="AD110">
        <v>806.31</v>
      </c>
      <c r="AE110">
        <f t="shared" si="25"/>
        <v>806.31</v>
      </c>
      <c r="AF110">
        <v>498.5</v>
      </c>
      <c r="AG110">
        <v>307.81</v>
      </c>
      <c r="AH110">
        <f t="shared" si="26"/>
        <v>307.81</v>
      </c>
      <c r="AI110">
        <f t="shared" si="27"/>
        <v>0.381751435552083</v>
      </c>
      <c r="AJ110" t="s">
        <v>77</v>
      </c>
      <c r="AK110" t="str">
        <f t="shared" si="28"/>
        <v>Paid</v>
      </c>
      <c r="AL110" t="s">
        <v>78</v>
      </c>
      <c r="AM110" t="str">
        <f t="shared" si="29"/>
        <v>Completed</v>
      </c>
      <c r="AN110">
        <v>8</v>
      </c>
      <c r="AO110">
        <v>2024</v>
      </c>
      <c r="AP110" t="s">
        <v>79</v>
      </c>
    </row>
    <row r="111" spans="1:42">
      <c r="A111" t="s">
        <v>686</v>
      </c>
      <c r="B111" s="3" t="s">
        <v>687</v>
      </c>
      <c r="C111" s="3">
        <v>45892</v>
      </c>
      <c r="D111" t="s">
        <v>525</v>
      </c>
      <c r="E111" s="3">
        <v>45896</v>
      </c>
      <c r="F111" t="s">
        <v>688</v>
      </c>
      <c r="G111" t="s">
        <v>208</v>
      </c>
      <c r="H111" t="str">
        <f t="shared" si="15"/>
        <v>Sneha Kapoor</v>
      </c>
      <c r="I111" t="s">
        <v>71</v>
      </c>
      <c r="J111" t="str">
        <f t="shared" si="16"/>
        <v>Consumer</v>
      </c>
      <c r="K111" t="s">
        <v>8</v>
      </c>
      <c r="L111" t="str">
        <f t="shared" si="17"/>
        <v>North</v>
      </c>
      <c r="M111" t="s">
        <v>552</v>
      </c>
      <c r="N111" t="str">
        <f t="shared" si="18"/>
        <v>Delhi</v>
      </c>
      <c r="O111" t="s">
        <v>553</v>
      </c>
      <c r="P111" t="str">
        <f t="shared" si="19"/>
        <v>New Delhi</v>
      </c>
      <c r="Q111" t="s">
        <v>22</v>
      </c>
      <c r="R111" t="str">
        <f t="shared" si="20"/>
        <v>Office Supplies</v>
      </c>
      <c r="S111" t="s">
        <v>239</v>
      </c>
      <c r="T111" t="str">
        <f t="shared" si="21"/>
        <v>Binders</v>
      </c>
      <c r="U111" t="s">
        <v>689</v>
      </c>
      <c r="V111" t="str">
        <f t="shared" si="22"/>
        <v>Classic Binders 660</v>
      </c>
      <c r="W111" t="s">
        <v>76</v>
      </c>
      <c r="X111" t="str">
        <f t="shared" si="23"/>
        <v>Second Class</v>
      </c>
      <c r="Y111">
        <v>4</v>
      </c>
      <c r="Z111">
        <v>1</v>
      </c>
      <c r="AA111">
        <v>2788.62</v>
      </c>
      <c r="AB111">
        <v>0.25</v>
      </c>
      <c r="AC111">
        <f t="shared" si="24"/>
        <v>0.25</v>
      </c>
      <c r="AD111">
        <v>2091.47</v>
      </c>
      <c r="AE111">
        <f t="shared" si="25"/>
        <v>2091.465</v>
      </c>
      <c r="AF111">
        <v>1317.22</v>
      </c>
      <c r="AG111">
        <v>774.25</v>
      </c>
      <c r="AH111">
        <f t="shared" si="26"/>
        <v>774.245</v>
      </c>
      <c r="AI111">
        <f t="shared" si="27"/>
        <v>0.370192663993899</v>
      </c>
      <c r="AJ111" t="s">
        <v>77</v>
      </c>
      <c r="AK111" t="str">
        <f t="shared" si="28"/>
        <v>Paid</v>
      </c>
      <c r="AL111" t="s">
        <v>78</v>
      </c>
      <c r="AM111" t="str">
        <f t="shared" si="29"/>
        <v>Completed</v>
      </c>
      <c r="AN111">
        <v>8</v>
      </c>
      <c r="AO111">
        <v>2025</v>
      </c>
      <c r="AP111" t="s">
        <v>79</v>
      </c>
    </row>
    <row r="112" spans="1:42">
      <c r="A112" t="s">
        <v>690</v>
      </c>
      <c r="B112" s="3" t="s">
        <v>691</v>
      </c>
      <c r="C112" s="3">
        <v>45583</v>
      </c>
      <c r="D112" t="s">
        <v>692</v>
      </c>
      <c r="E112" s="3">
        <v>45589</v>
      </c>
      <c r="F112" t="s">
        <v>693</v>
      </c>
      <c r="G112" t="s">
        <v>123</v>
      </c>
      <c r="H112" t="str">
        <f t="shared" si="15"/>
        <v>Vikram Iyer</v>
      </c>
      <c r="I112" t="s">
        <v>147</v>
      </c>
      <c r="J112" t="str">
        <f t="shared" si="16"/>
        <v>Corporate</v>
      </c>
      <c r="K112" t="s">
        <v>10</v>
      </c>
      <c r="L112" t="str">
        <f t="shared" si="17"/>
        <v>South</v>
      </c>
      <c r="M112" t="s">
        <v>285</v>
      </c>
      <c r="N112" t="str">
        <f t="shared" si="18"/>
        <v>Kerala</v>
      </c>
      <c r="O112" t="s">
        <v>286</v>
      </c>
      <c r="P112" t="str">
        <f t="shared" si="19"/>
        <v>Kochi</v>
      </c>
      <c r="Q112" t="s">
        <v>22</v>
      </c>
      <c r="R112" t="str">
        <f t="shared" si="20"/>
        <v>Office Supplies</v>
      </c>
      <c r="S112" t="s">
        <v>148</v>
      </c>
      <c r="T112" t="str">
        <f t="shared" si="21"/>
        <v>Labels</v>
      </c>
      <c r="U112" t="s">
        <v>694</v>
      </c>
      <c r="V112" t="str">
        <f t="shared" si="22"/>
        <v>Pro Labels 255</v>
      </c>
      <c r="W112" t="s">
        <v>98</v>
      </c>
      <c r="X112" t="str">
        <f t="shared" si="23"/>
        <v>First Class</v>
      </c>
      <c r="Y112">
        <v>6</v>
      </c>
      <c r="Z112">
        <v>2</v>
      </c>
      <c r="AA112">
        <v>2250.47</v>
      </c>
      <c r="AB112">
        <v>0</v>
      </c>
      <c r="AC112">
        <f t="shared" si="24"/>
        <v>0</v>
      </c>
      <c r="AD112">
        <v>4500.94</v>
      </c>
      <c r="AE112">
        <f t="shared" si="25"/>
        <v>4500.94</v>
      </c>
      <c r="AF112">
        <v>2607.73</v>
      </c>
      <c r="AG112">
        <v>1893.21</v>
      </c>
      <c r="AH112">
        <f t="shared" si="26"/>
        <v>1893.21</v>
      </c>
      <c r="AI112">
        <f t="shared" si="27"/>
        <v>0.420625469346403</v>
      </c>
      <c r="AJ112" t="s">
        <v>163</v>
      </c>
      <c r="AK112" t="str">
        <f t="shared" si="28"/>
        <v>Refunded</v>
      </c>
      <c r="AL112" t="s">
        <v>118</v>
      </c>
      <c r="AM112" t="str">
        <f t="shared" si="29"/>
        <v>Cancelled</v>
      </c>
      <c r="AN112">
        <v>10</v>
      </c>
      <c r="AO112">
        <v>2024</v>
      </c>
      <c r="AP112" t="s">
        <v>79</v>
      </c>
    </row>
    <row r="113" spans="1:42">
      <c r="A113" t="s">
        <v>695</v>
      </c>
      <c r="B113" s="3" t="s">
        <v>696</v>
      </c>
      <c r="C113" s="3">
        <v>45835</v>
      </c>
      <c r="D113" t="s">
        <v>697</v>
      </c>
      <c r="E113" s="3">
        <v>45838</v>
      </c>
      <c r="F113" t="s">
        <v>698</v>
      </c>
      <c r="G113" t="s">
        <v>132</v>
      </c>
      <c r="H113" t="str">
        <f t="shared" si="15"/>
        <v>Neha Gupta</v>
      </c>
      <c r="I113" t="s">
        <v>147</v>
      </c>
      <c r="J113" t="str">
        <f t="shared" si="16"/>
        <v>Corporate</v>
      </c>
      <c r="K113" t="s">
        <v>7</v>
      </c>
      <c r="L113" t="str">
        <f t="shared" si="17"/>
        <v>East</v>
      </c>
      <c r="M113" t="s">
        <v>227</v>
      </c>
      <c r="N113" t="str">
        <f t="shared" si="18"/>
        <v>Bihar</v>
      </c>
      <c r="O113" t="s">
        <v>228</v>
      </c>
      <c r="P113" t="str">
        <f t="shared" si="19"/>
        <v>Patna</v>
      </c>
      <c r="Q113" t="s">
        <v>24</v>
      </c>
      <c r="R113" t="str">
        <f t="shared" si="20"/>
        <v>Technology</v>
      </c>
      <c r="S113" t="s">
        <v>126</v>
      </c>
      <c r="T113" t="str">
        <f t="shared" si="21"/>
        <v>Accessories</v>
      </c>
      <c r="U113" t="s">
        <v>699</v>
      </c>
      <c r="V113" t="str">
        <f t="shared" si="22"/>
        <v>Basic Accessories 187</v>
      </c>
      <c r="W113" t="s">
        <v>98</v>
      </c>
      <c r="X113" t="str">
        <f t="shared" si="23"/>
        <v>First Class</v>
      </c>
      <c r="Y113">
        <v>3</v>
      </c>
      <c r="Z113">
        <v>1</v>
      </c>
      <c r="AA113">
        <v>1708.44</v>
      </c>
      <c r="AB113">
        <v>0.05</v>
      </c>
      <c r="AC113">
        <f t="shared" si="24"/>
        <v>0.05</v>
      </c>
      <c r="AD113">
        <v>1623.02</v>
      </c>
      <c r="AE113">
        <f t="shared" si="25"/>
        <v>1623.018</v>
      </c>
      <c r="AF113">
        <v>1077.46</v>
      </c>
      <c r="AG113">
        <v>545.56</v>
      </c>
      <c r="AH113">
        <f t="shared" si="26"/>
        <v>545.558</v>
      </c>
      <c r="AI113">
        <f t="shared" si="27"/>
        <v>0.336137984914523</v>
      </c>
      <c r="AJ113" t="s">
        <v>177</v>
      </c>
      <c r="AK113" t="str">
        <f t="shared" si="28"/>
        <v>Pending</v>
      </c>
      <c r="AL113" t="s">
        <v>118</v>
      </c>
      <c r="AM113" t="str">
        <f t="shared" si="29"/>
        <v>Cancelled</v>
      </c>
      <c r="AN113">
        <v>6</v>
      </c>
      <c r="AO113">
        <v>2025</v>
      </c>
      <c r="AP113" t="s">
        <v>79</v>
      </c>
    </row>
    <row r="114" spans="1:42">
      <c r="A114" t="s">
        <v>700</v>
      </c>
      <c r="B114" s="3" t="s">
        <v>701</v>
      </c>
      <c r="C114" s="3">
        <v>45301</v>
      </c>
      <c r="D114" t="s">
        <v>702</v>
      </c>
      <c r="E114" s="3">
        <v>45305</v>
      </c>
      <c r="F114" t="s">
        <v>703</v>
      </c>
      <c r="G114" t="s">
        <v>208</v>
      </c>
      <c r="H114" t="str">
        <f t="shared" si="15"/>
        <v>Sneha Kapoor</v>
      </c>
      <c r="I114" t="s">
        <v>704</v>
      </c>
      <c r="J114" t="str">
        <f t="shared" si="16"/>
        <v>Consumer</v>
      </c>
      <c r="L114" t="str">
        <f t="shared" si="17"/>
        <v/>
      </c>
      <c r="M114" t="s">
        <v>278</v>
      </c>
      <c r="N114" t="str">
        <f t="shared" si="18"/>
        <v>Gujarat</v>
      </c>
      <c r="O114" t="s">
        <v>279</v>
      </c>
      <c r="P114" t="str">
        <f t="shared" si="19"/>
        <v>Ahmedabad</v>
      </c>
      <c r="Q114" t="s">
        <v>24</v>
      </c>
      <c r="R114" t="str">
        <f t="shared" si="20"/>
        <v>Technology</v>
      </c>
      <c r="S114" t="s">
        <v>126</v>
      </c>
      <c r="T114" t="str">
        <f t="shared" si="21"/>
        <v>Accessories</v>
      </c>
      <c r="U114" t="s">
        <v>705</v>
      </c>
      <c r="V114" t="str">
        <f t="shared" si="22"/>
        <v>Max Accessories 451</v>
      </c>
      <c r="W114" t="s">
        <v>108</v>
      </c>
      <c r="X114" t="str">
        <f t="shared" si="23"/>
        <v>Standard Class</v>
      </c>
      <c r="Y114">
        <v>4</v>
      </c>
      <c r="Z114">
        <v>3</v>
      </c>
      <c r="AA114">
        <v>3829.48</v>
      </c>
      <c r="AB114">
        <v>0.05</v>
      </c>
      <c r="AC114">
        <f t="shared" si="24"/>
        <v>0.05</v>
      </c>
      <c r="AD114">
        <v>10914.02</v>
      </c>
      <c r="AE114">
        <f t="shared" si="25"/>
        <v>10914.018</v>
      </c>
      <c r="AF114">
        <v>6548.74</v>
      </c>
      <c r="AG114">
        <v>4365.28</v>
      </c>
      <c r="AH114">
        <f t="shared" si="26"/>
        <v>4365.278</v>
      </c>
      <c r="AI114">
        <f t="shared" si="27"/>
        <v>0.399969836956472</v>
      </c>
      <c r="AJ114" t="s">
        <v>77</v>
      </c>
      <c r="AK114" t="str">
        <f t="shared" si="28"/>
        <v>Paid</v>
      </c>
      <c r="AL114" t="s">
        <v>78</v>
      </c>
      <c r="AM114" t="str">
        <f t="shared" si="29"/>
        <v>Completed</v>
      </c>
      <c r="AN114">
        <v>1</v>
      </c>
      <c r="AO114">
        <v>2024</v>
      </c>
      <c r="AP114" t="s">
        <v>79</v>
      </c>
    </row>
    <row r="115" spans="1:42">
      <c r="A115" t="s">
        <v>706</v>
      </c>
      <c r="B115" s="3" t="s">
        <v>707</v>
      </c>
      <c r="C115" s="3">
        <v>45334</v>
      </c>
      <c r="D115" t="s">
        <v>707</v>
      </c>
      <c r="E115" s="3">
        <v>45334</v>
      </c>
      <c r="F115" t="s">
        <v>567</v>
      </c>
      <c r="G115" t="s">
        <v>95</v>
      </c>
      <c r="H115" t="str">
        <f t="shared" si="15"/>
        <v>Isha Nair</v>
      </c>
      <c r="I115" t="s">
        <v>154</v>
      </c>
      <c r="J115" t="str">
        <f t="shared" si="16"/>
        <v>Home Office</v>
      </c>
      <c r="K115" t="s">
        <v>10</v>
      </c>
      <c r="L115" t="str">
        <f t="shared" si="17"/>
        <v>South</v>
      </c>
      <c r="M115" t="s">
        <v>382</v>
      </c>
      <c r="N115" t="str">
        <f t="shared" si="18"/>
        <v>Tamil Nadu</v>
      </c>
      <c r="O115" t="s">
        <v>383</v>
      </c>
      <c r="P115" t="str">
        <f t="shared" si="19"/>
        <v>Chennai</v>
      </c>
      <c r="Q115" t="s">
        <v>19</v>
      </c>
      <c r="R115" t="str">
        <f t="shared" si="20"/>
        <v>Furniture</v>
      </c>
      <c r="S115" t="s">
        <v>88</v>
      </c>
      <c r="T115" t="str">
        <f t="shared" si="21"/>
        <v>Tables</v>
      </c>
      <c r="U115" t="s">
        <v>708</v>
      </c>
      <c r="V115" t="str">
        <f t="shared" si="22"/>
        <v>Classic Tables 752</v>
      </c>
      <c r="W115" t="s">
        <v>108</v>
      </c>
      <c r="X115" t="str">
        <f t="shared" si="23"/>
        <v>Standard Class</v>
      </c>
      <c r="Y115">
        <v>0</v>
      </c>
      <c r="Z115">
        <v>3</v>
      </c>
      <c r="AA115">
        <v>1089.15</v>
      </c>
      <c r="AB115">
        <v>0.25</v>
      </c>
      <c r="AC115">
        <f t="shared" si="24"/>
        <v>0.25</v>
      </c>
      <c r="AD115">
        <v>2450.59</v>
      </c>
      <c r="AE115">
        <f t="shared" si="25"/>
        <v>2450.5875</v>
      </c>
      <c r="AF115">
        <v>1639.89</v>
      </c>
      <c r="AG115">
        <v>810.7</v>
      </c>
      <c r="AH115">
        <f t="shared" si="26"/>
        <v>810.6975</v>
      </c>
      <c r="AI115">
        <f t="shared" si="27"/>
        <v>0.330817610062893</v>
      </c>
      <c r="AJ115" t="s">
        <v>77</v>
      </c>
      <c r="AK115" t="str">
        <f t="shared" si="28"/>
        <v>Paid</v>
      </c>
      <c r="AL115" t="s">
        <v>78</v>
      </c>
      <c r="AM115" t="str">
        <f t="shared" si="29"/>
        <v>Completed</v>
      </c>
      <c r="AN115">
        <v>2</v>
      </c>
      <c r="AO115">
        <v>2024</v>
      </c>
      <c r="AP115" t="s">
        <v>79</v>
      </c>
    </row>
    <row r="116" spans="1:42">
      <c r="A116" t="s">
        <v>709</v>
      </c>
      <c r="B116" s="3" t="s">
        <v>710</v>
      </c>
      <c r="C116" s="3">
        <v>45560</v>
      </c>
      <c r="D116" t="s">
        <v>711</v>
      </c>
      <c r="E116" s="3">
        <v>45565</v>
      </c>
      <c r="F116" t="s">
        <v>712</v>
      </c>
      <c r="G116" t="s">
        <v>132</v>
      </c>
      <c r="H116" t="str">
        <f t="shared" si="15"/>
        <v>Neha Gupta</v>
      </c>
      <c r="I116" t="s">
        <v>85</v>
      </c>
      <c r="J116" t="str">
        <f t="shared" si="16"/>
        <v>Small Business</v>
      </c>
      <c r="K116" t="s">
        <v>8</v>
      </c>
      <c r="L116" t="str">
        <f t="shared" si="17"/>
        <v>North</v>
      </c>
      <c r="M116" t="s">
        <v>72</v>
      </c>
      <c r="N116" t="str">
        <f t="shared" si="18"/>
        <v>Rajasthan</v>
      </c>
      <c r="O116" t="s">
        <v>73</v>
      </c>
      <c r="P116" t="str">
        <f t="shared" si="19"/>
        <v>Jaipur</v>
      </c>
      <c r="Q116" t="s">
        <v>24</v>
      </c>
      <c r="R116" t="str">
        <f t="shared" si="20"/>
        <v>Technology</v>
      </c>
      <c r="S116" t="s">
        <v>126</v>
      </c>
      <c r="T116" t="str">
        <f t="shared" si="21"/>
        <v>Accessories</v>
      </c>
      <c r="U116" t="s">
        <v>713</v>
      </c>
      <c r="V116" t="str">
        <f t="shared" si="22"/>
        <v>Eco Accessories 452</v>
      </c>
      <c r="W116" t="s">
        <v>76</v>
      </c>
      <c r="X116" t="str">
        <f t="shared" si="23"/>
        <v>Second Class</v>
      </c>
      <c r="Y116">
        <v>5</v>
      </c>
      <c r="Z116">
        <v>1</v>
      </c>
      <c r="AA116">
        <v>4388.4</v>
      </c>
      <c r="AB116">
        <v>0.1</v>
      </c>
      <c r="AC116">
        <f t="shared" si="24"/>
        <v>0.1</v>
      </c>
      <c r="AD116">
        <v>3949.56</v>
      </c>
      <c r="AE116">
        <f t="shared" si="25"/>
        <v>3949.56</v>
      </c>
      <c r="AF116">
        <v>3186.73</v>
      </c>
      <c r="AG116">
        <v>762.83</v>
      </c>
      <c r="AH116">
        <f t="shared" si="26"/>
        <v>762.83</v>
      </c>
      <c r="AI116">
        <f t="shared" si="27"/>
        <v>0.193143033654382</v>
      </c>
      <c r="AJ116" t="s">
        <v>177</v>
      </c>
      <c r="AK116" t="str">
        <f t="shared" si="28"/>
        <v>Pending</v>
      </c>
      <c r="AL116" t="s">
        <v>118</v>
      </c>
      <c r="AM116" t="str">
        <f t="shared" si="29"/>
        <v>Cancelled</v>
      </c>
      <c r="AN116">
        <v>9</v>
      </c>
      <c r="AO116">
        <v>2024</v>
      </c>
      <c r="AP116" t="s">
        <v>79</v>
      </c>
    </row>
    <row r="117" spans="1:42">
      <c r="A117" t="s">
        <v>714</v>
      </c>
      <c r="B117" s="3" t="s">
        <v>715</v>
      </c>
      <c r="C117" s="3">
        <v>45653</v>
      </c>
      <c r="D117" t="s">
        <v>716</v>
      </c>
      <c r="E117" s="3">
        <v>45658</v>
      </c>
      <c r="F117" t="s">
        <v>717</v>
      </c>
      <c r="G117" t="s">
        <v>411</v>
      </c>
      <c r="H117" t="str">
        <f t="shared" si="15"/>
        <v>Kabir Singh</v>
      </c>
      <c r="I117" t="s">
        <v>147</v>
      </c>
      <c r="J117" t="str">
        <f t="shared" si="16"/>
        <v>Corporate</v>
      </c>
      <c r="K117" t="s">
        <v>10</v>
      </c>
      <c r="L117" t="str">
        <f t="shared" si="17"/>
        <v>South</v>
      </c>
      <c r="M117" t="s">
        <v>382</v>
      </c>
      <c r="N117" t="str">
        <f t="shared" si="18"/>
        <v>Tamil Nadu</v>
      </c>
      <c r="O117" t="s">
        <v>383</v>
      </c>
      <c r="P117" t="str">
        <f t="shared" si="19"/>
        <v>Chennai</v>
      </c>
      <c r="Q117" t="s">
        <v>22</v>
      </c>
      <c r="R117" t="str">
        <f t="shared" si="20"/>
        <v>Office Supplies</v>
      </c>
      <c r="S117" t="s">
        <v>239</v>
      </c>
      <c r="T117" t="str">
        <f t="shared" si="21"/>
        <v>Binders</v>
      </c>
      <c r="U117" t="s">
        <v>718</v>
      </c>
      <c r="V117" t="str">
        <f t="shared" si="22"/>
        <v>Classic Binders 203</v>
      </c>
      <c r="W117" t="s">
        <v>90</v>
      </c>
      <c r="X117" t="str">
        <f t="shared" si="23"/>
        <v>Same Day</v>
      </c>
      <c r="Y117">
        <v>5</v>
      </c>
      <c r="Z117">
        <v>2</v>
      </c>
      <c r="AA117">
        <v>446.34</v>
      </c>
      <c r="AB117">
        <v>0.15</v>
      </c>
      <c r="AC117">
        <f t="shared" si="24"/>
        <v>0.15</v>
      </c>
      <c r="AD117">
        <v>758.78</v>
      </c>
      <c r="AE117">
        <f t="shared" si="25"/>
        <v>758.778</v>
      </c>
      <c r="AF117">
        <v>490.74</v>
      </c>
      <c r="AG117">
        <v>268.04</v>
      </c>
      <c r="AH117">
        <f t="shared" si="26"/>
        <v>268.038</v>
      </c>
      <c r="AI117">
        <f t="shared" si="27"/>
        <v>0.353249567067047</v>
      </c>
      <c r="AJ117" t="s">
        <v>77</v>
      </c>
      <c r="AK117" t="str">
        <f t="shared" si="28"/>
        <v>Paid</v>
      </c>
      <c r="AL117" t="s">
        <v>118</v>
      </c>
      <c r="AM117" t="str">
        <f t="shared" si="29"/>
        <v>Cancelled</v>
      </c>
      <c r="AN117">
        <v>12</v>
      </c>
      <c r="AO117">
        <v>2024</v>
      </c>
      <c r="AP117" t="s">
        <v>79</v>
      </c>
    </row>
    <row r="118" spans="1:42">
      <c r="A118" t="s">
        <v>719</v>
      </c>
      <c r="B118" s="3" t="s">
        <v>720</v>
      </c>
      <c r="C118" s="3">
        <v>45703</v>
      </c>
      <c r="D118" t="s">
        <v>721</v>
      </c>
      <c r="E118" s="3">
        <v>45707</v>
      </c>
      <c r="F118" t="s">
        <v>722</v>
      </c>
      <c r="G118" t="s">
        <v>113</v>
      </c>
      <c r="H118" t="str">
        <f t="shared" si="15"/>
        <v>Ananya Rao</v>
      </c>
      <c r="I118" t="s">
        <v>85</v>
      </c>
      <c r="J118" t="str">
        <f t="shared" si="16"/>
        <v>Small Business</v>
      </c>
      <c r="L118" t="str">
        <f t="shared" si="17"/>
        <v/>
      </c>
      <c r="M118" t="s">
        <v>124</v>
      </c>
      <c r="N118" t="str">
        <f t="shared" si="18"/>
        <v>Madhya Pradesh</v>
      </c>
      <c r="O118" t="s">
        <v>125</v>
      </c>
      <c r="P118" t="str">
        <f t="shared" si="19"/>
        <v>Indore</v>
      </c>
      <c r="Q118" t="s">
        <v>22</v>
      </c>
      <c r="R118" t="str">
        <f t="shared" si="20"/>
        <v>Office Supplies</v>
      </c>
      <c r="S118" t="s">
        <v>239</v>
      </c>
      <c r="T118" t="str">
        <f t="shared" si="21"/>
        <v>Binders</v>
      </c>
      <c r="U118" t="s">
        <v>723</v>
      </c>
      <c r="V118" t="str">
        <f t="shared" si="22"/>
        <v>Basic Binders 859</v>
      </c>
      <c r="W118" t="s">
        <v>98</v>
      </c>
      <c r="X118" t="str">
        <f t="shared" si="23"/>
        <v>First Class</v>
      </c>
      <c r="Y118">
        <v>4</v>
      </c>
      <c r="Z118">
        <v>9</v>
      </c>
      <c r="AA118">
        <v>531.99</v>
      </c>
      <c r="AB118">
        <v>0.25</v>
      </c>
      <c r="AC118">
        <f t="shared" si="24"/>
        <v>0.25</v>
      </c>
      <c r="AD118">
        <v>3590.93</v>
      </c>
      <c r="AE118">
        <f t="shared" si="25"/>
        <v>3590.9325</v>
      </c>
      <c r="AF118">
        <v>3061.39</v>
      </c>
      <c r="AG118">
        <v>529.54</v>
      </c>
      <c r="AH118">
        <f t="shared" si="26"/>
        <v>529.5425</v>
      </c>
      <c r="AI118">
        <f t="shared" si="27"/>
        <v>0.147466570312864</v>
      </c>
      <c r="AJ118" t="s">
        <v>241</v>
      </c>
      <c r="AK118" t="str">
        <f t="shared" si="28"/>
        <v>Failed</v>
      </c>
      <c r="AL118" t="s">
        <v>118</v>
      </c>
      <c r="AM118" t="str">
        <f t="shared" si="29"/>
        <v>Cancelled</v>
      </c>
      <c r="AN118">
        <v>2</v>
      </c>
      <c r="AO118">
        <v>2025</v>
      </c>
      <c r="AP118" t="s">
        <v>79</v>
      </c>
    </row>
    <row r="119" spans="1:42">
      <c r="A119" t="s">
        <v>724</v>
      </c>
      <c r="B119" s="3" t="s">
        <v>725</v>
      </c>
      <c r="C119" s="3">
        <v>45337</v>
      </c>
      <c r="D119" t="s">
        <v>726</v>
      </c>
      <c r="E119" s="3">
        <v>45339</v>
      </c>
      <c r="F119" t="s">
        <v>727</v>
      </c>
      <c r="G119" t="s">
        <v>84</v>
      </c>
      <c r="H119" t="str">
        <f t="shared" si="15"/>
        <v>Mira Das</v>
      </c>
      <c r="I119" t="s">
        <v>154</v>
      </c>
      <c r="J119" t="str">
        <f t="shared" si="16"/>
        <v>Home Office</v>
      </c>
      <c r="K119" t="s">
        <v>10</v>
      </c>
      <c r="L119" t="str">
        <f t="shared" si="17"/>
        <v>South</v>
      </c>
      <c r="M119" t="s">
        <v>382</v>
      </c>
      <c r="N119" t="str">
        <f t="shared" si="18"/>
        <v>Tamil Nadu</v>
      </c>
      <c r="O119" t="s">
        <v>383</v>
      </c>
      <c r="P119" t="str">
        <f t="shared" si="19"/>
        <v>Chennai</v>
      </c>
      <c r="Q119" t="s">
        <v>24</v>
      </c>
      <c r="R119" t="str">
        <f t="shared" si="20"/>
        <v>Technology</v>
      </c>
      <c r="S119" t="s">
        <v>427</v>
      </c>
      <c r="T119" t="str">
        <f t="shared" si="21"/>
        <v>Machines</v>
      </c>
      <c r="U119" t="s">
        <v>728</v>
      </c>
      <c r="V119" t="str">
        <f t="shared" si="22"/>
        <v>Elite Machines 705</v>
      </c>
      <c r="W119" t="s">
        <v>108</v>
      </c>
      <c r="X119" t="str">
        <f t="shared" si="23"/>
        <v>Standard Class</v>
      </c>
      <c r="Y119">
        <v>2</v>
      </c>
      <c r="Z119">
        <v>9</v>
      </c>
      <c r="AA119">
        <v>3324.55</v>
      </c>
      <c r="AB119" t="s">
        <v>729</v>
      </c>
      <c r="AC119" t="str">
        <f t="shared" si="24"/>
        <v>70%</v>
      </c>
      <c r="AD119">
        <v>25432.81</v>
      </c>
      <c r="AE119">
        <f t="shared" si="25"/>
        <v>8976.285</v>
      </c>
      <c r="AF119">
        <v>20370.16</v>
      </c>
      <c r="AG119">
        <v>5062.65</v>
      </c>
      <c r="AH119">
        <f t="shared" si="26"/>
        <v>-11393.875</v>
      </c>
      <c r="AI119">
        <f t="shared" si="27"/>
        <v>-1.26933079776322</v>
      </c>
      <c r="AJ119" t="s">
        <v>77</v>
      </c>
      <c r="AK119" t="str">
        <f t="shared" si="28"/>
        <v>Paid</v>
      </c>
      <c r="AL119" t="s">
        <v>78</v>
      </c>
      <c r="AM119" t="str">
        <f t="shared" si="29"/>
        <v>Completed</v>
      </c>
      <c r="AN119">
        <v>2</v>
      </c>
      <c r="AO119">
        <v>2024</v>
      </c>
      <c r="AP119" t="s">
        <v>79</v>
      </c>
    </row>
    <row r="120" spans="1:42">
      <c r="A120" t="s">
        <v>730</v>
      </c>
      <c r="B120" s="3" t="s">
        <v>731</v>
      </c>
      <c r="C120" s="3">
        <v>45453</v>
      </c>
      <c r="D120" t="s">
        <v>732</v>
      </c>
      <c r="E120" s="3">
        <v>45461</v>
      </c>
      <c r="F120" t="s">
        <v>733</v>
      </c>
      <c r="G120" t="s">
        <v>734</v>
      </c>
      <c r="H120" t="str">
        <f t="shared" si="15"/>
        <v>Vikram Iyer</v>
      </c>
      <c r="I120" t="s">
        <v>154</v>
      </c>
      <c r="J120" t="str">
        <f t="shared" si="16"/>
        <v>Home Office</v>
      </c>
      <c r="K120" t="s">
        <v>10</v>
      </c>
      <c r="L120" t="str">
        <f t="shared" si="17"/>
        <v>South</v>
      </c>
      <c r="M120" t="s">
        <v>139</v>
      </c>
      <c r="N120" t="str">
        <f t="shared" si="18"/>
        <v>Andhra Pradesh</v>
      </c>
      <c r="O120" t="s">
        <v>140</v>
      </c>
      <c r="P120" t="str">
        <f t="shared" si="19"/>
        <v>Vijayawada</v>
      </c>
      <c r="Q120" t="s">
        <v>24</v>
      </c>
      <c r="R120" t="str">
        <f t="shared" si="20"/>
        <v>Technology</v>
      </c>
      <c r="S120" t="s">
        <v>133</v>
      </c>
      <c r="T120" t="str">
        <f t="shared" si="21"/>
        <v>Copiers</v>
      </c>
      <c r="U120" t="s">
        <v>735</v>
      </c>
      <c r="V120" t="str">
        <f t="shared" si="22"/>
        <v>Pro Copiers 208</v>
      </c>
      <c r="W120" t="s">
        <v>90</v>
      </c>
      <c r="X120" t="str">
        <f t="shared" si="23"/>
        <v>Same Day</v>
      </c>
      <c r="Y120">
        <v>8</v>
      </c>
      <c r="Z120">
        <v>5</v>
      </c>
      <c r="AA120">
        <v>1580.27</v>
      </c>
      <c r="AB120">
        <v>0.2</v>
      </c>
      <c r="AC120">
        <f t="shared" si="24"/>
        <v>0.2</v>
      </c>
      <c r="AD120">
        <v>6321.08</v>
      </c>
      <c r="AE120">
        <f t="shared" si="25"/>
        <v>6321.08</v>
      </c>
      <c r="AF120">
        <v>4407.22</v>
      </c>
      <c r="AG120">
        <v>1913.86</v>
      </c>
      <c r="AH120">
        <f t="shared" si="26"/>
        <v>1913.86</v>
      </c>
      <c r="AI120">
        <f t="shared" si="27"/>
        <v>0.302774209470534</v>
      </c>
      <c r="AJ120" t="s">
        <v>77</v>
      </c>
      <c r="AK120" t="str">
        <f t="shared" si="28"/>
        <v>Paid</v>
      </c>
      <c r="AL120" t="s">
        <v>78</v>
      </c>
      <c r="AM120" t="str">
        <f t="shared" si="29"/>
        <v>Completed</v>
      </c>
      <c r="AN120">
        <v>6</v>
      </c>
      <c r="AO120">
        <v>2024</v>
      </c>
      <c r="AP120" t="s">
        <v>79</v>
      </c>
    </row>
    <row r="121" spans="1:42">
      <c r="A121" t="s">
        <v>736</v>
      </c>
      <c r="B121" s="3" t="s">
        <v>737</v>
      </c>
      <c r="C121" s="3">
        <v>45455</v>
      </c>
      <c r="D121" t="s">
        <v>738</v>
      </c>
      <c r="E121" s="3">
        <v>45462</v>
      </c>
      <c r="F121" t="s">
        <v>739</v>
      </c>
      <c r="G121" t="s">
        <v>146</v>
      </c>
      <c r="H121" t="str">
        <f t="shared" si="15"/>
        <v>Aditi Sen</v>
      </c>
      <c r="I121" t="s">
        <v>740</v>
      </c>
      <c r="J121" t="str">
        <f t="shared" si="16"/>
        <v>Small Business</v>
      </c>
      <c r="K121" t="s">
        <v>10</v>
      </c>
      <c r="L121" t="str">
        <f t="shared" si="17"/>
        <v>South</v>
      </c>
      <c r="M121" t="s">
        <v>285</v>
      </c>
      <c r="N121" t="str">
        <f t="shared" si="18"/>
        <v>Kerala</v>
      </c>
      <c r="O121" t="s">
        <v>286</v>
      </c>
      <c r="P121" t="str">
        <f t="shared" si="19"/>
        <v>Kochi</v>
      </c>
      <c r="Q121" t="s">
        <v>19</v>
      </c>
      <c r="R121" t="str">
        <f t="shared" si="20"/>
        <v>Furniture</v>
      </c>
      <c r="S121" t="s">
        <v>116</v>
      </c>
      <c r="T121" t="str">
        <f t="shared" si="21"/>
        <v>Chairs</v>
      </c>
      <c r="U121" t="s">
        <v>741</v>
      </c>
      <c r="V121" t="str">
        <f t="shared" si="22"/>
        <v>Elite Chairs 921</v>
      </c>
      <c r="W121" t="s">
        <v>108</v>
      </c>
      <c r="X121" t="str">
        <f t="shared" si="23"/>
        <v>Standard Class</v>
      </c>
      <c r="Y121">
        <v>7</v>
      </c>
      <c r="Z121">
        <v>8</v>
      </c>
      <c r="AA121">
        <v>314.05</v>
      </c>
      <c r="AB121">
        <v>0.25</v>
      </c>
      <c r="AC121">
        <f t="shared" si="24"/>
        <v>0.25</v>
      </c>
      <c r="AD121">
        <v>1884.3</v>
      </c>
      <c r="AE121">
        <f t="shared" si="25"/>
        <v>1884.3</v>
      </c>
      <c r="AF121">
        <v>1517.69</v>
      </c>
      <c r="AG121">
        <v>366.61</v>
      </c>
      <c r="AH121">
        <f t="shared" si="26"/>
        <v>366.61</v>
      </c>
      <c r="AI121">
        <f t="shared" si="27"/>
        <v>0.194560314175025</v>
      </c>
      <c r="AJ121" t="s">
        <v>163</v>
      </c>
      <c r="AK121" t="str">
        <f t="shared" si="28"/>
        <v>Refunded</v>
      </c>
      <c r="AL121" t="s">
        <v>164</v>
      </c>
      <c r="AM121" t="str">
        <f t="shared" si="29"/>
        <v>Returned</v>
      </c>
      <c r="AN121">
        <v>6</v>
      </c>
      <c r="AO121">
        <v>2024</v>
      </c>
      <c r="AP121" t="s">
        <v>79</v>
      </c>
    </row>
    <row r="122" spans="1:42">
      <c r="A122" t="s">
        <v>742</v>
      </c>
      <c r="B122" s="3" t="s">
        <v>549</v>
      </c>
      <c r="C122" s="3">
        <v>45514</v>
      </c>
      <c r="D122" t="s">
        <v>743</v>
      </c>
      <c r="E122" s="3">
        <v>45522</v>
      </c>
      <c r="F122" t="s">
        <v>744</v>
      </c>
      <c r="G122" t="s">
        <v>208</v>
      </c>
      <c r="H122" t="str">
        <f t="shared" si="15"/>
        <v>Sneha Kapoor</v>
      </c>
      <c r="I122" t="s">
        <v>85</v>
      </c>
      <c r="J122" t="str">
        <f t="shared" si="16"/>
        <v>Small Business</v>
      </c>
      <c r="K122" t="s">
        <v>7</v>
      </c>
      <c r="L122" t="str">
        <f t="shared" si="17"/>
        <v>East</v>
      </c>
      <c r="M122" t="s">
        <v>227</v>
      </c>
      <c r="N122" t="str">
        <f t="shared" si="18"/>
        <v>Bihar</v>
      </c>
      <c r="O122" t="s">
        <v>228</v>
      </c>
      <c r="P122" t="str">
        <f t="shared" si="19"/>
        <v>Patna</v>
      </c>
      <c r="Q122" t="s">
        <v>24</v>
      </c>
      <c r="R122" t="str">
        <f t="shared" si="20"/>
        <v>Technology</v>
      </c>
      <c r="S122" t="s">
        <v>265</v>
      </c>
      <c r="T122" t="str">
        <f t="shared" si="21"/>
        <v>Phones</v>
      </c>
      <c r="U122" t="s">
        <v>745</v>
      </c>
      <c r="V122" t="str">
        <f t="shared" si="22"/>
        <v>Prime Phones 540</v>
      </c>
      <c r="W122" t="s">
        <v>108</v>
      </c>
      <c r="X122" t="str">
        <f t="shared" si="23"/>
        <v>Standard Class</v>
      </c>
      <c r="Y122">
        <v>8</v>
      </c>
      <c r="Z122">
        <v>1</v>
      </c>
      <c r="AA122">
        <v>1823.67</v>
      </c>
      <c r="AB122">
        <v>0.2</v>
      </c>
      <c r="AC122">
        <f t="shared" si="24"/>
        <v>0.2</v>
      </c>
      <c r="AD122">
        <v>1458.94</v>
      </c>
      <c r="AE122">
        <f t="shared" si="25"/>
        <v>1458.936</v>
      </c>
      <c r="AF122">
        <v>893.2</v>
      </c>
      <c r="AG122">
        <v>565.74</v>
      </c>
      <c r="AH122">
        <f t="shared" si="26"/>
        <v>565.736</v>
      </c>
      <c r="AI122">
        <f t="shared" si="27"/>
        <v>0.387773007177834</v>
      </c>
      <c r="AJ122" t="s">
        <v>77</v>
      </c>
      <c r="AK122" t="str">
        <f t="shared" si="28"/>
        <v>Paid</v>
      </c>
      <c r="AL122" t="s">
        <v>164</v>
      </c>
      <c r="AM122" t="str">
        <f t="shared" si="29"/>
        <v>Returned</v>
      </c>
      <c r="AN122">
        <v>8</v>
      </c>
      <c r="AO122">
        <v>2024</v>
      </c>
      <c r="AP122" t="s">
        <v>79</v>
      </c>
    </row>
    <row r="123" spans="1:42">
      <c r="A123" t="s">
        <v>746</v>
      </c>
      <c r="B123" s="3" t="s">
        <v>747</v>
      </c>
      <c r="C123" s="3">
        <v>45891</v>
      </c>
      <c r="D123" t="s">
        <v>748</v>
      </c>
      <c r="E123" s="3">
        <v>45895</v>
      </c>
      <c r="F123" t="s">
        <v>749</v>
      </c>
      <c r="G123" t="s">
        <v>411</v>
      </c>
      <c r="H123" t="str">
        <f t="shared" si="15"/>
        <v>Kabir Singh</v>
      </c>
      <c r="I123" t="s">
        <v>750</v>
      </c>
      <c r="J123" t="str">
        <f t="shared" si="16"/>
        <v>Small Business</v>
      </c>
      <c r="K123" t="s">
        <v>10</v>
      </c>
      <c r="L123" t="str">
        <f t="shared" si="17"/>
        <v>South</v>
      </c>
      <c r="M123" t="s">
        <v>139</v>
      </c>
      <c r="N123" t="str">
        <f t="shared" si="18"/>
        <v>Andhra Pradesh</v>
      </c>
      <c r="O123" t="s">
        <v>140</v>
      </c>
      <c r="P123" t="str">
        <f t="shared" si="19"/>
        <v>Vijayawada</v>
      </c>
      <c r="Q123" t="s">
        <v>24</v>
      </c>
      <c r="R123" t="str">
        <f t="shared" si="20"/>
        <v>Technology</v>
      </c>
      <c r="S123" t="s">
        <v>427</v>
      </c>
      <c r="T123" t="str">
        <f t="shared" si="21"/>
        <v>Machines</v>
      </c>
      <c r="U123" t="s">
        <v>751</v>
      </c>
      <c r="V123" t="str">
        <f t="shared" si="22"/>
        <v>Max Machines 948</v>
      </c>
      <c r="W123" t="s">
        <v>76</v>
      </c>
      <c r="X123" t="str">
        <f t="shared" si="23"/>
        <v>Second Class</v>
      </c>
      <c r="Y123">
        <v>4</v>
      </c>
      <c r="Z123">
        <v>5</v>
      </c>
      <c r="AA123">
        <v>3482.92</v>
      </c>
      <c r="AB123">
        <v>0</v>
      </c>
      <c r="AC123">
        <f t="shared" si="24"/>
        <v>0</v>
      </c>
      <c r="AD123">
        <v>17414.6</v>
      </c>
      <c r="AE123">
        <f t="shared" si="25"/>
        <v>17414.6</v>
      </c>
      <c r="AF123">
        <v>11760.91</v>
      </c>
      <c r="AG123">
        <v>5653.69</v>
      </c>
      <c r="AH123">
        <f t="shared" si="26"/>
        <v>5653.69</v>
      </c>
      <c r="AI123">
        <f t="shared" si="27"/>
        <v>0.32465230323981</v>
      </c>
      <c r="AJ123" t="s">
        <v>163</v>
      </c>
      <c r="AK123" t="str">
        <f t="shared" si="28"/>
        <v>Refunded</v>
      </c>
      <c r="AL123" t="s">
        <v>118</v>
      </c>
      <c r="AM123" t="str">
        <f t="shared" si="29"/>
        <v>Cancelled</v>
      </c>
      <c r="AN123">
        <v>8</v>
      </c>
      <c r="AO123">
        <v>2025</v>
      </c>
      <c r="AP123" t="s">
        <v>79</v>
      </c>
    </row>
    <row r="124" spans="1:42">
      <c r="A124" t="s">
        <v>752</v>
      </c>
      <c r="B124" s="3" t="s">
        <v>753</v>
      </c>
      <c r="C124" s="3">
        <v>45626</v>
      </c>
      <c r="D124" t="s">
        <v>754</v>
      </c>
      <c r="E124" s="3">
        <v>45630</v>
      </c>
      <c r="F124" t="s">
        <v>755</v>
      </c>
      <c r="G124" t="s">
        <v>113</v>
      </c>
      <c r="H124" t="str">
        <f t="shared" si="15"/>
        <v>Ananya Rao</v>
      </c>
      <c r="I124" t="s">
        <v>85</v>
      </c>
      <c r="J124" t="str">
        <f t="shared" si="16"/>
        <v>Small Business</v>
      </c>
      <c r="K124" t="s">
        <v>7</v>
      </c>
      <c r="L124" t="str">
        <f t="shared" si="17"/>
        <v>East</v>
      </c>
      <c r="M124" t="s">
        <v>258</v>
      </c>
      <c r="N124" t="str">
        <f t="shared" si="18"/>
        <v>Assam</v>
      </c>
      <c r="O124" t="s">
        <v>259</v>
      </c>
      <c r="P124" t="str">
        <f t="shared" si="19"/>
        <v>Guwahati</v>
      </c>
      <c r="Q124" t="s">
        <v>19</v>
      </c>
      <c r="R124" t="str">
        <f t="shared" si="20"/>
        <v>Furniture</v>
      </c>
      <c r="S124" t="s">
        <v>116</v>
      </c>
      <c r="T124" t="str">
        <f t="shared" si="21"/>
        <v>Chairs</v>
      </c>
      <c r="U124" t="s">
        <v>756</v>
      </c>
      <c r="V124" t="str">
        <f t="shared" si="22"/>
        <v>Max Chairs 786</v>
      </c>
      <c r="W124" t="s">
        <v>76</v>
      </c>
      <c r="X124" t="str">
        <f t="shared" si="23"/>
        <v>Second Class</v>
      </c>
      <c r="Y124">
        <v>4</v>
      </c>
      <c r="Z124">
        <v>3</v>
      </c>
      <c r="AA124">
        <v>170.35</v>
      </c>
      <c r="AB124">
        <v>0</v>
      </c>
      <c r="AC124">
        <f t="shared" si="24"/>
        <v>0</v>
      </c>
      <c r="AD124">
        <v>511.05</v>
      </c>
      <c r="AE124">
        <f t="shared" si="25"/>
        <v>511.05</v>
      </c>
      <c r="AF124">
        <v>367.18</v>
      </c>
      <c r="AG124">
        <v>143.87</v>
      </c>
      <c r="AH124">
        <f t="shared" si="26"/>
        <v>143.87</v>
      </c>
      <c r="AI124">
        <f t="shared" si="27"/>
        <v>0.281518442422463</v>
      </c>
      <c r="AJ124" t="s">
        <v>77</v>
      </c>
      <c r="AK124" t="str">
        <f t="shared" si="28"/>
        <v>Paid</v>
      </c>
      <c r="AL124" t="s">
        <v>78</v>
      </c>
      <c r="AM124" t="str">
        <f t="shared" si="29"/>
        <v>Completed</v>
      </c>
      <c r="AN124">
        <v>11</v>
      </c>
      <c r="AO124">
        <v>2024</v>
      </c>
      <c r="AP124" t="s">
        <v>79</v>
      </c>
    </row>
    <row r="125" spans="1:42">
      <c r="A125" t="s">
        <v>757</v>
      </c>
      <c r="B125" s="3" t="s">
        <v>758</v>
      </c>
      <c r="C125" s="3">
        <v>45436</v>
      </c>
      <c r="D125" t="s">
        <v>759</v>
      </c>
      <c r="E125" s="3">
        <v>45437</v>
      </c>
      <c r="F125" t="s">
        <v>760</v>
      </c>
      <c r="G125" t="s">
        <v>208</v>
      </c>
      <c r="H125" t="str">
        <f t="shared" si="15"/>
        <v>Sneha Kapoor</v>
      </c>
      <c r="I125" t="s">
        <v>85</v>
      </c>
      <c r="J125" t="str">
        <f t="shared" si="16"/>
        <v>Small Business</v>
      </c>
      <c r="K125" t="s">
        <v>761</v>
      </c>
      <c r="L125" t="str">
        <f t="shared" si="17"/>
        <v>North</v>
      </c>
      <c r="M125" t="s">
        <v>194</v>
      </c>
      <c r="N125" t="str">
        <f t="shared" si="18"/>
        <v>Punjab</v>
      </c>
      <c r="O125" t="s">
        <v>195</v>
      </c>
      <c r="P125" t="str">
        <f t="shared" si="19"/>
        <v>Ludhiana</v>
      </c>
      <c r="Q125" t="s">
        <v>24</v>
      </c>
      <c r="R125" t="str">
        <f t="shared" si="20"/>
        <v>Technology</v>
      </c>
      <c r="S125" t="s">
        <v>133</v>
      </c>
      <c r="T125" t="str">
        <f t="shared" si="21"/>
        <v>Copiers</v>
      </c>
      <c r="U125" t="s">
        <v>762</v>
      </c>
      <c r="V125" t="str">
        <f t="shared" si="22"/>
        <v>Max Copiers 970</v>
      </c>
      <c r="W125" t="s">
        <v>90</v>
      </c>
      <c r="X125" t="str">
        <f t="shared" si="23"/>
        <v>Same Day</v>
      </c>
      <c r="Y125">
        <v>1</v>
      </c>
      <c r="Z125">
        <v>1</v>
      </c>
      <c r="AA125">
        <v>634.13</v>
      </c>
      <c r="AB125">
        <v>0</v>
      </c>
      <c r="AC125">
        <f t="shared" si="24"/>
        <v>0</v>
      </c>
      <c r="AD125">
        <v>634.13</v>
      </c>
      <c r="AE125">
        <f t="shared" si="25"/>
        <v>634.13</v>
      </c>
      <c r="AF125">
        <v>453.35</v>
      </c>
      <c r="AG125">
        <v>180.78</v>
      </c>
      <c r="AH125">
        <f t="shared" si="26"/>
        <v>180.78</v>
      </c>
      <c r="AI125">
        <f t="shared" si="27"/>
        <v>0.28508350022866</v>
      </c>
      <c r="AJ125" t="s">
        <v>163</v>
      </c>
      <c r="AK125" t="str">
        <f t="shared" si="28"/>
        <v>Refunded</v>
      </c>
      <c r="AL125" t="s">
        <v>118</v>
      </c>
      <c r="AM125" t="str">
        <f t="shared" si="29"/>
        <v>Cancelled</v>
      </c>
      <c r="AN125">
        <v>5</v>
      </c>
      <c r="AO125">
        <v>2024</v>
      </c>
      <c r="AP125" t="s">
        <v>79</v>
      </c>
    </row>
    <row r="126" spans="1:42">
      <c r="A126" t="s">
        <v>763</v>
      </c>
      <c r="B126" s="3" t="s">
        <v>67</v>
      </c>
      <c r="C126" s="3">
        <v>45494</v>
      </c>
      <c r="D126" t="s">
        <v>764</v>
      </c>
      <c r="E126" s="3">
        <v>45497</v>
      </c>
      <c r="F126" t="s">
        <v>765</v>
      </c>
      <c r="G126" t="s">
        <v>95</v>
      </c>
      <c r="H126" t="str">
        <f t="shared" si="15"/>
        <v>Isha Nair</v>
      </c>
      <c r="I126" t="s">
        <v>147</v>
      </c>
      <c r="J126" t="str">
        <f t="shared" si="16"/>
        <v>Corporate</v>
      </c>
      <c r="K126" t="s">
        <v>10</v>
      </c>
      <c r="L126" t="str">
        <f t="shared" si="17"/>
        <v>South</v>
      </c>
      <c r="M126" t="s">
        <v>272</v>
      </c>
      <c r="N126" t="str">
        <f t="shared" si="18"/>
        <v>Karnataka</v>
      </c>
      <c r="O126" t="s">
        <v>273</v>
      </c>
      <c r="P126" t="str">
        <f t="shared" si="19"/>
        <v>Bengaluru</v>
      </c>
      <c r="Q126" t="s">
        <v>24</v>
      </c>
      <c r="R126" t="str">
        <f t="shared" si="20"/>
        <v>Technology</v>
      </c>
      <c r="S126" t="s">
        <v>133</v>
      </c>
      <c r="T126" t="str">
        <f t="shared" si="21"/>
        <v>Copiers</v>
      </c>
      <c r="U126" t="s">
        <v>766</v>
      </c>
      <c r="V126" t="str">
        <f t="shared" si="22"/>
        <v>Pro Copiers 769</v>
      </c>
      <c r="W126" t="s">
        <v>108</v>
      </c>
      <c r="X126" t="str">
        <f t="shared" si="23"/>
        <v>Standard Class</v>
      </c>
      <c r="Y126">
        <v>3</v>
      </c>
      <c r="Z126">
        <v>9</v>
      </c>
      <c r="AA126">
        <v>465.06</v>
      </c>
      <c r="AB126">
        <v>-0.15</v>
      </c>
      <c r="AC126">
        <f t="shared" si="24"/>
        <v>0</v>
      </c>
      <c r="AD126">
        <v>4185.54</v>
      </c>
      <c r="AE126">
        <f t="shared" si="25"/>
        <v>4185.54</v>
      </c>
      <c r="AF126">
        <v>3443.74</v>
      </c>
      <c r="AG126">
        <v>741.8</v>
      </c>
      <c r="AH126">
        <f t="shared" si="26"/>
        <v>741.8</v>
      </c>
      <c r="AI126">
        <f t="shared" si="27"/>
        <v>0.177229222513702</v>
      </c>
      <c r="AJ126" t="s">
        <v>77</v>
      </c>
      <c r="AK126" t="str">
        <f t="shared" si="28"/>
        <v>Paid</v>
      </c>
      <c r="AL126" t="s">
        <v>767</v>
      </c>
      <c r="AM126" t="str">
        <f t="shared" si="29"/>
        <v>Completed</v>
      </c>
      <c r="AN126">
        <v>7</v>
      </c>
      <c r="AO126">
        <v>2024</v>
      </c>
      <c r="AP126" t="s">
        <v>222</v>
      </c>
    </row>
    <row r="127" spans="1:42">
      <c r="A127" t="s">
        <v>768</v>
      </c>
      <c r="B127" s="3" t="s">
        <v>769</v>
      </c>
      <c r="C127" s="3">
        <v>45855</v>
      </c>
      <c r="D127" t="s">
        <v>770</v>
      </c>
      <c r="E127" s="3">
        <v>45856</v>
      </c>
      <c r="F127" t="s">
        <v>771</v>
      </c>
      <c r="G127" t="s">
        <v>132</v>
      </c>
      <c r="H127" t="str">
        <f t="shared" si="15"/>
        <v>Neha Gupta</v>
      </c>
      <c r="I127" t="s">
        <v>85</v>
      </c>
      <c r="J127" t="str">
        <f t="shared" si="16"/>
        <v>Small Business</v>
      </c>
      <c r="K127" t="s">
        <v>11</v>
      </c>
      <c r="L127" t="str">
        <f t="shared" si="17"/>
        <v>West</v>
      </c>
      <c r="M127" t="s">
        <v>72</v>
      </c>
      <c r="N127" t="str">
        <f t="shared" si="18"/>
        <v>Rajasthan</v>
      </c>
      <c r="O127" t="s">
        <v>175</v>
      </c>
      <c r="P127" t="str">
        <f t="shared" si="19"/>
        <v>Udaipur</v>
      </c>
      <c r="Q127" t="s">
        <v>19</v>
      </c>
      <c r="R127" t="str">
        <f t="shared" si="20"/>
        <v>Furniture</v>
      </c>
      <c r="S127" t="s">
        <v>88</v>
      </c>
      <c r="T127" t="str">
        <f t="shared" si="21"/>
        <v>Tables</v>
      </c>
      <c r="U127" t="s">
        <v>772</v>
      </c>
      <c r="V127" t="str">
        <f t="shared" si="22"/>
        <v>Basic Tables 753</v>
      </c>
      <c r="W127" t="s">
        <v>90</v>
      </c>
      <c r="X127" t="str">
        <f t="shared" si="23"/>
        <v>Same Day</v>
      </c>
      <c r="Y127">
        <v>1</v>
      </c>
      <c r="Z127">
        <v>6</v>
      </c>
      <c r="AA127">
        <v>3235.27</v>
      </c>
      <c r="AB127">
        <v>0.25</v>
      </c>
      <c r="AC127">
        <f t="shared" si="24"/>
        <v>0.25</v>
      </c>
      <c r="AD127">
        <v>14558.72</v>
      </c>
      <c r="AE127">
        <f t="shared" si="25"/>
        <v>14558.715</v>
      </c>
      <c r="AF127">
        <v>9591.48</v>
      </c>
      <c r="AG127">
        <v>4967.24</v>
      </c>
      <c r="AH127">
        <f t="shared" si="26"/>
        <v>4967.235</v>
      </c>
      <c r="AI127">
        <f t="shared" si="27"/>
        <v>0.341186361571059</v>
      </c>
      <c r="AJ127" t="s">
        <v>163</v>
      </c>
      <c r="AK127" t="str">
        <f t="shared" si="28"/>
        <v>Refunded</v>
      </c>
      <c r="AL127" t="s">
        <v>164</v>
      </c>
      <c r="AM127" t="str">
        <f t="shared" si="29"/>
        <v>Returned</v>
      </c>
      <c r="AN127">
        <v>7</v>
      </c>
      <c r="AO127">
        <v>2025</v>
      </c>
      <c r="AP127" t="s">
        <v>79</v>
      </c>
    </row>
    <row r="128" spans="1:42">
      <c r="A128" t="s">
        <v>773</v>
      </c>
      <c r="B128" s="3" t="s">
        <v>774</v>
      </c>
      <c r="C128" s="3">
        <v>45924</v>
      </c>
      <c r="D128" t="s">
        <v>775</v>
      </c>
      <c r="E128" s="3">
        <v>45926</v>
      </c>
      <c r="F128" t="s">
        <v>776</v>
      </c>
      <c r="G128" t="s">
        <v>182</v>
      </c>
      <c r="H128" t="str">
        <f t="shared" si="15"/>
        <v>Priya Menon</v>
      </c>
      <c r="I128" t="s">
        <v>147</v>
      </c>
      <c r="J128" t="str">
        <f t="shared" si="16"/>
        <v>Corporate</v>
      </c>
      <c r="K128" t="s">
        <v>8</v>
      </c>
      <c r="L128" t="str">
        <f t="shared" si="17"/>
        <v>North</v>
      </c>
      <c r="M128" t="s">
        <v>552</v>
      </c>
      <c r="N128" t="str">
        <f t="shared" si="18"/>
        <v>Delhi</v>
      </c>
      <c r="O128" t="s">
        <v>553</v>
      </c>
      <c r="P128" t="str">
        <f t="shared" si="19"/>
        <v>New Delhi</v>
      </c>
      <c r="Q128" t="s">
        <v>24</v>
      </c>
      <c r="R128" t="str">
        <f t="shared" si="20"/>
        <v>Technology</v>
      </c>
      <c r="S128" t="s">
        <v>133</v>
      </c>
      <c r="T128" t="str">
        <f t="shared" si="21"/>
        <v>Copiers</v>
      </c>
      <c r="U128" t="s">
        <v>777</v>
      </c>
      <c r="V128" t="str">
        <f t="shared" si="22"/>
        <v>Prime Copiers 651</v>
      </c>
      <c r="W128" t="s">
        <v>108</v>
      </c>
      <c r="X128" t="str">
        <f t="shared" si="23"/>
        <v>Standard Class</v>
      </c>
      <c r="Y128">
        <v>2</v>
      </c>
      <c r="Z128">
        <v>3</v>
      </c>
      <c r="AA128">
        <v>1593.86</v>
      </c>
      <c r="AB128">
        <v>0.1</v>
      </c>
      <c r="AC128">
        <f t="shared" si="24"/>
        <v>0.1</v>
      </c>
      <c r="AD128">
        <v>4303.42</v>
      </c>
      <c r="AE128">
        <f t="shared" si="25"/>
        <v>4303.422</v>
      </c>
      <c r="AF128">
        <v>2568.57</v>
      </c>
      <c r="AG128">
        <v>1734.85</v>
      </c>
      <c r="AH128">
        <f t="shared" si="26"/>
        <v>1734.852</v>
      </c>
      <c r="AI128">
        <f t="shared" si="27"/>
        <v>0.403133134514812</v>
      </c>
      <c r="AJ128" t="s">
        <v>77</v>
      </c>
      <c r="AK128" t="str">
        <f t="shared" si="28"/>
        <v>Paid</v>
      </c>
      <c r="AL128" t="s">
        <v>78</v>
      </c>
      <c r="AM128" t="str">
        <f t="shared" si="29"/>
        <v>Completed</v>
      </c>
      <c r="AN128">
        <v>9</v>
      </c>
      <c r="AO128">
        <v>2025</v>
      </c>
      <c r="AP128" t="s">
        <v>79</v>
      </c>
    </row>
    <row r="129" spans="1:42">
      <c r="A129" t="s">
        <v>778</v>
      </c>
      <c r="B129" s="3" t="s">
        <v>232</v>
      </c>
      <c r="C129" s="3">
        <v>45687</v>
      </c>
      <c r="D129" t="s">
        <v>779</v>
      </c>
      <c r="E129" s="3">
        <v>45683</v>
      </c>
      <c r="F129" t="s">
        <v>780</v>
      </c>
      <c r="G129" t="s">
        <v>182</v>
      </c>
      <c r="H129" t="str">
        <f t="shared" si="15"/>
        <v>Priya Menon</v>
      </c>
      <c r="I129" t="s">
        <v>147</v>
      </c>
      <c r="J129" t="str">
        <f t="shared" si="16"/>
        <v>Corporate</v>
      </c>
      <c r="K129" t="s">
        <v>11</v>
      </c>
      <c r="L129" t="str">
        <f t="shared" si="17"/>
        <v>West</v>
      </c>
      <c r="M129" t="s">
        <v>124</v>
      </c>
      <c r="N129" t="str">
        <f t="shared" si="18"/>
        <v>Madhya Pradesh</v>
      </c>
      <c r="O129" t="s">
        <v>125</v>
      </c>
      <c r="P129" t="str">
        <f t="shared" si="19"/>
        <v>Indore</v>
      </c>
      <c r="Q129" t="s">
        <v>22</v>
      </c>
      <c r="R129" t="str">
        <f t="shared" si="20"/>
        <v>Office Supplies</v>
      </c>
      <c r="S129" t="s">
        <v>196</v>
      </c>
      <c r="T129" t="str">
        <f t="shared" si="21"/>
        <v>Storage</v>
      </c>
      <c r="U129" t="s">
        <v>781</v>
      </c>
      <c r="V129" t="str">
        <f t="shared" si="22"/>
        <v>Basic Storage 321</v>
      </c>
      <c r="W129" t="s">
        <v>76</v>
      </c>
      <c r="X129" t="str">
        <f t="shared" si="23"/>
        <v>Second Class</v>
      </c>
      <c r="Y129">
        <v>-4</v>
      </c>
      <c r="Z129">
        <v>2</v>
      </c>
      <c r="AA129">
        <v>3039.3</v>
      </c>
      <c r="AB129">
        <v>0.05</v>
      </c>
      <c r="AC129">
        <f t="shared" si="24"/>
        <v>0.05</v>
      </c>
      <c r="AD129">
        <v>5774.67</v>
      </c>
      <c r="AE129">
        <f t="shared" si="25"/>
        <v>5774.67</v>
      </c>
      <c r="AF129">
        <v>3518.36</v>
      </c>
      <c r="AG129">
        <v>2256.31</v>
      </c>
      <c r="AH129">
        <f t="shared" si="26"/>
        <v>2256.31</v>
      </c>
      <c r="AI129">
        <f t="shared" si="27"/>
        <v>0.390725357466314</v>
      </c>
      <c r="AJ129" t="s">
        <v>77</v>
      </c>
      <c r="AK129" t="str">
        <f t="shared" si="28"/>
        <v>Paid</v>
      </c>
      <c r="AL129" t="s">
        <v>78</v>
      </c>
      <c r="AM129" t="str">
        <f t="shared" si="29"/>
        <v>Completed</v>
      </c>
      <c r="AN129">
        <v>1</v>
      </c>
      <c r="AO129">
        <v>2025</v>
      </c>
      <c r="AP129" t="s">
        <v>253</v>
      </c>
    </row>
    <row r="130" spans="1:42">
      <c r="A130" t="s">
        <v>782</v>
      </c>
      <c r="B130" s="3" t="s">
        <v>783</v>
      </c>
      <c r="C130" s="3">
        <v>45639</v>
      </c>
      <c r="D130" t="s">
        <v>784</v>
      </c>
      <c r="E130" s="3">
        <v>45642</v>
      </c>
      <c r="F130" t="s">
        <v>785</v>
      </c>
      <c r="G130" t="s">
        <v>132</v>
      </c>
      <c r="H130" t="str">
        <f t="shared" ref="H130:H193" si="30">PROPER(TRIM(G130))</f>
        <v>Neha Gupta</v>
      </c>
      <c r="I130" t="s">
        <v>85</v>
      </c>
      <c r="J130" t="str">
        <f t="shared" ref="J130:J193" si="31">PROPER(TRIM(I130))</f>
        <v>Small Business</v>
      </c>
      <c r="K130" t="s">
        <v>7</v>
      </c>
      <c r="L130" t="str">
        <f t="shared" ref="L130:L193" si="32">PROPER(TRIM(K130))</f>
        <v>East</v>
      </c>
      <c r="M130" t="s">
        <v>86</v>
      </c>
      <c r="N130" t="str">
        <f t="shared" ref="N130:N193" si="33">PROPER(TRIM(M130))</f>
        <v>Odisha</v>
      </c>
      <c r="O130" t="s">
        <v>87</v>
      </c>
      <c r="P130" t="str">
        <f t="shared" ref="P130:P193" si="34">PROPER(TRIM(O130))</f>
        <v>Bhubaneswar</v>
      </c>
      <c r="Q130" t="s">
        <v>19</v>
      </c>
      <c r="R130" t="str">
        <f t="shared" ref="R130:R193" si="35">PROPER(TRIM(Q130))</f>
        <v>Furniture</v>
      </c>
      <c r="S130" t="s">
        <v>106</v>
      </c>
      <c r="T130" t="str">
        <f t="shared" ref="T130:T193" si="36">PROPER(TRIM(S130))</f>
        <v>Furnishings</v>
      </c>
      <c r="U130" t="s">
        <v>786</v>
      </c>
      <c r="V130" t="str">
        <f t="shared" ref="V130:V193" si="37">PROPER(TRIM(U130))</f>
        <v>Prime Furnishings 710</v>
      </c>
      <c r="W130" t="s">
        <v>108</v>
      </c>
      <c r="X130" t="str">
        <f t="shared" ref="X130:X193" si="38">PROPER(TRIM(W130))</f>
        <v>Standard Class</v>
      </c>
      <c r="Y130">
        <v>3</v>
      </c>
      <c r="Z130">
        <v>5</v>
      </c>
      <c r="AA130">
        <v>923.45</v>
      </c>
      <c r="AB130">
        <v>0.05</v>
      </c>
      <c r="AC130">
        <f t="shared" ref="AC130:AC193" si="39">IF(OR(AB130="",AB130&lt;0),0,AB130)</f>
        <v>0.05</v>
      </c>
      <c r="AD130">
        <v>4386.39</v>
      </c>
      <c r="AE130">
        <f t="shared" ref="AE130:AE193" si="40">Z130*AA130*(1-AC130)</f>
        <v>4386.3875</v>
      </c>
      <c r="AF130">
        <v>3366.88</v>
      </c>
      <c r="AG130">
        <v>1019.51</v>
      </c>
      <c r="AH130">
        <f t="shared" ref="AH130:AH193" si="41">AE130-AF130</f>
        <v>1019.5075</v>
      </c>
      <c r="AI130">
        <f t="shared" ref="AI130:AI193" si="42">AH130/AE130</f>
        <v>0.232425315820821</v>
      </c>
      <c r="AJ130" t="s">
        <v>77</v>
      </c>
      <c r="AK130" t="str">
        <f t="shared" ref="AK130:AK193" si="43">PROPER(TRIM(AJ130))</f>
        <v>Paid</v>
      </c>
      <c r="AL130" t="s">
        <v>164</v>
      </c>
      <c r="AM130" t="str">
        <f t="shared" ref="AM130:AM193" si="44">PROPER(TRIM(AL130))</f>
        <v>Returned</v>
      </c>
      <c r="AN130">
        <v>12</v>
      </c>
      <c r="AO130">
        <v>2024</v>
      </c>
      <c r="AP130" t="s">
        <v>79</v>
      </c>
    </row>
    <row r="131" spans="1:42">
      <c r="A131" t="s">
        <v>787</v>
      </c>
      <c r="B131" s="3" t="s">
        <v>451</v>
      </c>
      <c r="C131" s="3">
        <v>45492</v>
      </c>
      <c r="D131" t="s">
        <v>788</v>
      </c>
      <c r="E131" s="3">
        <v>45498</v>
      </c>
      <c r="F131" t="s">
        <v>789</v>
      </c>
      <c r="G131" t="s">
        <v>95</v>
      </c>
      <c r="H131" t="str">
        <f t="shared" si="30"/>
        <v>Isha Nair</v>
      </c>
      <c r="I131" t="s">
        <v>85</v>
      </c>
      <c r="J131" t="str">
        <f t="shared" si="31"/>
        <v>Small Business</v>
      </c>
      <c r="K131" t="s">
        <v>11</v>
      </c>
      <c r="L131" t="str">
        <f t="shared" si="32"/>
        <v>West</v>
      </c>
      <c r="M131" t="s">
        <v>292</v>
      </c>
      <c r="N131" t="str">
        <f t="shared" si="33"/>
        <v>Goa</v>
      </c>
      <c r="O131" t="s">
        <v>293</v>
      </c>
      <c r="P131" t="str">
        <f t="shared" si="34"/>
        <v>Panaji</v>
      </c>
      <c r="Q131" t="s">
        <v>22</v>
      </c>
      <c r="R131" t="str">
        <f t="shared" si="35"/>
        <v>Office Supplies</v>
      </c>
      <c r="S131" t="s">
        <v>239</v>
      </c>
      <c r="T131" t="str">
        <f t="shared" si="36"/>
        <v>Binders</v>
      </c>
      <c r="U131" t="s">
        <v>790</v>
      </c>
      <c r="V131" t="str">
        <f t="shared" si="37"/>
        <v>Elite Binders 723</v>
      </c>
      <c r="W131" t="s">
        <v>108</v>
      </c>
      <c r="X131" t="str">
        <f t="shared" si="38"/>
        <v>Standard Class</v>
      </c>
      <c r="Y131">
        <v>6</v>
      </c>
      <c r="Z131">
        <v>7</v>
      </c>
      <c r="AA131">
        <v>2741.29</v>
      </c>
      <c r="AB131">
        <v>0.05</v>
      </c>
      <c r="AC131">
        <f t="shared" si="39"/>
        <v>0.05</v>
      </c>
      <c r="AD131">
        <v>18229.58</v>
      </c>
      <c r="AE131">
        <f t="shared" si="40"/>
        <v>18229.5785</v>
      </c>
      <c r="AF131">
        <v>15139.15</v>
      </c>
      <c r="AG131">
        <v>3090.43</v>
      </c>
      <c r="AH131">
        <f t="shared" si="41"/>
        <v>3090.4285</v>
      </c>
      <c r="AI131">
        <f t="shared" si="42"/>
        <v>0.169528247732113</v>
      </c>
      <c r="AJ131" t="s">
        <v>77</v>
      </c>
      <c r="AK131" t="str">
        <f t="shared" si="43"/>
        <v>Paid</v>
      </c>
      <c r="AL131" t="s">
        <v>78</v>
      </c>
      <c r="AM131" t="str">
        <f t="shared" si="44"/>
        <v>Completed</v>
      </c>
      <c r="AN131">
        <v>7</v>
      </c>
      <c r="AO131">
        <v>2024</v>
      </c>
      <c r="AP131" t="s">
        <v>79</v>
      </c>
    </row>
    <row r="132" spans="1:42">
      <c r="A132" t="s">
        <v>791</v>
      </c>
      <c r="B132" s="3" t="s">
        <v>792</v>
      </c>
      <c r="C132" s="3">
        <v>45318</v>
      </c>
      <c r="D132" t="s">
        <v>793</v>
      </c>
      <c r="E132" s="3">
        <v>45324</v>
      </c>
      <c r="F132" t="s">
        <v>794</v>
      </c>
      <c r="G132" t="s">
        <v>103</v>
      </c>
      <c r="H132" t="str">
        <f t="shared" si="30"/>
        <v>Arjun Bose</v>
      </c>
      <c r="I132" t="s">
        <v>71</v>
      </c>
      <c r="J132" t="str">
        <f t="shared" si="31"/>
        <v>Consumer</v>
      </c>
      <c r="K132" t="s">
        <v>11</v>
      </c>
      <c r="L132" t="str">
        <f t="shared" si="32"/>
        <v>West</v>
      </c>
      <c r="M132" t="s">
        <v>278</v>
      </c>
      <c r="N132" t="str">
        <f t="shared" si="33"/>
        <v>Gujarat</v>
      </c>
      <c r="O132" t="s">
        <v>279</v>
      </c>
      <c r="P132" t="str">
        <f t="shared" si="34"/>
        <v>Ahmedabad</v>
      </c>
      <c r="Q132" t="s">
        <v>22</v>
      </c>
      <c r="R132" t="str">
        <f t="shared" si="35"/>
        <v>Office Supplies</v>
      </c>
      <c r="S132" t="s">
        <v>148</v>
      </c>
      <c r="T132" t="str">
        <f t="shared" si="36"/>
        <v>Labels</v>
      </c>
      <c r="U132" t="s">
        <v>795</v>
      </c>
      <c r="V132" t="str">
        <f t="shared" si="37"/>
        <v>Smart Labels 878</v>
      </c>
      <c r="W132" t="s">
        <v>90</v>
      </c>
      <c r="X132" t="str">
        <f t="shared" si="38"/>
        <v>Same Day</v>
      </c>
      <c r="Y132">
        <v>6</v>
      </c>
      <c r="Z132">
        <v>5</v>
      </c>
      <c r="AA132">
        <v>218.42</v>
      </c>
      <c r="AB132">
        <v>0.2</v>
      </c>
      <c r="AC132">
        <f t="shared" si="39"/>
        <v>0.2</v>
      </c>
      <c r="AD132">
        <v>873.68</v>
      </c>
      <c r="AE132">
        <f t="shared" si="40"/>
        <v>873.68</v>
      </c>
      <c r="AF132">
        <v>661.72</v>
      </c>
      <c r="AG132">
        <v>211.96</v>
      </c>
      <c r="AH132">
        <f t="shared" si="41"/>
        <v>211.96</v>
      </c>
      <c r="AI132">
        <f t="shared" si="42"/>
        <v>0.242605988462595</v>
      </c>
      <c r="AJ132" t="s">
        <v>177</v>
      </c>
      <c r="AK132" t="str">
        <f t="shared" si="43"/>
        <v>Pending</v>
      </c>
      <c r="AL132" t="s">
        <v>118</v>
      </c>
      <c r="AM132" t="str">
        <f t="shared" si="44"/>
        <v>Cancelled</v>
      </c>
      <c r="AN132">
        <v>1</v>
      </c>
      <c r="AO132">
        <v>2024</v>
      </c>
      <c r="AP132" t="s">
        <v>79</v>
      </c>
    </row>
    <row r="133" spans="1:42">
      <c r="A133" t="s">
        <v>796</v>
      </c>
      <c r="B133" s="3" t="s">
        <v>797</v>
      </c>
      <c r="C133" s="3">
        <v>45929</v>
      </c>
      <c r="D133" t="s">
        <v>798</v>
      </c>
      <c r="E133" s="3">
        <v>45934</v>
      </c>
      <c r="F133" t="s">
        <v>799</v>
      </c>
      <c r="G133" t="s">
        <v>113</v>
      </c>
      <c r="H133" t="str">
        <f t="shared" si="30"/>
        <v>Ananya Rao</v>
      </c>
      <c r="I133" t="s">
        <v>154</v>
      </c>
      <c r="J133" t="str">
        <f t="shared" si="31"/>
        <v>Home Office</v>
      </c>
      <c r="K133" t="s">
        <v>7</v>
      </c>
      <c r="L133" t="str">
        <f t="shared" si="32"/>
        <v>East</v>
      </c>
      <c r="M133" t="s">
        <v>354</v>
      </c>
      <c r="N133" t="str">
        <f t="shared" si="33"/>
        <v>Jharkhand</v>
      </c>
      <c r="O133" t="s">
        <v>355</v>
      </c>
      <c r="P133" t="str">
        <f t="shared" si="34"/>
        <v>Ranchi</v>
      </c>
      <c r="Q133" t="s">
        <v>22</v>
      </c>
      <c r="R133" t="str">
        <f t="shared" si="35"/>
        <v>Office Supplies</v>
      </c>
      <c r="S133" t="s">
        <v>74</v>
      </c>
      <c r="T133" t="str">
        <f t="shared" si="36"/>
        <v>Paper</v>
      </c>
      <c r="U133" t="s">
        <v>800</v>
      </c>
      <c r="V133" t="str">
        <f t="shared" si="37"/>
        <v>Pro Paper 934</v>
      </c>
      <c r="W133" t="s">
        <v>90</v>
      </c>
      <c r="X133" t="str">
        <f t="shared" si="38"/>
        <v>Same Day</v>
      </c>
      <c r="Y133">
        <v>5</v>
      </c>
      <c r="Z133">
        <v>9</v>
      </c>
      <c r="AA133">
        <v>373.91</v>
      </c>
      <c r="AB133">
        <v>0.2</v>
      </c>
      <c r="AC133">
        <f t="shared" si="39"/>
        <v>0.2</v>
      </c>
      <c r="AD133">
        <v>2692.15</v>
      </c>
      <c r="AE133">
        <f t="shared" si="40"/>
        <v>2692.152</v>
      </c>
      <c r="AF133">
        <v>2044.49</v>
      </c>
      <c r="AG133">
        <v>647.66</v>
      </c>
      <c r="AH133">
        <f t="shared" si="41"/>
        <v>647.662</v>
      </c>
      <c r="AI133">
        <f t="shared" si="42"/>
        <v>0.240574083484142</v>
      </c>
      <c r="AJ133" t="s">
        <v>77</v>
      </c>
      <c r="AK133" t="str">
        <f t="shared" si="43"/>
        <v>Paid</v>
      </c>
      <c r="AL133" t="s">
        <v>78</v>
      </c>
      <c r="AM133" t="str">
        <f t="shared" si="44"/>
        <v>Completed</v>
      </c>
      <c r="AN133">
        <v>9</v>
      </c>
      <c r="AO133">
        <v>2025</v>
      </c>
      <c r="AP133" t="s">
        <v>79</v>
      </c>
    </row>
    <row r="134" spans="1:42">
      <c r="A134" t="s">
        <v>801</v>
      </c>
      <c r="B134" s="3" t="s">
        <v>802</v>
      </c>
      <c r="C134" s="3">
        <v>45600</v>
      </c>
      <c r="D134" t="s">
        <v>802</v>
      </c>
      <c r="E134" s="3">
        <v>45600</v>
      </c>
      <c r="F134" t="s">
        <v>803</v>
      </c>
      <c r="G134" t="s">
        <v>411</v>
      </c>
      <c r="H134" t="str">
        <f t="shared" si="30"/>
        <v>Kabir Singh</v>
      </c>
      <c r="I134" t="s">
        <v>147</v>
      </c>
      <c r="J134" t="str">
        <f t="shared" si="31"/>
        <v>Corporate</v>
      </c>
      <c r="K134" t="s">
        <v>7</v>
      </c>
      <c r="L134" t="str">
        <f t="shared" si="32"/>
        <v>East</v>
      </c>
      <c r="M134" t="s">
        <v>258</v>
      </c>
      <c r="N134" t="str">
        <f t="shared" si="33"/>
        <v>Assam</v>
      </c>
      <c r="O134" t="s">
        <v>259</v>
      </c>
      <c r="P134" t="str">
        <f t="shared" si="34"/>
        <v>Guwahati</v>
      </c>
      <c r="Q134" t="s">
        <v>24</v>
      </c>
      <c r="R134" t="str">
        <f t="shared" si="35"/>
        <v>Technology</v>
      </c>
      <c r="S134" t="s">
        <v>427</v>
      </c>
      <c r="T134" t="str">
        <f t="shared" si="36"/>
        <v>Machines</v>
      </c>
      <c r="U134" t="s">
        <v>804</v>
      </c>
      <c r="V134" t="str">
        <f t="shared" si="37"/>
        <v>Classic Machines 886</v>
      </c>
      <c r="W134" t="s">
        <v>98</v>
      </c>
      <c r="X134" t="str">
        <f t="shared" si="38"/>
        <v>First Class</v>
      </c>
      <c r="Y134">
        <v>0</v>
      </c>
      <c r="Z134">
        <v>2</v>
      </c>
      <c r="AA134">
        <v>533.08</v>
      </c>
      <c r="AB134">
        <v>0</v>
      </c>
      <c r="AC134">
        <f t="shared" si="39"/>
        <v>0</v>
      </c>
      <c r="AD134">
        <v>1066.16</v>
      </c>
      <c r="AE134">
        <f t="shared" si="40"/>
        <v>1066.16</v>
      </c>
      <c r="AF134">
        <v>656.3</v>
      </c>
      <c r="AG134">
        <v>409.86</v>
      </c>
      <c r="AH134">
        <f t="shared" si="41"/>
        <v>409.86</v>
      </c>
      <c r="AI134">
        <f t="shared" si="42"/>
        <v>0.384426352517446</v>
      </c>
      <c r="AJ134" t="s">
        <v>241</v>
      </c>
      <c r="AK134" t="str">
        <f t="shared" si="43"/>
        <v>Failed</v>
      </c>
      <c r="AL134" t="s">
        <v>118</v>
      </c>
      <c r="AM134" t="str">
        <f t="shared" si="44"/>
        <v>Cancelled</v>
      </c>
      <c r="AN134">
        <v>11</v>
      </c>
      <c r="AO134">
        <v>2024</v>
      </c>
      <c r="AP134" t="s">
        <v>79</v>
      </c>
    </row>
    <row r="135" spans="1:42">
      <c r="A135" t="s">
        <v>805</v>
      </c>
      <c r="B135" s="3" t="s">
        <v>806</v>
      </c>
      <c r="C135" s="3">
        <v>45639</v>
      </c>
      <c r="D135" t="s">
        <v>807</v>
      </c>
      <c r="E135" s="3">
        <v>45644</v>
      </c>
      <c r="F135" t="s">
        <v>808</v>
      </c>
      <c r="G135" t="s">
        <v>70</v>
      </c>
      <c r="H135" t="str">
        <f t="shared" si="30"/>
        <v>Karan Malhotra</v>
      </c>
      <c r="I135" t="s">
        <v>71</v>
      </c>
      <c r="J135" t="str">
        <f t="shared" si="31"/>
        <v>Consumer</v>
      </c>
      <c r="K135" t="s">
        <v>11</v>
      </c>
      <c r="L135" t="str">
        <f t="shared" si="32"/>
        <v>West</v>
      </c>
      <c r="M135" t="s">
        <v>292</v>
      </c>
      <c r="N135" t="str">
        <f t="shared" si="33"/>
        <v>Goa</v>
      </c>
      <c r="O135" t="s">
        <v>293</v>
      </c>
      <c r="P135" t="str">
        <f t="shared" si="34"/>
        <v>Panaji</v>
      </c>
      <c r="Q135" t="s">
        <v>24</v>
      </c>
      <c r="R135" t="str">
        <f t="shared" si="35"/>
        <v>Technology</v>
      </c>
      <c r="S135" t="s">
        <v>265</v>
      </c>
      <c r="T135" t="str">
        <f t="shared" si="36"/>
        <v>Phones</v>
      </c>
      <c r="U135" t="s">
        <v>809</v>
      </c>
      <c r="V135" t="str">
        <f t="shared" si="37"/>
        <v>Prime Phones 419</v>
      </c>
      <c r="W135" t="s">
        <v>76</v>
      </c>
      <c r="X135" t="str">
        <f t="shared" si="38"/>
        <v>Second Class</v>
      </c>
      <c r="Y135">
        <v>5</v>
      </c>
      <c r="Z135">
        <v>8</v>
      </c>
      <c r="AA135">
        <v>3372.15</v>
      </c>
      <c r="AB135">
        <v>0.15</v>
      </c>
      <c r="AC135">
        <f t="shared" si="39"/>
        <v>0.15</v>
      </c>
      <c r="AD135">
        <v>22930.62</v>
      </c>
      <c r="AE135">
        <f t="shared" si="40"/>
        <v>22930.62</v>
      </c>
      <c r="AF135">
        <v>16875.55</v>
      </c>
      <c r="AG135">
        <v>6055.07</v>
      </c>
      <c r="AH135">
        <f t="shared" si="41"/>
        <v>6055.07</v>
      </c>
      <c r="AI135">
        <f t="shared" si="42"/>
        <v>0.264060457152925</v>
      </c>
      <c r="AJ135" t="s">
        <v>77</v>
      </c>
      <c r="AK135" t="str">
        <f t="shared" si="43"/>
        <v>Paid</v>
      </c>
      <c r="AL135" t="s">
        <v>78</v>
      </c>
      <c r="AM135" t="str">
        <f t="shared" si="44"/>
        <v>Completed</v>
      </c>
      <c r="AN135">
        <v>12</v>
      </c>
      <c r="AO135">
        <v>2024</v>
      </c>
      <c r="AP135" t="s">
        <v>79</v>
      </c>
    </row>
    <row r="136" spans="1:42">
      <c r="A136" t="s">
        <v>810</v>
      </c>
      <c r="B136" s="3" t="s">
        <v>811</v>
      </c>
      <c r="C136" s="3">
        <v>45852</v>
      </c>
      <c r="D136" t="s">
        <v>812</v>
      </c>
      <c r="E136" s="3">
        <v>45852</v>
      </c>
      <c r="F136" t="s">
        <v>813</v>
      </c>
      <c r="G136" t="s">
        <v>123</v>
      </c>
      <c r="H136" t="str">
        <f t="shared" si="30"/>
        <v>Vikram Iyer</v>
      </c>
      <c r="I136" t="s">
        <v>154</v>
      </c>
      <c r="J136" t="str">
        <f t="shared" si="31"/>
        <v>Home Office</v>
      </c>
      <c r="K136" t="s">
        <v>7</v>
      </c>
      <c r="L136" t="str">
        <f t="shared" si="32"/>
        <v>East</v>
      </c>
      <c r="M136" t="s">
        <v>160</v>
      </c>
      <c r="N136" t="str">
        <f t="shared" si="33"/>
        <v>West Bengal</v>
      </c>
      <c r="O136" t="s">
        <v>161</v>
      </c>
      <c r="P136" t="str">
        <f t="shared" si="34"/>
        <v>Kolkata</v>
      </c>
      <c r="Q136" t="s">
        <v>19</v>
      </c>
      <c r="R136" t="str">
        <f t="shared" si="35"/>
        <v>Furniture</v>
      </c>
      <c r="S136" t="s">
        <v>245</v>
      </c>
      <c r="T136" t="str">
        <f t="shared" si="36"/>
        <v>Bookcases</v>
      </c>
      <c r="U136" t="s">
        <v>814</v>
      </c>
      <c r="V136" t="str">
        <f t="shared" si="37"/>
        <v>Elite Bookcases 266</v>
      </c>
      <c r="X136" t="str">
        <f t="shared" si="38"/>
        <v/>
      </c>
      <c r="Y136">
        <v>0</v>
      </c>
      <c r="Z136">
        <v>5</v>
      </c>
      <c r="AA136">
        <v>383.1</v>
      </c>
      <c r="AB136">
        <v>0.25</v>
      </c>
      <c r="AC136">
        <f t="shared" si="39"/>
        <v>0.25</v>
      </c>
      <c r="AD136">
        <v>1436.62</v>
      </c>
      <c r="AE136">
        <f t="shared" si="40"/>
        <v>1436.625</v>
      </c>
      <c r="AF136">
        <v>912.52</v>
      </c>
      <c r="AG136">
        <v>524.1</v>
      </c>
      <c r="AH136">
        <f t="shared" si="41"/>
        <v>524.105</v>
      </c>
      <c r="AI136">
        <f t="shared" si="42"/>
        <v>0.364816845036109</v>
      </c>
      <c r="AJ136" t="s">
        <v>177</v>
      </c>
      <c r="AK136" t="str">
        <f t="shared" si="43"/>
        <v>Pending</v>
      </c>
      <c r="AL136" t="s">
        <v>118</v>
      </c>
      <c r="AM136" t="str">
        <f t="shared" si="44"/>
        <v>Cancelled</v>
      </c>
      <c r="AN136">
        <v>7</v>
      </c>
      <c r="AO136">
        <v>2025</v>
      </c>
      <c r="AP136" t="s">
        <v>79</v>
      </c>
    </row>
    <row r="137" spans="1:42">
      <c r="A137" t="s">
        <v>815</v>
      </c>
      <c r="B137" s="3" t="s">
        <v>816</v>
      </c>
      <c r="C137" s="3">
        <v>45893</v>
      </c>
      <c r="D137" t="s">
        <v>816</v>
      </c>
      <c r="E137" s="3">
        <v>45893</v>
      </c>
      <c r="F137" t="s">
        <v>817</v>
      </c>
      <c r="G137" t="s">
        <v>251</v>
      </c>
      <c r="H137" t="str">
        <f t="shared" si="30"/>
        <v>Diya Patel</v>
      </c>
      <c r="I137" t="s">
        <v>85</v>
      </c>
      <c r="J137" t="str">
        <f t="shared" si="31"/>
        <v>Small Business</v>
      </c>
      <c r="K137" t="s">
        <v>10</v>
      </c>
      <c r="L137" t="str">
        <f t="shared" si="32"/>
        <v>South</v>
      </c>
      <c r="M137" t="s">
        <v>285</v>
      </c>
      <c r="N137" t="str">
        <f t="shared" si="33"/>
        <v>Kerala</v>
      </c>
      <c r="O137" t="s">
        <v>286</v>
      </c>
      <c r="P137" t="str">
        <f t="shared" si="34"/>
        <v>Kochi</v>
      </c>
      <c r="Q137" t="s">
        <v>20</v>
      </c>
      <c r="R137" t="str">
        <f t="shared" si="35"/>
        <v>Furniture</v>
      </c>
      <c r="S137" t="s">
        <v>245</v>
      </c>
      <c r="T137" t="str">
        <f t="shared" si="36"/>
        <v>Bookcases</v>
      </c>
      <c r="U137" t="s">
        <v>818</v>
      </c>
      <c r="V137" t="str">
        <f t="shared" si="37"/>
        <v>Prime Bookcases 954</v>
      </c>
      <c r="W137" t="s">
        <v>108</v>
      </c>
      <c r="X137" t="str">
        <f t="shared" si="38"/>
        <v>Standard Class</v>
      </c>
      <c r="Y137">
        <v>0</v>
      </c>
      <c r="Z137">
        <v>1</v>
      </c>
      <c r="AA137">
        <v>3424.78</v>
      </c>
      <c r="AB137">
        <v>0</v>
      </c>
      <c r="AC137">
        <f t="shared" si="39"/>
        <v>0</v>
      </c>
      <c r="AD137">
        <v>3424.78</v>
      </c>
      <c r="AE137">
        <f t="shared" si="40"/>
        <v>3424.78</v>
      </c>
      <c r="AF137">
        <v>1951.45</v>
      </c>
      <c r="AG137">
        <v>1473.33</v>
      </c>
      <c r="AH137">
        <f t="shared" si="41"/>
        <v>1473.33</v>
      </c>
      <c r="AI137">
        <f t="shared" si="42"/>
        <v>0.430196976156133</v>
      </c>
      <c r="AJ137" t="s">
        <v>77</v>
      </c>
      <c r="AK137" t="str">
        <f t="shared" si="43"/>
        <v>Paid</v>
      </c>
      <c r="AL137" t="s">
        <v>78</v>
      </c>
      <c r="AM137" t="str">
        <f t="shared" si="44"/>
        <v>Completed</v>
      </c>
      <c r="AN137">
        <v>8</v>
      </c>
      <c r="AO137">
        <v>2025</v>
      </c>
      <c r="AP137" t="s">
        <v>79</v>
      </c>
    </row>
    <row r="138" spans="1:42">
      <c r="A138" t="s">
        <v>819</v>
      </c>
      <c r="B138" s="3" t="s">
        <v>820</v>
      </c>
      <c r="C138" s="3">
        <v>45697</v>
      </c>
      <c r="D138" t="s">
        <v>821</v>
      </c>
      <c r="E138" s="3">
        <v>45703</v>
      </c>
      <c r="F138" t="s">
        <v>822</v>
      </c>
      <c r="G138" t="s">
        <v>84</v>
      </c>
      <c r="H138" t="str">
        <f t="shared" si="30"/>
        <v>Mira Das</v>
      </c>
      <c r="I138" t="s">
        <v>154</v>
      </c>
      <c r="J138" t="str">
        <f t="shared" si="31"/>
        <v>Home Office</v>
      </c>
      <c r="K138" t="s">
        <v>7</v>
      </c>
      <c r="L138" t="str">
        <f t="shared" si="32"/>
        <v>East</v>
      </c>
      <c r="M138" t="s">
        <v>354</v>
      </c>
      <c r="N138" t="str">
        <f t="shared" si="33"/>
        <v>Jharkhand</v>
      </c>
      <c r="O138" t="s">
        <v>355</v>
      </c>
      <c r="P138" t="str">
        <f t="shared" si="34"/>
        <v>Ranchi</v>
      </c>
      <c r="Q138" t="s">
        <v>22</v>
      </c>
      <c r="R138" t="str">
        <f t="shared" si="35"/>
        <v>Office Supplies</v>
      </c>
      <c r="S138" t="s">
        <v>239</v>
      </c>
      <c r="T138" t="str">
        <f t="shared" si="36"/>
        <v>Binders</v>
      </c>
      <c r="U138" t="s">
        <v>823</v>
      </c>
      <c r="V138" t="str">
        <f t="shared" si="37"/>
        <v>Max Binders 362</v>
      </c>
      <c r="W138" t="s">
        <v>824</v>
      </c>
      <c r="X138" t="str">
        <f t="shared" si="38"/>
        <v>Standard Class</v>
      </c>
      <c r="Y138">
        <v>6</v>
      </c>
      <c r="Z138">
        <v>9</v>
      </c>
      <c r="AA138">
        <v>4330.33</v>
      </c>
      <c r="AB138">
        <v>0.2</v>
      </c>
      <c r="AC138">
        <f t="shared" si="39"/>
        <v>0.2</v>
      </c>
      <c r="AD138">
        <v>31178.38</v>
      </c>
      <c r="AE138">
        <f t="shared" si="40"/>
        <v>31178.376</v>
      </c>
      <c r="AF138">
        <v>21421.09</v>
      </c>
      <c r="AG138">
        <v>9757.29</v>
      </c>
      <c r="AH138">
        <f t="shared" si="41"/>
        <v>9757.286</v>
      </c>
      <c r="AI138">
        <f t="shared" si="42"/>
        <v>0.312950424358216</v>
      </c>
      <c r="AJ138" t="s">
        <v>77</v>
      </c>
      <c r="AK138" t="str">
        <f t="shared" si="43"/>
        <v>Paid</v>
      </c>
      <c r="AL138" t="s">
        <v>78</v>
      </c>
      <c r="AM138" t="str">
        <f t="shared" si="44"/>
        <v>Completed</v>
      </c>
      <c r="AN138">
        <v>2</v>
      </c>
      <c r="AO138">
        <v>2025</v>
      </c>
      <c r="AP138" t="s">
        <v>79</v>
      </c>
    </row>
    <row r="139" spans="1:42">
      <c r="A139" t="s">
        <v>825</v>
      </c>
      <c r="B139" s="3" t="s">
        <v>826</v>
      </c>
      <c r="C139" s="3">
        <v>45666</v>
      </c>
      <c r="D139" t="s">
        <v>827</v>
      </c>
      <c r="E139" s="3">
        <v>45666</v>
      </c>
      <c r="F139" t="s">
        <v>828</v>
      </c>
      <c r="G139" t="s">
        <v>208</v>
      </c>
      <c r="H139" t="str">
        <f t="shared" si="30"/>
        <v>Sneha Kapoor</v>
      </c>
      <c r="I139" t="s">
        <v>85</v>
      </c>
      <c r="J139" t="str">
        <f t="shared" si="31"/>
        <v>Small Business</v>
      </c>
      <c r="K139" t="s">
        <v>8</v>
      </c>
      <c r="L139" t="str">
        <f t="shared" si="32"/>
        <v>North</v>
      </c>
      <c r="M139" t="s">
        <v>72</v>
      </c>
      <c r="N139" t="str">
        <f t="shared" si="33"/>
        <v>Rajasthan</v>
      </c>
      <c r="O139" t="s">
        <v>73</v>
      </c>
      <c r="P139" t="str">
        <f t="shared" si="34"/>
        <v>Jaipur</v>
      </c>
      <c r="Q139" t="s">
        <v>19</v>
      </c>
      <c r="R139" t="str">
        <f t="shared" si="35"/>
        <v>Furniture</v>
      </c>
      <c r="S139" t="s">
        <v>116</v>
      </c>
      <c r="T139" t="str">
        <f t="shared" si="36"/>
        <v>Chairs</v>
      </c>
      <c r="U139" t="s">
        <v>829</v>
      </c>
      <c r="V139" t="str">
        <f t="shared" si="37"/>
        <v>Prime Chairs 261</v>
      </c>
      <c r="W139" t="s">
        <v>90</v>
      </c>
      <c r="X139" t="str">
        <f t="shared" si="38"/>
        <v>Same Day</v>
      </c>
      <c r="Y139">
        <v>0</v>
      </c>
      <c r="Z139">
        <v>8</v>
      </c>
      <c r="AA139">
        <v>2667.07</v>
      </c>
      <c r="AB139">
        <v>0.1</v>
      </c>
      <c r="AC139">
        <f t="shared" si="39"/>
        <v>0.1</v>
      </c>
      <c r="AD139">
        <v>19202.9</v>
      </c>
      <c r="AE139">
        <f t="shared" si="40"/>
        <v>19202.904</v>
      </c>
      <c r="AF139">
        <v>15526.62</v>
      </c>
      <c r="AG139">
        <v>3676.28</v>
      </c>
      <c r="AH139">
        <f t="shared" si="41"/>
        <v>3676.284</v>
      </c>
      <c r="AI139">
        <f t="shared" si="42"/>
        <v>0.191444169069428</v>
      </c>
      <c r="AJ139" t="s">
        <v>77</v>
      </c>
      <c r="AK139" t="str">
        <f t="shared" si="43"/>
        <v>Paid</v>
      </c>
      <c r="AL139" t="s">
        <v>78</v>
      </c>
      <c r="AM139" t="str">
        <f t="shared" si="44"/>
        <v>Completed</v>
      </c>
      <c r="AN139">
        <v>1</v>
      </c>
      <c r="AO139">
        <v>2025</v>
      </c>
      <c r="AP139" t="s">
        <v>79</v>
      </c>
    </row>
    <row r="140" spans="1:42">
      <c r="A140" t="s">
        <v>830</v>
      </c>
      <c r="B140" s="3" t="s">
        <v>831</v>
      </c>
      <c r="C140" s="3">
        <v>45311</v>
      </c>
      <c r="D140" t="s">
        <v>832</v>
      </c>
      <c r="E140" s="3">
        <v>45317</v>
      </c>
      <c r="F140" t="s">
        <v>833</v>
      </c>
      <c r="G140" t="s">
        <v>251</v>
      </c>
      <c r="H140" t="str">
        <f t="shared" si="30"/>
        <v>Diya Patel</v>
      </c>
      <c r="I140" t="s">
        <v>154</v>
      </c>
      <c r="J140" t="str">
        <f t="shared" si="31"/>
        <v>Home Office</v>
      </c>
      <c r="K140" t="s">
        <v>7</v>
      </c>
      <c r="L140" t="str">
        <f t="shared" si="32"/>
        <v>East</v>
      </c>
      <c r="M140" t="s">
        <v>354</v>
      </c>
      <c r="N140" t="str">
        <f t="shared" si="33"/>
        <v>Jharkhand</v>
      </c>
      <c r="O140" t="s">
        <v>355</v>
      </c>
      <c r="P140" t="str">
        <f t="shared" si="34"/>
        <v>Ranchi</v>
      </c>
      <c r="Q140" t="s">
        <v>24</v>
      </c>
      <c r="R140" t="str">
        <f t="shared" si="35"/>
        <v>Technology</v>
      </c>
      <c r="S140" t="s">
        <v>427</v>
      </c>
      <c r="T140" t="str">
        <f t="shared" si="36"/>
        <v>Machines</v>
      </c>
      <c r="U140" t="s">
        <v>834</v>
      </c>
      <c r="V140" t="str">
        <f t="shared" si="37"/>
        <v>Basic Machines 185</v>
      </c>
      <c r="W140" t="s">
        <v>108</v>
      </c>
      <c r="X140" t="str">
        <f t="shared" si="38"/>
        <v>Standard Class</v>
      </c>
      <c r="Y140">
        <v>6</v>
      </c>
      <c r="Z140">
        <v>8</v>
      </c>
      <c r="AA140">
        <v>4003.05</v>
      </c>
      <c r="AB140">
        <v>0.25</v>
      </c>
      <c r="AC140">
        <f t="shared" si="39"/>
        <v>0.25</v>
      </c>
      <c r="AD140">
        <v>24018.3</v>
      </c>
      <c r="AE140">
        <f t="shared" si="40"/>
        <v>24018.3</v>
      </c>
      <c r="AF140">
        <v>14070.78</v>
      </c>
      <c r="AG140">
        <v>9947.52</v>
      </c>
      <c r="AH140">
        <f t="shared" si="41"/>
        <v>9947.52</v>
      </c>
      <c r="AI140">
        <f t="shared" si="42"/>
        <v>0.414164199797654</v>
      </c>
      <c r="AJ140" t="s">
        <v>77</v>
      </c>
      <c r="AK140" t="str">
        <f t="shared" si="43"/>
        <v>Paid</v>
      </c>
      <c r="AL140" t="s">
        <v>78</v>
      </c>
      <c r="AM140" t="str">
        <f t="shared" si="44"/>
        <v>Completed</v>
      </c>
      <c r="AN140">
        <v>1</v>
      </c>
      <c r="AO140">
        <v>2024</v>
      </c>
      <c r="AP140" t="s">
        <v>79</v>
      </c>
    </row>
    <row r="141" spans="1:42">
      <c r="A141" t="s">
        <v>835</v>
      </c>
      <c r="B141" s="3" t="s">
        <v>836</v>
      </c>
      <c r="C141" s="3">
        <v>45718</v>
      </c>
      <c r="D141" t="s">
        <v>837</v>
      </c>
      <c r="E141" s="3">
        <v>45723</v>
      </c>
      <c r="F141" t="s">
        <v>838</v>
      </c>
      <c r="G141" t="s">
        <v>132</v>
      </c>
      <c r="H141" t="str">
        <f t="shared" si="30"/>
        <v>Neha Gupta</v>
      </c>
      <c r="I141" t="s">
        <v>154</v>
      </c>
      <c r="J141" t="str">
        <f t="shared" si="31"/>
        <v>Home Office</v>
      </c>
      <c r="K141" t="s">
        <v>10</v>
      </c>
      <c r="L141" t="str">
        <f t="shared" si="32"/>
        <v>South</v>
      </c>
      <c r="M141" t="s">
        <v>272</v>
      </c>
      <c r="N141" t="str">
        <f t="shared" si="33"/>
        <v>Karnataka</v>
      </c>
      <c r="O141" t="s">
        <v>273</v>
      </c>
      <c r="P141" t="str">
        <f t="shared" si="34"/>
        <v>Bengaluru</v>
      </c>
      <c r="Q141" t="s">
        <v>22</v>
      </c>
      <c r="R141" t="str">
        <f t="shared" si="35"/>
        <v>Office Supplies</v>
      </c>
      <c r="S141" t="s">
        <v>148</v>
      </c>
      <c r="T141" t="str">
        <f t="shared" si="36"/>
        <v>Labels</v>
      </c>
      <c r="U141" t="s">
        <v>839</v>
      </c>
      <c r="V141" t="str">
        <f t="shared" si="37"/>
        <v>Basic Labels 509</v>
      </c>
      <c r="W141" t="s">
        <v>108</v>
      </c>
      <c r="X141" t="str">
        <f t="shared" si="38"/>
        <v>Standard Class</v>
      </c>
      <c r="Y141">
        <v>5</v>
      </c>
      <c r="Z141">
        <v>8</v>
      </c>
      <c r="AA141">
        <v>1287.63</v>
      </c>
      <c r="AB141">
        <v>0</v>
      </c>
      <c r="AC141">
        <f t="shared" si="39"/>
        <v>0</v>
      </c>
      <c r="AD141">
        <v>10301.04</v>
      </c>
      <c r="AE141">
        <f t="shared" si="40"/>
        <v>10301.04</v>
      </c>
      <c r="AF141">
        <v>6564.06</v>
      </c>
      <c r="AG141">
        <v>3736.98</v>
      </c>
      <c r="AH141">
        <f t="shared" si="41"/>
        <v>3736.98</v>
      </c>
      <c r="AI141">
        <f t="shared" si="42"/>
        <v>0.362776962326134</v>
      </c>
      <c r="AJ141" t="s">
        <v>77</v>
      </c>
      <c r="AK141" t="str">
        <f t="shared" si="43"/>
        <v>Paid</v>
      </c>
      <c r="AL141" t="s">
        <v>78</v>
      </c>
      <c r="AM141" t="str">
        <f t="shared" si="44"/>
        <v>Completed</v>
      </c>
      <c r="AN141">
        <v>3</v>
      </c>
      <c r="AO141">
        <v>2025</v>
      </c>
      <c r="AP141" t="s">
        <v>79</v>
      </c>
    </row>
    <row r="142" spans="1:42">
      <c r="A142" t="s">
        <v>840</v>
      </c>
      <c r="B142" s="3" t="s">
        <v>841</v>
      </c>
      <c r="C142" s="3">
        <v>45443</v>
      </c>
      <c r="D142" t="s">
        <v>842</v>
      </c>
      <c r="E142" s="3">
        <v>45444</v>
      </c>
      <c r="F142" t="s">
        <v>843</v>
      </c>
      <c r="G142" t="s">
        <v>84</v>
      </c>
      <c r="H142" t="str">
        <f t="shared" si="30"/>
        <v>Mira Das</v>
      </c>
      <c r="I142" t="s">
        <v>147</v>
      </c>
      <c r="J142" t="str">
        <f t="shared" si="31"/>
        <v>Corporate</v>
      </c>
      <c r="K142" t="s">
        <v>10</v>
      </c>
      <c r="L142" t="str">
        <f t="shared" si="32"/>
        <v>South</v>
      </c>
      <c r="M142" t="s">
        <v>272</v>
      </c>
      <c r="N142" t="str">
        <f t="shared" si="33"/>
        <v>Karnataka</v>
      </c>
      <c r="O142" t="s">
        <v>273</v>
      </c>
      <c r="P142" t="str">
        <f t="shared" si="34"/>
        <v>Bengaluru</v>
      </c>
      <c r="Q142" t="s">
        <v>19</v>
      </c>
      <c r="R142" t="str">
        <f t="shared" si="35"/>
        <v>Furniture</v>
      </c>
      <c r="S142" t="s">
        <v>245</v>
      </c>
      <c r="T142" t="str">
        <f t="shared" si="36"/>
        <v>Bookcases</v>
      </c>
      <c r="U142" t="s">
        <v>844</v>
      </c>
      <c r="V142" t="str">
        <f t="shared" si="37"/>
        <v>Elite Bookcases 696</v>
      </c>
      <c r="W142" t="s">
        <v>90</v>
      </c>
      <c r="X142" t="str">
        <f t="shared" si="38"/>
        <v>Same Day</v>
      </c>
      <c r="Y142">
        <v>1</v>
      </c>
      <c r="Z142">
        <v>3</v>
      </c>
      <c r="AA142">
        <v>2914.55</v>
      </c>
      <c r="AB142">
        <v>0</v>
      </c>
      <c r="AC142">
        <f t="shared" si="39"/>
        <v>0</v>
      </c>
      <c r="AD142">
        <v>8743.65</v>
      </c>
      <c r="AE142">
        <f t="shared" si="40"/>
        <v>8743.65</v>
      </c>
      <c r="AF142">
        <v>6603.76</v>
      </c>
      <c r="AG142">
        <v>2139.89</v>
      </c>
      <c r="AH142">
        <f t="shared" si="41"/>
        <v>2139.89</v>
      </c>
      <c r="AI142">
        <f t="shared" si="42"/>
        <v>0.244736465892391</v>
      </c>
      <c r="AJ142" t="s">
        <v>77</v>
      </c>
      <c r="AK142" t="str">
        <f t="shared" si="43"/>
        <v>Paid</v>
      </c>
      <c r="AL142" t="s">
        <v>78</v>
      </c>
      <c r="AM142" t="str">
        <f t="shared" si="44"/>
        <v>Completed</v>
      </c>
      <c r="AN142">
        <v>5</v>
      </c>
      <c r="AO142">
        <v>2024</v>
      </c>
      <c r="AP142" t="s">
        <v>79</v>
      </c>
    </row>
    <row r="143" spans="1:42">
      <c r="A143" t="s">
        <v>845</v>
      </c>
      <c r="B143" s="3" t="s">
        <v>846</v>
      </c>
      <c r="C143" s="3">
        <v>45374</v>
      </c>
      <c r="D143" t="s">
        <v>847</v>
      </c>
      <c r="E143" s="3">
        <v>45380</v>
      </c>
      <c r="F143" t="s">
        <v>848</v>
      </c>
      <c r="G143" t="s">
        <v>182</v>
      </c>
      <c r="H143" t="str">
        <f t="shared" si="30"/>
        <v>Priya Menon</v>
      </c>
      <c r="I143" t="s">
        <v>147</v>
      </c>
      <c r="J143" t="str">
        <f t="shared" si="31"/>
        <v>Corporate</v>
      </c>
      <c r="K143" t="s">
        <v>8</v>
      </c>
      <c r="L143" t="str">
        <f t="shared" si="32"/>
        <v>North</v>
      </c>
      <c r="M143" t="s">
        <v>552</v>
      </c>
      <c r="N143" t="str">
        <f t="shared" si="33"/>
        <v>Delhi</v>
      </c>
      <c r="O143" t="s">
        <v>553</v>
      </c>
      <c r="P143" t="str">
        <f t="shared" si="34"/>
        <v>New Delhi</v>
      </c>
      <c r="Q143" t="s">
        <v>19</v>
      </c>
      <c r="R143" t="str">
        <f t="shared" si="35"/>
        <v>Furniture</v>
      </c>
      <c r="S143" t="s">
        <v>245</v>
      </c>
      <c r="T143" t="str">
        <f t="shared" si="36"/>
        <v>Bookcases</v>
      </c>
      <c r="U143" t="s">
        <v>849</v>
      </c>
      <c r="V143" t="str">
        <f t="shared" si="37"/>
        <v>Elite Bookcases 772</v>
      </c>
      <c r="W143" t="s">
        <v>90</v>
      </c>
      <c r="X143" t="str">
        <f t="shared" si="38"/>
        <v>Same Day</v>
      </c>
      <c r="Y143">
        <v>6</v>
      </c>
      <c r="Z143">
        <v>7</v>
      </c>
      <c r="AA143">
        <v>634.29</v>
      </c>
      <c r="AB143">
        <v>0.1</v>
      </c>
      <c r="AC143">
        <f t="shared" si="39"/>
        <v>0.1</v>
      </c>
      <c r="AD143">
        <v>3996.03</v>
      </c>
      <c r="AE143">
        <f t="shared" si="40"/>
        <v>3996.027</v>
      </c>
      <c r="AF143">
        <v>2859.51</v>
      </c>
      <c r="AG143">
        <v>1136.52</v>
      </c>
      <c r="AH143">
        <f t="shared" si="41"/>
        <v>1136.517</v>
      </c>
      <c r="AI143">
        <f t="shared" si="42"/>
        <v>0.284411741962704</v>
      </c>
      <c r="AJ143" t="s">
        <v>77</v>
      </c>
      <c r="AK143" t="str">
        <f t="shared" si="43"/>
        <v>Paid</v>
      </c>
      <c r="AL143" t="s">
        <v>164</v>
      </c>
      <c r="AM143" t="str">
        <f t="shared" si="44"/>
        <v>Returned</v>
      </c>
      <c r="AN143">
        <v>3</v>
      </c>
      <c r="AO143">
        <v>2024</v>
      </c>
      <c r="AP143" t="s">
        <v>79</v>
      </c>
    </row>
    <row r="144" spans="1:42">
      <c r="A144" t="s">
        <v>850</v>
      </c>
      <c r="B144" s="3" t="s">
        <v>851</v>
      </c>
      <c r="C144" s="3">
        <v>45381</v>
      </c>
      <c r="D144" t="s">
        <v>852</v>
      </c>
      <c r="E144" s="3">
        <v>45377</v>
      </c>
      <c r="F144" t="s">
        <v>853</v>
      </c>
      <c r="G144" t="s">
        <v>146</v>
      </c>
      <c r="H144" t="str">
        <f t="shared" si="30"/>
        <v>Aditi Sen</v>
      </c>
      <c r="I144" t="s">
        <v>154</v>
      </c>
      <c r="J144" t="str">
        <f t="shared" si="31"/>
        <v>Home Office</v>
      </c>
      <c r="K144" t="s">
        <v>8</v>
      </c>
      <c r="L144" t="str">
        <f t="shared" si="32"/>
        <v>North</v>
      </c>
      <c r="M144" t="s">
        <v>72</v>
      </c>
      <c r="N144" t="str">
        <f t="shared" si="33"/>
        <v>Rajasthan</v>
      </c>
      <c r="O144" t="s">
        <v>73</v>
      </c>
      <c r="P144" t="str">
        <f t="shared" si="34"/>
        <v>Jaipur</v>
      </c>
      <c r="Q144" t="s">
        <v>24</v>
      </c>
      <c r="R144" t="str">
        <f t="shared" si="35"/>
        <v>Technology</v>
      </c>
      <c r="S144" t="s">
        <v>265</v>
      </c>
      <c r="T144" t="str">
        <f t="shared" si="36"/>
        <v>Phones</v>
      </c>
      <c r="U144" t="s">
        <v>854</v>
      </c>
      <c r="V144" t="str">
        <f t="shared" si="37"/>
        <v>Classic Phones 142</v>
      </c>
      <c r="W144" t="s">
        <v>76</v>
      </c>
      <c r="X144" t="str">
        <f t="shared" si="38"/>
        <v>Second Class</v>
      </c>
      <c r="Y144">
        <v>-4</v>
      </c>
      <c r="Z144">
        <v>5</v>
      </c>
      <c r="AA144">
        <v>907.54</v>
      </c>
      <c r="AB144">
        <v>0.15</v>
      </c>
      <c r="AC144">
        <f t="shared" si="39"/>
        <v>0.15</v>
      </c>
      <c r="AD144">
        <v>3857.04</v>
      </c>
      <c r="AE144">
        <f t="shared" si="40"/>
        <v>3857.045</v>
      </c>
      <c r="AF144">
        <v>2769.26</v>
      </c>
      <c r="AG144">
        <v>1087.78</v>
      </c>
      <c r="AH144">
        <f t="shared" si="41"/>
        <v>1087.785</v>
      </c>
      <c r="AI144">
        <f t="shared" si="42"/>
        <v>0.282025488424428</v>
      </c>
      <c r="AJ144" t="s">
        <v>77</v>
      </c>
      <c r="AK144" t="str">
        <f t="shared" si="43"/>
        <v>Paid</v>
      </c>
      <c r="AL144" t="s">
        <v>78</v>
      </c>
      <c r="AM144" t="str">
        <f t="shared" si="44"/>
        <v>Completed</v>
      </c>
      <c r="AN144">
        <v>3</v>
      </c>
      <c r="AO144">
        <v>2024</v>
      </c>
      <c r="AP144" t="s">
        <v>253</v>
      </c>
    </row>
    <row r="145" spans="1:42">
      <c r="A145" t="s">
        <v>855</v>
      </c>
      <c r="B145" s="3" t="s">
        <v>588</v>
      </c>
      <c r="C145" s="3">
        <v>45375</v>
      </c>
      <c r="D145" t="s">
        <v>856</v>
      </c>
      <c r="E145" s="3">
        <v>45377</v>
      </c>
      <c r="F145" t="s">
        <v>857</v>
      </c>
      <c r="G145" t="s">
        <v>182</v>
      </c>
      <c r="H145" t="str">
        <f t="shared" si="30"/>
        <v>Priya Menon</v>
      </c>
      <c r="I145" t="s">
        <v>71</v>
      </c>
      <c r="J145" t="str">
        <f t="shared" si="31"/>
        <v>Consumer</v>
      </c>
      <c r="K145" t="s">
        <v>11</v>
      </c>
      <c r="L145" t="str">
        <f t="shared" si="32"/>
        <v>West</v>
      </c>
      <c r="M145" t="s">
        <v>278</v>
      </c>
      <c r="N145" t="str">
        <f t="shared" si="33"/>
        <v>Gujarat</v>
      </c>
      <c r="O145" t="s">
        <v>279</v>
      </c>
      <c r="P145" t="str">
        <f t="shared" si="34"/>
        <v>Ahmedabad</v>
      </c>
      <c r="Q145" t="s">
        <v>22</v>
      </c>
      <c r="R145" t="str">
        <f t="shared" si="35"/>
        <v>Office Supplies</v>
      </c>
      <c r="S145" t="s">
        <v>74</v>
      </c>
      <c r="T145" t="str">
        <f t="shared" si="36"/>
        <v>Paper</v>
      </c>
      <c r="U145" t="s">
        <v>858</v>
      </c>
      <c r="V145" t="str">
        <f t="shared" si="37"/>
        <v>Pro Paper 575</v>
      </c>
      <c r="W145" t="s">
        <v>76</v>
      </c>
      <c r="X145" t="str">
        <f t="shared" si="38"/>
        <v>Second Class</v>
      </c>
      <c r="Y145">
        <v>2</v>
      </c>
      <c r="Z145">
        <v>1</v>
      </c>
      <c r="AA145">
        <v>3409.5</v>
      </c>
      <c r="AB145">
        <v>0.1</v>
      </c>
      <c r="AC145">
        <f t="shared" si="39"/>
        <v>0.1</v>
      </c>
      <c r="AD145">
        <v>3068.55</v>
      </c>
      <c r="AE145">
        <f t="shared" si="40"/>
        <v>3068.55</v>
      </c>
      <c r="AF145">
        <v>1916.16</v>
      </c>
      <c r="AG145">
        <v>1152.39</v>
      </c>
      <c r="AH145">
        <f t="shared" si="41"/>
        <v>1152.39</v>
      </c>
      <c r="AI145">
        <f t="shared" si="42"/>
        <v>0.375548711932346</v>
      </c>
      <c r="AJ145" t="s">
        <v>77</v>
      </c>
      <c r="AK145" t="str">
        <f t="shared" si="43"/>
        <v>Paid</v>
      </c>
      <c r="AL145" t="s">
        <v>164</v>
      </c>
      <c r="AM145" t="str">
        <f t="shared" si="44"/>
        <v>Returned</v>
      </c>
      <c r="AN145">
        <v>3</v>
      </c>
      <c r="AO145">
        <v>2024</v>
      </c>
      <c r="AP145" t="s">
        <v>79</v>
      </c>
    </row>
    <row r="146" spans="1:42">
      <c r="A146" t="s">
        <v>859</v>
      </c>
      <c r="B146" s="3" t="s">
        <v>624</v>
      </c>
      <c r="C146" s="3">
        <v>45450</v>
      </c>
      <c r="D146" t="s">
        <v>860</v>
      </c>
      <c r="E146" s="3">
        <v>45458</v>
      </c>
      <c r="F146" t="s">
        <v>861</v>
      </c>
      <c r="G146" t="s">
        <v>411</v>
      </c>
      <c r="H146" t="str">
        <f t="shared" si="30"/>
        <v>Kabir Singh</v>
      </c>
      <c r="I146" t="s">
        <v>85</v>
      </c>
      <c r="J146" t="str">
        <f t="shared" si="31"/>
        <v>Small Business</v>
      </c>
      <c r="K146" t="s">
        <v>10</v>
      </c>
      <c r="L146" t="str">
        <f t="shared" si="32"/>
        <v>South</v>
      </c>
      <c r="M146" t="s">
        <v>104</v>
      </c>
      <c r="N146" t="str">
        <f t="shared" si="33"/>
        <v>Telangana</v>
      </c>
      <c r="O146" t="s">
        <v>105</v>
      </c>
      <c r="P146" t="str">
        <f t="shared" si="34"/>
        <v>Hyderabad</v>
      </c>
      <c r="Q146" t="s">
        <v>24</v>
      </c>
      <c r="R146" t="str">
        <f t="shared" si="35"/>
        <v>Technology</v>
      </c>
      <c r="S146" t="s">
        <v>126</v>
      </c>
      <c r="T146" t="str">
        <f t="shared" si="36"/>
        <v>Accessories</v>
      </c>
      <c r="U146" t="s">
        <v>862</v>
      </c>
      <c r="V146" t="str">
        <f t="shared" si="37"/>
        <v>Elite Accessories 905</v>
      </c>
      <c r="W146" t="s">
        <v>98</v>
      </c>
      <c r="X146" t="str">
        <f t="shared" si="38"/>
        <v>First Class</v>
      </c>
      <c r="Y146">
        <v>8</v>
      </c>
      <c r="Z146">
        <v>7</v>
      </c>
      <c r="AA146">
        <v>2147.99</v>
      </c>
      <c r="AB146">
        <v>0.25</v>
      </c>
      <c r="AC146">
        <f t="shared" si="39"/>
        <v>0.25</v>
      </c>
      <c r="AD146">
        <v>11276.95</v>
      </c>
      <c r="AE146">
        <f t="shared" si="40"/>
        <v>11276.9475</v>
      </c>
      <c r="AF146">
        <v>6908.76</v>
      </c>
      <c r="AG146">
        <v>4368.19</v>
      </c>
      <c r="AH146">
        <f t="shared" si="41"/>
        <v>4368.1875</v>
      </c>
      <c r="AI146">
        <f t="shared" si="42"/>
        <v>0.387355487821505</v>
      </c>
      <c r="AJ146" t="s">
        <v>163</v>
      </c>
      <c r="AK146" t="str">
        <f t="shared" si="43"/>
        <v>Refunded</v>
      </c>
      <c r="AL146" t="s">
        <v>164</v>
      </c>
      <c r="AM146" t="str">
        <f t="shared" si="44"/>
        <v>Returned</v>
      </c>
      <c r="AN146">
        <v>6</v>
      </c>
      <c r="AO146">
        <v>2024</v>
      </c>
      <c r="AP146" t="s">
        <v>79</v>
      </c>
    </row>
    <row r="147" spans="1:42">
      <c r="A147" t="s">
        <v>863</v>
      </c>
      <c r="B147" s="3" t="s">
        <v>864</v>
      </c>
      <c r="C147" s="3">
        <v>45758</v>
      </c>
      <c r="D147" t="s">
        <v>865</v>
      </c>
      <c r="E147" s="3">
        <v>45760</v>
      </c>
      <c r="F147" t="s">
        <v>866</v>
      </c>
      <c r="G147" t="s">
        <v>84</v>
      </c>
      <c r="H147" t="str">
        <f t="shared" si="30"/>
        <v>Mira Das</v>
      </c>
      <c r="I147" t="s">
        <v>85</v>
      </c>
      <c r="J147" t="str">
        <f t="shared" si="31"/>
        <v>Small Business</v>
      </c>
      <c r="K147" t="s">
        <v>11</v>
      </c>
      <c r="L147" t="str">
        <f t="shared" si="32"/>
        <v>West</v>
      </c>
      <c r="M147" t="s">
        <v>292</v>
      </c>
      <c r="N147" t="str">
        <f t="shared" si="33"/>
        <v>Goa</v>
      </c>
      <c r="O147" t="s">
        <v>293</v>
      </c>
      <c r="P147" t="str">
        <f t="shared" si="34"/>
        <v>Panaji</v>
      </c>
      <c r="Q147" t="s">
        <v>22</v>
      </c>
      <c r="R147" t="str">
        <f t="shared" si="35"/>
        <v>Office Supplies</v>
      </c>
      <c r="S147" t="s">
        <v>74</v>
      </c>
      <c r="T147" t="str">
        <f t="shared" si="36"/>
        <v>Paper</v>
      </c>
      <c r="U147" t="s">
        <v>867</v>
      </c>
      <c r="V147" t="str">
        <f t="shared" si="37"/>
        <v>Smart Paper 899</v>
      </c>
      <c r="W147" t="s">
        <v>108</v>
      </c>
      <c r="X147" t="str">
        <f t="shared" si="38"/>
        <v>Standard Class</v>
      </c>
      <c r="Y147">
        <v>2</v>
      </c>
      <c r="Z147">
        <v>4</v>
      </c>
      <c r="AA147">
        <v>4182.15</v>
      </c>
      <c r="AB147">
        <v>0.1</v>
      </c>
      <c r="AC147">
        <f t="shared" si="39"/>
        <v>0.1</v>
      </c>
      <c r="AD147">
        <v>15055.74</v>
      </c>
      <c r="AE147">
        <f t="shared" si="40"/>
        <v>15055.74</v>
      </c>
      <c r="AF147">
        <v>9808.83</v>
      </c>
      <c r="AG147">
        <v>5246.91</v>
      </c>
      <c r="AH147">
        <f t="shared" si="41"/>
        <v>5246.91</v>
      </c>
      <c r="AI147">
        <f t="shared" si="42"/>
        <v>0.348498977798501</v>
      </c>
      <c r="AJ147" t="s">
        <v>77</v>
      </c>
      <c r="AK147" t="str">
        <f t="shared" si="43"/>
        <v>Paid</v>
      </c>
      <c r="AL147" t="s">
        <v>78</v>
      </c>
      <c r="AM147" t="str">
        <f t="shared" si="44"/>
        <v>Completed</v>
      </c>
      <c r="AN147">
        <v>4</v>
      </c>
      <c r="AO147">
        <v>2025</v>
      </c>
      <c r="AP147" t="s">
        <v>79</v>
      </c>
    </row>
    <row r="148" spans="1:42">
      <c r="A148" t="s">
        <v>868</v>
      </c>
      <c r="B148" s="3" t="s">
        <v>869</v>
      </c>
      <c r="C148" s="3">
        <v>45868</v>
      </c>
      <c r="D148" t="s">
        <v>870</v>
      </c>
      <c r="E148" s="3">
        <v>45870</v>
      </c>
      <c r="F148" t="s">
        <v>871</v>
      </c>
      <c r="G148" t="s">
        <v>208</v>
      </c>
      <c r="H148" t="str">
        <f t="shared" si="30"/>
        <v>Sneha Kapoor</v>
      </c>
      <c r="I148" t="s">
        <v>85</v>
      </c>
      <c r="J148" t="str">
        <f t="shared" si="31"/>
        <v>Small Business</v>
      </c>
      <c r="K148" t="s">
        <v>10</v>
      </c>
      <c r="L148" t="str">
        <f t="shared" si="32"/>
        <v>South</v>
      </c>
      <c r="M148" t="s">
        <v>382</v>
      </c>
      <c r="N148" t="str">
        <f t="shared" si="33"/>
        <v>Tamil Nadu</v>
      </c>
      <c r="O148" t="s">
        <v>383</v>
      </c>
      <c r="P148" t="str">
        <f t="shared" si="34"/>
        <v>Chennai</v>
      </c>
      <c r="Q148" t="s">
        <v>22</v>
      </c>
      <c r="R148" t="str">
        <f t="shared" si="35"/>
        <v>Office Supplies</v>
      </c>
      <c r="S148" t="s">
        <v>196</v>
      </c>
      <c r="T148" t="str">
        <f t="shared" si="36"/>
        <v>Storage</v>
      </c>
      <c r="U148" t="s">
        <v>872</v>
      </c>
      <c r="V148" t="str">
        <f t="shared" si="37"/>
        <v>Classic Storage 423</v>
      </c>
      <c r="W148" t="s">
        <v>90</v>
      </c>
      <c r="X148" t="str">
        <f t="shared" si="38"/>
        <v>Same Day</v>
      </c>
      <c r="Y148">
        <v>2</v>
      </c>
      <c r="Z148">
        <v>9</v>
      </c>
      <c r="AA148">
        <v>3165.43</v>
      </c>
      <c r="AB148">
        <v>0.1</v>
      </c>
      <c r="AC148">
        <f t="shared" si="39"/>
        <v>0.1</v>
      </c>
      <c r="AD148">
        <v>25639.98</v>
      </c>
      <c r="AE148">
        <f t="shared" si="40"/>
        <v>25639.983</v>
      </c>
      <c r="AF148">
        <v>21635.08</v>
      </c>
      <c r="AG148">
        <v>4004.9</v>
      </c>
      <c r="AH148">
        <f t="shared" si="41"/>
        <v>4004.903</v>
      </c>
      <c r="AI148">
        <f t="shared" si="42"/>
        <v>0.156197568461726</v>
      </c>
      <c r="AJ148" t="s">
        <v>77</v>
      </c>
      <c r="AK148" t="str">
        <f t="shared" si="43"/>
        <v>Paid</v>
      </c>
      <c r="AL148" t="s">
        <v>78</v>
      </c>
      <c r="AM148" t="str">
        <f t="shared" si="44"/>
        <v>Completed</v>
      </c>
      <c r="AN148">
        <v>7</v>
      </c>
      <c r="AO148">
        <v>2025</v>
      </c>
      <c r="AP148" t="s">
        <v>79</v>
      </c>
    </row>
    <row r="149" spans="1:42">
      <c r="A149" t="s">
        <v>873</v>
      </c>
      <c r="B149" s="3" t="s">
        <v>874</v>
      </c>
      <c r="C149" s="3">
        <v>45649</v>
      </c>
      <c r="D149" t="s">
        <v>875</v>
      </c>
      <c r="E149" s="3">
        <v>45656</v>
      </c>
      <c r="F149" t="s">
        <v>876</v>
      </c>
      <c r="G149" t="s">
        <v>182</v>
      </c>
      <c r="H149" t="str">
        <f t="shared" si="30"/>
        <v>Priya Menon</v>
      </c>
      <c r="I149" t="s">
        <v>154</v>
      </c>
      <c r="J149" t="str">
        <f t="shared" si="31"/>
        <v>Home Office</v>
      </c>
      <c r="K149" t="s">
        <v>11</v>
      </c>
      <c r="L149" t="str">
        <f t="shared" si="32"/>
        <v>West</v>
      </c>
      <c r="M149" t="s">
        <v>292</v>
      </c>
      <c r="N149" t="str">
        <f t="shared" si="33"/>
        <v>Goa</v>
      </c>
      <c r="O149" t="s">
        <v>293</v>
      </c>
      <c r="P149" t="str">
        <f t="shared" si="34"/>
        <v>Panaji</v>
      </c>
      <c r="Q149" t="s">
        <v>19</v>
      </c>
      <c r="R149" t="str">
        <f t="shared" si="35"/>
        <v>Furniture</v>
      </c>
      <c r="S149" t="s">
        <v>106</v>
      </c>
      <c r="T149" t="str">
        <f t="shared" si="36"/>
        <v>Furnishings</v>
      </c>
      <c r="U149" t="s">
        <v>877</v>
      </c>
      <c r="V149" t="str">
        <f t="shared" si="37"/>
        <v>Classic Furnishings 743</v>
      </c>
      <c r="W149" t="s">
        <v>98</v>
      </c>
      <c r="X149" t="str">
        <f t="shared" si="38"/>
        <v>First Class</v>
      </c>
      <c r="Y149">
        <v>7</v>
      </c>
      <c r="Z149">
        <v>8</v>
      </c>
      <c r="AA149">
        <v>386.1</v>
      </c>
      <c r="AB149">
        <v>0.1</v>
      </c>
      <c r="AC149">
        <f t="shared" si="39"/>
        <v>0.1</v>
      </c>
      <c r="AD149">
        <v>2779.92</v>
      </c>
      <c r="AE149">
        <f t="shared" si="40"/>
        <v>2779.92</v>
      </c>
      <c r="AF149">
        <v>1744.05</v>
      </c>
      <c r="AG149">
        <v>1035.87</v>
      </c>
      <c r="AH149">
        <f t="shared" si="41"/>
        <v>1035.87</v>
      </c>
      <c r="AI149">
        <f t="shared" si="42"/>
        <v>0.372625830959164</v>
      </c>
      <c r="AJ149" t="s">
        <v>77</v>
      </c>
      <c r="AK149" t="str">
        <f t="shared" si="43"/>
        <v>Paid</v>
      </c>
      <c r="AL149" t="s">
        <v>78</v>
      </c>
      <c r="AM149" t="str">
        <f t="shared" si="44"/>
        <v>Completed</v>
      </c>
      <c r="AN149">
        <v>12</v>
      </c>
      <c r="AO149">
        <v>2024</v>
      </c>
      <c r="AP149" t="s">
        <v>79</v>
      </c>
    </row>
    <row r="150" spans="1:42">
      <c r="A150" t="s">
        <v>878</v>
      </c>
      <c r="B150" s="3" t="s">
        <v>879</v>
      </c>
      <c r="C150" s="3">
        <v>45697</v>
      </c>
      <c r="D150" t="s">
        <v>880</v>
      </c>
      <c r="E150" s="3">
        <v>45701</v>
      </c>
      <c r="F150" t="s">
        <v>881</v>
      </c>
      <c r="G150" t="s">
        <v>84</v>
      </c>
      <c r="H150" t="str">
        <f t="shared" si="30"/>
        <v>Mira Das</v>
      </c>
      <c r="I150" t="s">
        <v>154</v>
      </c>
      <c r="J150" t="str">
        <f t="shared" si="31"/>
        <v>Home Office</v>
      </c>
      <c r="K150" t="s">
        <v>11</v>
      </c>
      <c r="L150" t="str">
        <f t="shared" si="32"/>
        <v>West</v>
      </c>
      <c r="M150" t="s">
        <v>124</v>
      </c>
      <c r="N150" t="str">
        <f t="shared" si="33"/>
        <v>Madhya Pradesh</v>
      </c>
      <c r="O150" t="s">
        <v>125</v>
      </c>
      <c r="P150" t="str">
        <f t="shared" si="34"/>
        <v>Indore</v>
      </c>
      <c r="Q150" t="s">
        <v>24</v>
      </c>
      <c r="R150" t="str">
        <f t="shared" si="35"/>
        <v>Technology</v>
      </c>
      <c r="S150" t="s">
        <v>265</v>
      </c>
      <c r="T150" t="str">
        <f t="shared" si="36"/>
        <v>Phones</v>
      </c>
      <c r="U150" t="s">
        <v>882</v>
      </c>
      <c r="V150" t="str">
        <f t="shared" si="37"/>
        <v>Smart Phones 336</v>
      </c>
      <c r="X150" t="str">
        <f t="shared" si="38"/>
        <v/>
      </c>
      <c r="Y150">
        <v>4</v>
      </c>
      <c r="Z150">
        <v>8</v>
      </c>
      <c r="AA150">
        <v>1696.07</v>
      </c>
      <c r="AB150">
        <v>0.25</v>
      </c>
      <c r="AC150">
        <f t="shared" si="39"/>
        <v>0.25</v>
      </c>
      <c r="AD150">
        <v>10176.42</v>
      </c>
      <c r="AE150">
        <f t="shared" si="40"/>
        <v>10176.42</v>
      </c>
      <c r="AF150">
        <v>7604.47</v>
      </c>
      <c r="AG150">
        <v>2571.95</v>
      </c>
      <c r="AH150">
        <f t="shared" si="41"/>
        <v>2571.95</v>
      </c>
      <c r="AI150">
        <f t="shared" si="42"/>
        <v>0.252736227474888</v>
      </c>
      <c r="AJ150" t="s">
        <v>77</v>
      </c>
      <c r="AK150" t="str">
        <f t="shared" si="43"/>
        <v>Paid</v>
      </c>
      <c r="AL150" t="s">
        <v>78</v>
      </c>
      <c r="AM150" t="str">
        <f t="shared" si="44"/>
        <v>Completed</v>
      </c>
      <c r="AN150">
        <v>2</v>
      </c>
      <c r="AO150">
        <v>2025</v>
      </c>
      <c r="AP150" t="s">
        <v>79</v>
      </c>
    </row>
    <row r="151" spans="1:42">
      <c r="A151" t="s">
        <v>883</v>
      </c>
      <c r="B151" s="3" t="s">
        <v>884</v>
      </c>
      <c r="C151" s="3">
        <v>45321</v>
      </c>
      <c r="D151" t="s">
        <v>884</v>
      </c>
      <c r="E151" s="3">
        <v>45321</v>
      </c>
      <c r="F151" t="s">
        <v>885</v>
      </c>
      <c r="G151" t="s">
        <v>202</v>
      </c>
      <c r="H151" t="str">
        <f t="shared" si="30"/>
        <v>Aarav Sharma</v>
      </c>
      <c r="I151" t="s">
        <v>85</v>
      </c>
      <c r="J151" t="str">
        <f t="shared" si="31"/>
        <v>Small Business</v>
      </c>
      <c r="K151" t="s">
        <v>886</v>
      </c>
      <c r="L151" t="str">
        <f t="shared" si="32"/>
        <v>West</v>
      </c>
      <c r="M151" t="s">
        <v>72</v>
      </c>
      <c r="N151" t="str">
        <f t="shared" si="33"/>
        <v>Rajasthan</v>
      </c>
      <c r="O151" t="s">
        <v>175</v>
      </c>
      <c r="P151" t="str">
        <f t="shared" si="34"/>
        <v>Udaipur</v>
      </c>
      <c r="Q151" t="s">
        <v>24</v>
      </c>
      <c r="R151" t="str">
        <f t="shared" si="35"/>
        <v>Technology</v>
      </c>
      <c r="S151" t="s">
        <v>133</v>
      </c>
      <c r="T151" t="str">
        <f t="shared" si="36"/>
        <v>Copiers</v>
      </c>
      <c r="U151" t="s">
        <v>887</v>
      </c>
      <c r="V151" t="str">
        <f t="shared" si="37"/>
        <v>Eco Copiers 381</v>
      </c>
      <c r="W151" t="s">
        <v>90</v>
      </c>
      <c r="X151" t="str">
        <f t="shared" si="38"/>
        <v>Same Day</v>
      </c>
      <c r="Y151">
        <v>0</v>
      </c>
      <c r="Z151">
        <v>7</v>
      </c>
      <c r="AA151">
        <v>2527.61</v>
      </c>
      <c r="AB151">
        <v>0.25</v>
      </c>
      <c r="AC151">
        <f t="shared" si="39"/>
        <v>0.25</v>
      </c>
      <c r="AD151">
        <v>13269.95</v>
      </c>
      <c r="AE151">
        <f t="shared" si="40"/>
        <v>13269.9525</v>
      </c>
      <c r="AF151">
        <v>8977.1</v>
      </c>
      <c r="AG151">
        <v>4292.85</v>
      </c>
      <c r="AH151">
        <f t="shared" si="41"/>
        <v>4292.8525</v>
      </c>
      <c r="AI151">
        <f t="shared" si="42"/>
        <v>0.323501723159898</v>
      </c>
      <c r="AJ151" t="s">
        <v>77</v>
      </c>
      <c r="AK151" t="str">
        <f t="shared" si="43"/>
        <v>Paid</v>
      </c>
      <c r="AL151" t="s">
        <v>78</v>
      </c>
      <c r="AM151" t="str">
        <f t="shared" si="44"/>
        <v>Completed</v>
      </c>
      <c r="AN151">
        <v>1</v>
      </c>
      <c r="AO151">
        <v>2024</v>
      </c>
      <c r="AP151" t="s">
        <v>79</v>
      </c>
    </row>
    <row r="152" spans="1:42">
      <c r="A152" t="s">
        <v>888</v>
      </c>
      <c r="B152" s="3" t="s">
        <v>889</v>
      </c>
      <c r="C152" s="3">
        <v>45355</v>
      </c>
      <c r="D152" t="s">
        <v>890</v>
      </c>
      <c r="E152" s="3">
        <v>45363</v>
      </c>
      <c r="F152" t="s">
        <v>891</v>
      </c>
      <c r="G152" t="s">
        <v>103</v>
      </c>
      <c r="H152" t="str">
        <f t="shared" si="30"/>
        <v>Arjun Bose</v>
      </c>
      <c r="I152" t="s">
        <v>71</v>
      </c>
      <c r="J152" t="str">
        <f t="shared" si="31"/>
        <v>Consumer</v>
      </c>
      <c r="L152" t="str">
        <f t="shared" si="32"/>
        <v/>
      </c>
      <c r="M152" t="s">
        <v>278</v>
      </c>
      <c r="N152" t="str">
        <f t="shared" si="33"/>
        <v>Gujarat</v>
      </c>
      <c r="O152" t="s">
        <v>279</v>
      </c>
      <c r="P152" t="str">
        <f t="shared" si="34"/>
        <v>Ahmedabad</v>
      </c>
      <c r="Q152" t="s">
        <v>19</v>
      </c>
      <c r="R152" t="str">
        <f t="shared" si="35"/>
        <v>Furniture</v>
      </c>
      <c r="S152" t="s">
        <v>245</v>
      </c>
      <c r="T152" t="str">
        <f t="shared" si="36"/>
        <v>Bookcases</v>
      </c>
      <c r="U152" t="s">
        <v>892</v>
      </c>
      <c r="V152" t="str">
        <f t="shared" si="37"/>
        <v>Max Bookcases 595</v>
      </c>
      <c r="W152" t="s">
        <v>98</v>
      </c>
      <c r="X152" t="str">
        <f t="shared" si="38"/>
        <v>First Class</v>
      </c>
      <c r="Y152">
        <v>8</v>
      </c>
      <c r="Z152">
        <v>1</v>
      </c>
      <c r="AA152">
        <v>1554.12</v>
      </c>
      <c r="AB152">
        <v>0.1</v>
      </c>
      <c r="AC152">
        <f t="shared" si="39"/>
        <v>0.1</v>
      </c>
      <c r="AD152">
        <v>1398.71</v>
      </c>
      <c r="AE152">
        <f t="shared" si="40"/>
        <v>1398.708</v>
      </c>
      <c r="AF152">
        <v>1056.92</v>
      </c>
      <c r="AG152">
        <v>341.79</v>
      </c>
      <c r="AH152">
        <f t="shared" si="41"/>
        <v>341.788</v>
      </c>
      <c r="AI152">
        <f t="shared" si="42"/>
        <v>0.244359794896433</v>
      </c>
      <c r="AJ152" t="s">
        <v>77</v>
      </c>
      <c r="AK152" t="str">
        <f t="shared" si="43"/>
        <v>Paid</v>
      </c>
      <c r="AL152" t="s">
        <v>78</v>
      </c>
      <c r="AM152" t="str">
        <f t="shared" si="44"/>
        <v>Completed</v>
      </c>
      <c r="AN152">
        <v>3</v>
      </c>
      <c r="AO152">
        <v>2024</v>
      </c>
      <c r="AP152" t="s">
        <v>79</v>
      </c>
    </row>
    <row r="153" spans="1:42">
      <c r="A153" t="s">
        <v>893</v>
      </c>
      <c r="B153" s="3" t="s">
        <v>894</v>
      </c>
      <c r="C153" s="3">
        <v>45470</v>
      </c>
      <c r="D153" t="s">
        <v>895</v>
      </c>
      <c r="E153" s="3">
        <v>45470</v>
      </c>
      <c r="F153" t="s">
        <v>896</v>
      </c>
      <c r="G153" t="s">
        <v>132</v>
      </c>
      <c r="H153" t="str">
        <f t="shared" si="30"/>
        <v>Neha Gupta</v>
      </c>
      <c r="I153" t="s">
        <v>154</v>
      </c>
      <c r="J153" t="str">
        <f t="shared" si="31"/>
        <v>Home Office</v>
      </c>
      <c r="L153" t="str">
        <f t="shared" si="32"/>
        <v/>
      </c>
      <c r="M153" t="s">
        <v>124</v>
      </c>
      <c r="N153" t="str">
        <f t="shared" si="33"/>
        <v>Madhya Pradesh</v>
      </c>
      <c r="O153" t="s">
        <v>125</v>
      </c>
      <c r="P153" t="str">
        <f t="shared" si="34"/>
        <v>Indore</v>
      </c>
      <c r="Q153" t="s">
        <v>24</v>
      </c>
      <c r="R153" t="str">
        <f t="shared" si="35"/>
        <v>Technology</v>
      </c>
      <c r="S153" t="s">
        <v>133</v>
      </c>
      <c r="T153" t="str">
        <f t="shared" si="36"/>
        <v>Copiers</v>
      </c>
      <c r="U153" t="s">
        <v>897</v>
      </c>
      <c r="V153" t="str">
        <f t="shared" si="37"/>
        <v>Max Copiers 992</v>
      </c>
      <c r="W153" t="s">
        <v>108</v>
      </c>
      <c r="X153" t="str">
        <f t="shared" si="38"/>
        <v>Standard Class</v>
      </c>
      <c r="Y153">
        <v>0</v>
      </c>
      <c r="Z153">
        <v>2</v>
      </c>
      <c r="AA153">
        <v>3859.11</v>
      </c>
      <c r="AB153">
        <v>0</v>
      </c>
      <c r="AC153">
        <f t="shared" si="39"/>
        <v>0</v>
      </c>
      <c r="AD153">
        <v>7718.22</v>
      </c>
      <c r="AE153">
        <f t="shared" si="40"/>
        <v>7718.22</v>
      </c>
      <c r="AF153">
        <v>5355.93</v>
      </c>
      <c r="AG153">
        <v>2362.29</v>
      </c>
      <c r="AH153">
        <f t="shared" si="41"/>
        <v>2362.29</v>
      </c>
      <c r="AI153">
        <f t="shared" si="42"/>
        <v>0.306066683769056</v>
      </c>
      <c r="AJ153" t="s">
        <v>177</v>
      </c>
      <c r="AK153" t="str">
        <f t="shared" si="43"/>
        <v>Pending</v>
      </c>
      <c r="AL153" t="s">
        <v>164</v>
      </c>
      <c r="AM153" t="str">
        <f t="shared" si="44"/>
        <v>Returned</v>
      </c>
      <c r="AN153">
        <v>6</v>
      </c>
      <c r="AO153">
        <v>2024</v>
      </c>
      <c r="AP153" t="s">
        <v>79</v>
      </c>
    </row>
    <row r="154" spans="1:42">
      <c r="A154" t="s">
        <v>898</v>
      </c>
      <c r="B154" s="3" t="s">
        <v>899</v>
      </c>
      <c r="C154" s="3">
        <v>45457</v>
      </c>
      <c r="D154" t="s">
        <v>900</v>
      </c>
      <c r="E154" s="3">
        <v>45460</v>
      </c>
      <c r="F154" t="s">
        <v>901</v>
      </c>
      <c r="G154" t="s">
        <v>411</v>
      </c>
      <c r="H154" t="str">
        <f t="shared" si="30"/>
        <v>Kabir Singh</v>
      </c>
      <c r="I154" t="s">
        <v>85</v>
      </c>
      <c r="J154" t="str">
        <f t="shared" si="31"/>
        <v>Small Business</v>
      </c>
      <c r="K154" t="s">
        <v>10</v>
      </c>
      <c r="L154" t="str">
        <f t="shared" si="32"/>
        <v>South</v>
      </c>
      <c r="M154" t="s">
        <v>285</v>
      </c>
      <c r="N154" t="str">
        <f t="shared" si="33"/>
        <v>Kerala</v>
      </c>
      <c r="O154" t="s">
        <v>286</v>
      </c>
      <c r="P154" t="str">
        <f t="shared" si="34"/>
        <v>Kochi</v>
      </c>
      <c r="Q154" t="s">
        <v>19</v>
      </c>
      <c r="R154" t="str">
        <f t="shared" si="35"/>
        <v>Furniture</v>
      </c>
      <c r="S154" t="s">
        <v>88</v>
      </c>
      <c r="T154" t="str">
        <f t="shared" si="36"/>
        <v>Tables</v>
      </c>
      <c r="U154" t="s">
        <v>902</v>
      </c>
      <c r="V154" t="str">
        <f t="shared" si="37"/>
        <v>Pro Tables 407</v>
      </c>
      <c r="W154" t="s">
        <v>76</v>
      </c>
      <c r="X154" t="str">
        <f t="shared" si="38"/>
        <v>Second Class</v>
      </c>
      <c r="Y154">
        <v>3</v>
      </c>
      <c r="Z154">
        <v>6</v>
      </c>
      <c r="AA154">
        <v>1088.04</v>
      </c>
      <c r="AB154">
        <v>0.1</v>
      </c>
      <c r="AC154">
        <f t="shared" si="39"/>
        <v>0.1</v>
      </c>
      <c r="AD154">
        <v>5875.42</v>
      </c>
      <c r="AE154">
        <f t="shared" si="40"/>
        <v>5875.416</v>
      </c>
      <c r="AF154">
        <v>4380.55</v>
      </c>
      <c r="AG154">
        <v>1494.87</v>
      </c>
      <c r="AH154">
        <f t="shared" si="41"/>
        <v>1494.866</v>
      </c>
      <c r="AI154">
        <f t="shared" si="42"/>
        <v>0.254427260980329</v>
      </c>
      <c r="AJ154" t="s">
        <v>177</v>
      </c>
      <c r="AK154" t="str">
        <f t="shared" si="43"/>
        <v>Pending</v>
      </c>
      <c r="AL154" t="s">
        <v>164</v>
      </c>
      <c r="AM154" t="str">
        <f t="shared" si="44"/>
        <v>Returned</v>
      </c>
      <c r="AN154">
        <v>6</v>
      </c>
      <c r="AO154">
        <v>2024</v>
      </c>
      <c r="AP154" t="s">
        <v>79</v>
      </c>
    </row>
    <row r="155" spans="1:42">
      <c r="A155" t="s">
        <v>903</v>
      </c>
      <c r="B155" s="3" t="s">
        <v>904</v>
      </c>
      <c r="C155" s="3">
        <v>45923</v>
      </c>
      <c r="D155" t="s">
        <v>905</v>
      </c>
      <c r="E155" s="3">
        <v>45925</v>
      </c>
      <c r="F155" t="s">
        <v>906</v>
      </c>
      <c r="G155" t="s">
        <v>146</v>
      </c>
      <c r="H155" t="str">
        <f t="shared" si="30"/>
        <v>Aditi Sen</v>
      </c>
      <c r="I155" t="s">
        <v>71</v>
      </c>
      <c r="J155" t="str">
        <f t="shared" si="31"/>
        <v>Consumer</v>
      </c>
      <c r="K155" t="s">
        <v>7</v>
      </c>
      <c r="L155" t="str">
        <f t="shared" si="32"/>
        <v>East</v>
      </c>
      <c r="M155" t="s">
        <v>86</v>
      </c>
      <c r="N155" t="str">
        <f t="shared" si="33"/>
        <v>Odisha</v>
      </c>
      <c r="O155" t="s">
        <v>87</v>
      </c>
      <c r="P155" t="str">
        <f t="shared" si="34"/>
        <v>Bhubaneswar</v>
      </c>
      <c r="Q155" t="s">
        <v>22</v>
      </c>
      <c r="R155" t="str">
        <f t="shared" si="35"/>
        <v>Office Supplies</v>
      </c>
      <c r="S155" t="s">
        <v>148</v>
      </c>
      <c r="T155" t="str">
        <f t="shared" si="36"/>
        <v>Labels</v>
      </c>
      <c r="U155" t="s">
        <v>907</v>
      </c>
      <c r="V155" t="str">
        <f t="shared" si="37"/>
        <v>Prime Labels 559</v>
      </c>
      <c r="W155" t="s">
        <v>108</v>
      </c>
      <c r="X155" t="str">
        <f t="shared" si="38"/>
        <v>Standard Class</v>
      </c>
      <c r="Y155">
        <v>2</v>
      </c>
      <c r="Z155">
        <v>7</v>
      </c>
      <c r="AA155">
        <v>3280.31</v>
      </c>
      <c r="AB155">
        <v>0</v>
      </c>
      <c r="AC155">
        <f t="shared" si="39"/>
        <v>0</v>
      </c>
      <c r="AD155">
        <v>22962.17</v>
      </c>
      <c r="AE155">
        <f t="shared" si="40"/>
        <v>22962.17</v>
      </c>
      <c r="AF155">
        <v>15716.5</v>
      </c>
      <c r="AG155">
        <v>7245.67</v>
      </c>
      <c r="AH155">
        <f t="shared" si="41"/>
        <v>7245.67</v>
      </c>
      <c r="AI155">
        <f t="shared" si="42"/>
        <v>0.315548138525235</v>
      </c>
      <c r="AJ155" t="s">
        <v>163</v>
      </c>
      <c r="AK155" t="str">
        <f t="shared" si="43"/>
        <v>Refunded</v>
      </c>
      <c r="AL155" t="s">
        <v>164</v>
      </c>
      <c r="AM155" t="str">
        <f t="shared" si="44"/>
        <v>Returned</v>
      </c>
      <c r="AN155">
        <v>9</v>
      </c>
      <c r="AO155">
        <v>2025</v>
      </c>
      <c r="AP155" t="s">
        <v>79</v>
      </c>
    </row>
    <row r="156" spans="1:42">
      <c r="A156" t="s">
        <v>908</v>
      </c>
      <c r="B156" s="3" t="s">
        <v>909</v>
      </c>
      <c r="C156" s="3">
        <v>45334</v>
      </c>
      <c r="D156" t="s">
        <v>910</v>
      </c>
      <c r="E156" s="3">
        <v>45333</v>
      </c>
      <c r="F156" t="s">
        <v>717</v>
      </c>
      <c r="G156" t="s">
        <v>182</v>
      </c>
      <c r="H156" t="str">
        <f t="shared" si="30"/>
        <v>Priya Menon</v>
      </c>
      <c r="I156" t="s">
        <v>71</v>
      </c>
      <c r="J156" t="str">
        <f t="shared" si="31"/>
        <v>Consumer</v>
      </c>
      <c r="K156" t="s">
        <v>10</v>
      </c>
      <c r="L156" t="str">
        <f t="shared" si="32"/>
        <v>South</v>
      </c>
      <c r="M156" t="s">
        <v>382</v>
      </c>
      <c r="N156" t="str">
        <f t="shared" si="33"/>
        <v>Tamil Nadu</v>
      </c>
      <c r="O156" t="s">
        <v>383</v>
      </c>
      <c r="P156" t="str">
        <f t="shared" si="34"/>
        <v>Chennai</v>
      </c>
      <c r="Q156" t="s">
        <v>19</v>
      </c>
      <c r="R156" t="str">
        <f t="shared" si="35"/>
        <v>Furniture</v>
      </c>
      <c r="S156" t="s">
        <v>245</v>
      </c>
      <c r="T156" t="str">
        <f t="shared" si="36"/>
        <v>Bookcases</v>
      </c>
      <c r="U156" t="s">
        <v>911</v>
      </c>
      <c r="V156" t="str">
        <f t="shared" si="37"/>
        <v>Classic Bookcases 847</v>
      </c>
      <c r="W156" t="s">
        <v>90</v>
      </c>
      <c r="X156" t="str">
        <f t="shared" si="38"/>
        <v>Same Day</v>
      </c>
      <c r="Y156">
        <v>-1</v>
      </c>
      <c r="Z156">
        <v>1</v>
      </c>
      <c r="AA156">
        <v>2599.12</v>
      </c>
      <c r="AB156">
        <v>0.15</v>
      </c>
      <c r="AC156">
        <f t="shared" si="39"/>
        <v>0.15</v>
      </c>
      <c r="AD156">
        <v>2209.25</v>
      </c>
      <c r="AE156">
        <f t="shared" si="40"/>
        <v>2209.252</v>
      </c>
      <c r="AF156">
        <v>1523.78</v>
      </c>
      <c r="AG156">
        <v>685.47</v>
      </c>
      <c r="AH156">
        <f t="shared" si="41"/>
        <v>685.472</v>
      </c>
      <c r="AI156">
        <f t="shared" si="42"/>
        <v>0.310273341384324</v>
      </c>
      <c r="AJ156" t="s">
        <v>77</v>
      </c>
      <c r="AK156" t="str">
        <f t="shared" si="43"/>
        <v>Paid</v>
      </c>
      <c r="AL156" t="s">
        <v>78</v>
      </c>
      <c r="AM156" t="str">
        <f t="shared" si="44"/>
        <v>Completed</v>
      </c>
      <c r="AN156">
        <v>2</v>
      </c>
      <c r="AO156">
        <v>2024</v>
      </c>
      <c r="AP156" t="s">
        <v>253</v>
      </c>
    </row>
    <row r="157" spans="1:42">
      <c r="A157" t="s">
        <v>912</v>
      </c>
      <c r="B157" s="3" t="s">
        <v>605</v>
      </c>
      <c r="C157" s="3">
        <v>45683</v>
      </c>
      <c r="D157" t="s">
        <v>485</v>
      </c>
      <c r="E157" s="3">
        <v>45691</v>
      </c>
      <c r="F157" t="s">
        <v>913</v>
      </c>
      <c r="G157" t="s">
        <v>70</v>
      </c>
      <c r="H157" t="str">
        <f t="shared" si="30"/>
        <v>Karan Malhotra</v>
      </c>
      <c r="I157" t="s">
        <v>147</v>
      </c>
      <c r="J157" t="str">
        <f t="shared" si="31"/>
        <v>Corporate</v>
      </c>
      <c r="K157" t="s">
        <v>11</v>
      </c>
      <c r="L157" t="str">
        <f t="shared" si="32"/>
        <v>West</v>
      </c>
      <c r="M157" t="s">
        <v>72</v>
      </c>
      <c r="N157" t="str">
        <f t="shared" si="33"/>
        <v>Rajasthan</v>
      </c>
      <c r="O157" t="s">
        <v>175</v>
      </c>
      <c r="P157" t="str">
        <f t="shared" si="34"/>
        <v>Udaipur</v>
      </c>
      <c r="Q157" t="s">
        <v>19</v>
      </c>
      <c r="R157" t="str">
        <f t="shared" si="35"/>
        <v>Furniture</v>
      </c>
      <c r="S157" t="s">
        <v>106</v>
      </c>
      <c r="T157" t="str">
        <f t="shared" si="36"/>
        <v>Furnishings</v>
      </c>
      <c r="U157" t="s">
        <v>914</v>
      </c>
      <c r="V157" t="str">
        <f t="shared" si="37"/>
        <v>Classic Furnishings 655</v>
      </c>
      <c r="W157" t="s">
        <v>90</v>
      </c>
      <c r="X157" t="str">
        <f t="shared" si="38"/>
        <v>Same Day</v>
      </c>
      <c r="Y157">
        <v>8</v>
      </c>
      <c r="Z157">
        <v>3</v>
      </c>
      <c r="AA157">
        <v>2859.32</v>
      </c>
      <c r="AB157">
        <v>0.1</v>
      </c>
      <c r="AC157">
        <f t="shared" si="39"/>
        <v>0.1</v>
      </c>
      <c r="AD157">
        <v>7720.16</v>
      </c>
      <c r="AE157">
        <f t="shared" si="40"/>
        <v>7720.164</v>
      </c>
      <c r="AF157">
        <v>5881</v>
      </c>
      <c r="AG157">
        <v>1839.16</v>
      </c>
      <c r="AH157">
        <f t="shared" si="41"/>
        <v>1839.164</v>
      </c>
      <c r="AI157">
        <f t="shared" si="42"/>
        <v>0.238228617941277</v>
      </c>
      <c r="AJ157" t="s">
        <v>163</v>
      </c>
      <c r="AK157" t="str">
        <f t="shared" si="43"/>
        <v>Refunded</v>
      </c>
      <c r="AL157" t="s">
        <v>164</v>
      </c>
      <c r="AM157" t="str">
        <f t="shared" si="44"/>
        <v>Returned</v>
      </c>
      <c r="AN157">
        <v>1</v>
      </c>
      <c r="AO157">
        <v>2025</v>
      </c>
      <c r="AP157" t="s">
        <v>79</v>
      </c>
    </row>
    <row r="158" spans="1:42">
      <c r="A158" t="s">
        <v>915</v>
      </c>
      <c r="B158" s="3" t="s">
        <v>916</v>
      </c>
      <c r="C158" s="3">
        <v>45743</v>
      </c>
      <c r="D158" t="s">
        <v>917</v>
      </c>
      <c r="E158" s="3">
        <v>45743</v>
      </c>
      <c r="F158" t="s">
        <v>918</v>
      </c>
      <c r="G158" t="s">
        <v>123</v>
      </c>
      <c r="H158" t="str">
        <f t="shared" si="30"/>
        <v>Vikram Iyer</v>
      </c>
      <c r="I158" t="s">
        <v>85</v>
      </c>
      <c r="J158" t="str">
        <f t="shared" si="31"/>
        <v>Small Business</v>
      </c>
      <c r="K158" t="s">
        <v>7</v>
      </c>
      <c r="L158" t="str">
        <f t="shared" si="32"/>
        <v>East</v>
      </c>
      <c r="M158" t="s">
        <v>227</v>
      </c>
      <c r="N158" t="str">
        <f t="shared" si="33"/>
        <v>Bihar</v>
      </c>
      <c r="O158" t="s">
        <v>228</v>
      </c>
      <c r="P158" t="str">
        <f t="shared" si="34"/>
        <v>Patna</v>
      </c>
      <c r="Q158" t="s">
        <v>24</v>
      </c>
      <c r="R158" t="str">
        <f t="shared" si="35"/>
        <v>Technology</v>
      </c>
      <c r="S158" t="s">
        <v>427</v>
      </c>
      <c r="T158" t="str">
        <f t="shared" si="36"/>
        <v>Machines</v>
      </c>
      <c r="U158" t="s">
        <v>919</v>
      </c>
      <c r="V158" t="str">
        <f t="shared" si="37"/>
        <v>Eco Machines 657</v>
      </c>
      <c r="W158" t="s">
        <v>76</v>
      </c>
      <c r="X158" t="str">
        <f t="shared" si="38"/>
        <v>Second Class</v>
      </c>
      <c r="Y158">
        <v>0</v>
      </c>
      <c r="Z158">
        <v>7</v>
      </c>
      <c r="AA158">
        <v>2305.37</v>
      </c>
      <c r="AB158">
        <v>0.25</v>
      </c>
      <c r="AC158">
        <f t="shared" si="39"/>
        <v>0.25</v>
      </c>
      <c r="AD158">
        <v>12103.19</v>
      </c>
      <c r="AE158">
        <f t="shared" si="40"/>
        <v>12103.1925</v>
      </c>
      <c r="AF158">
        <v>6717.87</v>
      </c>
      <c r="AG158">
        <v>5385.32</v>
      </c>
      <c r="AH158">
        <f t="shared" si="41"/>
        <v>5385.3225</v>
      </c>
      <c r="AI158">
        <f t="shared" si="42"/>
        <v>0.44495057812226</v>
      </c>
      <c r="AJ158" t="s">
        <v>77</v>
      </c>
      <c r="AK158" t="str">
        <f t="shared" si="43"/>
        <v>Paid</v>
      </c>
      <c r="AL158" t="s">
        <v>767</v>
      </c>
      <c r="AM158" t="str">
        <f t="shared" si="44"/>
        <v>Completed</v>
      </c>
      <c r="AN158">
        <v>3</v>
      </c>
      <c r="AO158">
        <v>2025</v>
      </c>
      <c r="AP158" t="s">
        <v>79</v>
      </c>
    </row>
    <row r="159" spans="1:42">
      <c r="A159" t="s">
        <v>920</v>
      </c>
      <c r="B159" s="3" t="s">
        <v>921</v>
      </c>
      <c r="C159" s="3">
        <v>45587</v>
      </c>
      <c r="D159" t="s">
        <v>922</v>
      </c>
      <c r="E159" s="3">
        <v>45589</v>
      </c>
      <c r="F159" t="s">
        <v>923</v>
      </c>
      <c r="G159" t="s">
        <v>220</v>
      </c>
      <c r="H159" t="str">
        <f t="shared" si="30"/>
        <v>Rohan Mehta</v>
      </c>
      <c r="I159" t="s">
        <v>85</v>
      </c>
      <c r="J159" t="str">
        <f t="shared" si="31"/>
        <v>Small Business</v>
      </c>
      <c r="K159" t="s">
        <v>10</v>
      </c>
      <c r="L159" t="str">
        <f t="shared" si="32"/>
        <v>South</v>
      </c>
      <c r="M159" t="s">
        <v>139</v>
      </c>
      <c r="N159" t="str">
        <f t="shared" si="33"/>
        <v>Andhra Pradesh</v>
      </c>
      <c r="O159" t="s">
        <v>140</v>
      </c>
      <c r="P159" t="str">
        <f t="shared" si="34"/>
        <v>Vijayawada</v>
      </c>
      <c r="Q159" t="s">
        <v>19</v>
      </c>
      <c r="R159" t="str">
        <f t="shared" si="35"/>
        <v>Furniture</v>
      </c>
      <c r="S159" t="s">
        <v>245</v>
      </c>
      <c r="T159" t="str">
        <f t="shared" si="36"/>
        <v>Bookcases</v>
      </c>
      <c r="U159" t="s">
        <v>924</v>
      </c>
      <c r="V159" t="str">
        <f t="shared" si="37"/>
        <v>Pro Bookcases 430</v>
      </c>
      <c r="W159" t="s">
        <v>108</v>
      </c>
      <c r="X159" t="str">
        <f t="shared" si="38"/>
        <v>Standard Class</v>
      </c>
      <c r="Y159">
        <v>2</v>
      </c>
      <c r="Z159">
        <v>3</v>
      </c>
      <c r="AA159">
        <v>915.84</v>
      </c>
      <c r="AB159">
        <v>0.15</v>
      </c>
      <c r="AC159">
        <f t="shared" si="39"/>
        <v>0.15</v>
      </c>
      <c r="AD159">
        <v>2335.39</v>
      </c>
      <c r="AE159">
        <f t="shared" si="40"/>
        <v>2335.392</v>
      </c>
      <c r="AF159">
        <v>1466.15</v>
      </c>
      <c r="AG159">
        <v>869.24</v>
      </c>
      <c r="AH159">
        <f t="shared" si="41"/>
        <v>869.242</v>
      </c>
      <c r="AI159">
        <f t="shared" si="42"/>
        <v>0.372203895534454</v>
      </c>
      <c r="AJ159" t="s">
        <v>77</v>
      </c>
      <c r="AK159" t="str">
        <f t="shared" si="43"/>
        <v>Paid</v>
      </c>
      <c r="AL159" t="s">
        <v>78</v>
      </c>
      <c r="AM159" t="str">
        <f t="shared" si="44"/>
        <v>Completed</v>
      </c>
      <c r="AN159">
        <v>10</v>
      </c>
      <c r="AO159">
        <v>2024</v>
      </c>
      <c r="AP159" t="s">
        <v>79</v>
      </c>
    </row>
    <row r="160" spans="1:42">
      <c r="A160" t="s">
        <v>925</v>
      </c>
      <c r="B160" s="3" t="s">
        <v>926</v>
      </c>
      <c r="C160" s="3">
        <v>45544</v>
      </c>
      <c r="D160" t="s">
        <v>927</v>
      </c>
      <c r="E160" s="3">
        <v>45546</v>
      </c>
      <c r="F160" t="s">
        <v>928</v>
      </c>
      <c r="G160" t="s">
        <v>132</v>
      </c>
      <c r="H160" t="str">
        <f t="shared" si="30"/>
        <v>Neha Gupta</v>
      </c>
      <c r="I160" t="s">
        <v>154</v>
      </c>
      <c r="J160" t="str">
        <f t="shared" si="31"/>
        <v>Home Office</v>
      </c>
      <c r="K160" t="s">
        <v>10</v>
      </c>
      <c r="L160" t="str">
        <f t="shared" si="32"/>
        <v>South</v>
      </c>
      <c r="M160" t="s">
        <v>104</v>
      </c>
      <c r="N160" t="str">
        <f t="shared" si="33"/>
        <v>Telangana</v>
      </c>
      <c r="O160" t="s">
        <v>105</v>
      </c>
      <c r="P160" t="str">
        <f t="shared" si="34"/>
        <v>Hyderabad</v>
      </c>
      <c r="Q160" t="s">
        <v>19</v>
      </c>
      <c r="R160" t="str">
        <f t="shared" si="35"/>
        <v>Furniture</v>
      </c>
      <c r="S160" t="s">
        <v>245</v>
      </c>
      <c r="T160" t="str">
        <f t="shared" si="36"/>
        <v>Bookcases</v>
      </c>
      <c r="U160" t="s">
        <v>929</v>
      </c>
      <c r="V160" t="str">
        <f t="shared" si="37"/>
        <v>Max Bookcases 881</v>
      </c>
      <c r="W160" t="s">
        <v>98</v>
      </c>
      <c r="X160" t="str">
        <f t="shared" si="38"/>
        <v>First Class</v>
      </c>
      <c r="Y160">
        <v>2</v>
      </c>
      <c r="Z160">
        <v>1</v>
      </c>
      <c r="AA160">
        <v>4199.54</v>
      </c>
      <c r="AB160">
        <v>0.05</v>
      </c>
      <c r="AC160">
        <f t="shared" si="39"/>
        <v>0.05</v>
      </c>
      <c r="AD160">
        <v>3989.56</v>
      </c>
      <c r="AE160">
        <f t="shared" si="40"/>
        <v>3989.563</v>
      </c>
      <c r="AF160">
        <v>2381.38</v>
      </c>
      <c r="AG160">
        <v>1608.18</v>
      </c>
      <c r="AH160">
        <f t="shared" si="41"/>
        <v>1608.183</v>
      </c>
      <c r="AI160">
        <f t="shared" si="42"/>
        <v>0.403097532235987</v>
      </c>
      <c r="AJ160" t="s">
        <v>77</v>
      </c>
      <c r="AK160" t="str">
        <f t="shared" si="43"/>
        <v>Paid</v>
      </c>
      <c r="AL160" t="s">
        <v>78</v>
      </c>
      <c r="AM160" t="str">
        <f t="shared" si="44"/>
        <v>Completed</v>
      </c>
      <c r="AN160">
        <v>9</v>
      </c>
      <c r="AO160">
        <v>2024</v>
      </c>
      <c r="AP160" t="s">
        <v>79</v>
      </c>
    </row>
    <row r="161" spans="1:42">
      <c r="A161" t="s">
        <v>930</v>
      </c>
      <c r="B161" s="3" t="s">
        <v>931</v>
      </c>
      <c r="C161" s="3">
        <v>45687</v>
      </c>
      <c r="D161" t="s">
        <v>932</v>
      </c>
      <c r="E161" s="3">
        <v>45692</v>
      </c>
      <c r="F161" t="s">
        <v>933</v>
      </c>
      <c r="G161" t="s">
        <v>182</v>
      </c>
      <c r="H161" t="str">
        <f t="shared" si="30"/>
        <v>Priya Menon</v>
      </c>
      <c r="I161" t="s">
        <v>147</v>
      </c>
      <c r="J161" t="str">
        <f t="shared" si="31"/>
        <v>Corporate</v>
      </c>
      <c r="K161" t="s">
        <v>8</v>
      </c>
      <c r="L161" t="str">
        <f t="shared" si="32"/>
        <v>North</v>
      </c>
      <c r="M161" t="s">
        <v>366</v>
      </c>
      <c r="N161" t="str">
        <f t="shared" si="33"/>
        <v>Haryana</v>
      </c>
      <c r="O161" t="s">
        <v>367</v>
      </c>
      <c r="P161" t="str">
        <f t="shared" si="34"/>
        <v>Gurugram</v>
      </c>
      <c r="Q161" t="s">
        <v>19</v>
      </c>
      <c r="R161" t="str">
        <f t="shared" si="35"/>
        <v>Furniture</v>
      </c>
      <c r="S161" t="s">
        <v>116</v>
      </c>
      <c r="T161" t="str">
        <f t="shared" si="36"/>
        <v>Chairs</v>
      </c>
      <c r="U161" t="s">
        <v>934</v>
      </c>
      <c r="V161" t="str">
        <f t="shared" si="37"/>
        <v>Elite Chairs 998</v>
      </c>
      <c r="W161" t="s">
        <v>90</v>
      </c>
      <c r="X161" t="str">
        <f t="shared" si="38"/>
        <v>Same Day</v>
      </c>
      <c r="Y161">
        <v>5</v>
      </c>
      <c r="Z161">
        <v>9</v>
      </c>
      <c r="AA161">
        <v>4430.5</v>
      </c>
      <c r="AB161">
        <v>0.15</v>
      </c>
      <c r="AC161">
        <f t="shared" si="39"/>
        <v>0.15</v>
      </c>
      <c r="AD161">
        <v>33893.32</v>
      </c>
      <c r="AE161">
        <f t="shared" si="40"/>
        <v>33893.325</v>
      </c>
      <c r="AF161">
        <v>25750.35</v>
      </c>
      <c r="AG161">
        <v>8142.97</v>
      </c>
      <c r="AH161">
        <f t="shared" si="41"/>
        <v>8142.975</v>
      </c>
      <c r="AI161">
        <f t="shared" si="42"/>
        <v>0.240253058677483</v>
      </c>
      <c r="AJ161" t="s">
        <v>177</v>
      </c>
      <c r="AK161" t="str">
        <f t="shared" si="43"/>
        <v>Pending</v>
      </c>
      <c r="AL161" t="s">
        <v>118</v>
      </c>
      <c r="AM161" t="str">
        <f t="shared" si="44"/>
        <v>Cancelled</v>
      </c>
      <c r="AN161">
        <v>1</v>
      </c>
      <c r="AO161">
        <v>2025</v>
      </c>
      <c r="AP161" t="s">
        <v>79</v>
      </c>
    </row>
    <row r="162" spans="1:42">
      <c r="A162" t="s">
        <v>935</v>
      </c>
      <c r="B162" s="3" t="s">
        <v>936</v>
      </c>
      <c r="C162" s="3">
        <v>45938</v>
      </c>
      <c r="D162" t="s">
        <v>937</v>
      </c>
      <c r="E162" s="3">
        <v>45936</v>
      </c>
      <c r="F162" t="s">
        <v>938</v>
      </c>
      <c r="G162" t="s">
        <v>123</v>
      </c>
      <c r="H162" t="str">
        <f t="shared" si="30"/>
        <v>Vikram Iyer</v>
      </c>
      <c r="I162" t="s">
        <v>85</v>
      </c>
      <c r="J162" t="str">
        <f t="shared" si="31"/>
        <v>Small Business</v>
      </c>
      <c r="K162" t="s">
        <v>11</v>
      </c>
      <c r="L162" t="str">
        <f t="shared" si="32"/>
        <v>West</v>
      </c>
      <c r="M162" t="s">
        <v>114</v>
      </c>
      <c r="N162" t="str">
        <f t="shared" si="33"/>
        <v>Maharashtra</v>
      </c>
      <c r="O162" t="s">
        <v>115</v>
      </c>
      <c r="P162" t="str">
        <f t="shared" si="34"/>
        <v>Mumbai</v>
      </c>
      <c r="Q162" t="s">
        <v>22</v>
      </c>
      <c r="R162" t="str">
        <f t="shared" si="35"/>
        <v>Office Supplies</v>
      </c>
      <c r="S162" t="s">
        <v>74</v>
      </c>
      <c r="T162" t="str">
        <f t="shared" si="36"/>
        <v>Paper</v>
      </c>
      <c r="U162" t="s">
        <v>939</v>
      </c>
      <c r="V162" t="str">
        <f t="shared" si="37"/>
        <v>Max Paper 113</v>
      </c>
      <c r="W162" t="s">
        <v>76</v>
      </c>
      <c r="X162" t="str">
        <f t="shared" si="38"/>
        <v>Second Class</v>
      </c>
      <c r="Y162">
        <v>-2</v>
      </c>
      <c r="Z162">
        <v>4</v>
      </c>
      <c r="AA162">
        <v>1260.42</v>
      </c>
      <c r="AB162">
        <v>0.05</v>
      </c>
      <c r="AC162">
        <f t="shared" si="39"/>
        <v>0.05</v>
      </c>
      <c r="AD162">
        <v>4789.6</v>
      </c>
      <c r="AE162">
        <f t="shared" si="40"/>
        <v>4789.596</v>
      </c>
      <c r="AF162">
        <v>4037.64</v>
      </c>
      <c r="AG162">
        <v>751.96</v>
      </c>
      <c r="AH162">
        <f t="shared" si="41"/>
        <v>751.956000000001</v>
      </c>
      <c r="AI162">
        <f t="shared" si="42"/>
        <v>0.156997792715711</v>
      </c>
      <c r="AJ162" t="s">
        <v>177</v>
      </c>
      <c r="AK162" t="str">
        <f t="shared" si="43"/>
        <v>Pending</v>
      </c>
      <c r="AL162" t="s">
        <v>118</v>
      </c>
      <c r="AM162" t="str">
        <f t="shared" si="44"/>
        <v>Cancelled</v>
      </c>
      <c r="AN162">
        <v>10</v>
      </c>
      <c r="AO162">
        <v>2025</v>
      </c>
      <c r="AP162" t="s">
        <v>253</v>
      </c>
    </row>
    <row r="163" spans="1:42">
      <c r="A163" t="s">
        <v>940</v>
      </c>
      <c r="B163" s="3" t="s">
        <v>941</v>
      </c>
      <c r="C163" s="3">
        <v>45862</v>
      </c>
      <c r="D163" t="s">
        <v>942</v>
      </c>
      <c r="E163" s="3">
        <v>45868</v>
      </c>
      <c r="F163" t="s">
        <v>943</v>
      </c>
      <c r="G163" t="s">
        <v>103</v>
      </c>
      <c r="H163" t="str">
        <f t="shared" si="30"/>
        <v>Arjun Bose</v>
      </c>
      <c r="I163" t="s">
        <v>944</v>
      </c>
      <c r="J163" t="str">
        <f t="shared" si="31"/>
        <v>Consumer</v>
      </c>
      <c r="K163" t="s">
        <v>11</v>
      </c>
      <c r="L163" t="str">
        <f t="shared" si="32"/>
        <v>West</v>
      </c>
      <c r="M163" t="s">
        <v>72</v>
      </c>
      <c r="N163" t="str">
        <f t="shared" si="33"/>
        <v>Rajasthan</v>
      </c>
      <c r="O163" t="s">
        <v>175</v>
      </c>
      <c r="P163" t="str">
        <f t="shared" si="34"/>
        <v>Udaipur</v>
      </c>
      <c r="Q163" t="s">
        <v>22</v>
      </c>
      <c r="R163" t="str">
        <f t="shared" si="35"/>
        <v>Office Supplies</v>
      </c>
      <c r="S163" t="s">
        <v>239</v>
      </c>
      <c r="T163" t="str">
        <f t="shared" si="36"/>
        <v>Binders</v>
      </c>
      <c r="U163" t="s">
        <v>945</v>
      </c>
      <c r="V163" t="str">
        <f t="shared" si="37"/>
        <v>Smart Binders 267</v>
      </c>
      <c r="W163" t="s">
        <v>108</v>
      </c>
      <c r="X163" t="str">
        <f t="shared" si="38"/>
        <v>Standard Class</v>
      </c>
      <c r="Y163">
        <v>6</v>
      </c>
      <c r="Z163">
        <v>1</v>
      </c>
      <c r="AA163">
        <v>1643.41</v>
      </c>
      <c r="AB163">
        <v>0</v>
      </c>
      <c r="AC163">
        <f t="shared" si="39"/>
        <v>0</v>
      </c>
      <c r="AD163">
        <v>1643.41</v>
      </c>
      <c r="AE163">
        <f t="shared" si="40"/>
        <v>1643.41</v>
      </c>
      <c r="AF163">
        <v>907.4</v>
      </c>
      <c r="AG163">
        <v>736.01</v>
      </c>
      <c r="AH163">
        <f t="shared" si="41"/>
        <v>736.01</v>
      </c>
      <c r="AI163">
        <f t="shared" si="42"/>
        <v>0.447855373887222</v>
      </c>
      <c r="AJ163" t="s">
        <v>177</v>
      </c>
      <c r="AK163" t="str">
        <f t="shared" si="43"/>
        <v>Pending</v>
      </c>
      <c r="AL163" t="s">
        <v>118</v>
      </c>
      <c r="AM163" t="str">
        <f t="shared" si="44"/>
        <v>Cancelled</v>
      </c>
      <c r="AN163">
        <v>7</v>
      </c>
      <c r="AO163">
        <v>2025</v>
      </c>
      <c r="AP163" t="s">
        <v>79</v>
      </c>
    </row>
    <row r="164" spans="1:42">
      <c r="A164" t="s">
        <v>946</v>
      </c>
      <c r="B164" s="3" t="s">
        <v>947</v>
      </c>
      <c r="C164" s="3">
        <v>45360</v>
      </c>
      <c r="D164" t="s">
        <v>948</v>
      </c>
      <c r="E164" s="3">
        <v>45365</v>
      </c>
      <c r="F164" t="s">
        <v>949</v>
      </c>
      <c r="G164" t="s">
        <v>132</v>
      </c>
      <c r="H164" t="str">
        <f t="shared" si="30"/>
        <v>Neha Gupta</v>
      </c>
      <c r="I164" t="s">
        <v>85</v>
      </c>
      <c r="J164" t="str">
        <f t="shared" si="31"/>
        <v>Small Business</v>
      </c>
      <c r="K164" t="s">
        <v>11</v>
      </c>
      <c r="L164" t="str">
        <f t="shared" si="32"/>
        <v>West</v>
      </c>
      <c r="M164" t="s">
        <v>292</v>
      </c>
      <c r="N164" t="str">
        <f t="shared" si="33"/>
        <v>Goa</v>
      </c>
      <c r="O164" t="s">
        <v>293</v>
      </c>
      <c r="P164" t="str">
        <f t="shared" si="34"/>
        <v>Panaji</v>
      </c>
      <c r="Q164" t="s">
        <v>19</v>
      </c>
      <c r="R164" t="str">
        <f t="shared" si="35"/>
        <v>Furniture</v>
      </c>
      <c r="S164" t="s">
        <v>106</v>
      </c>
      <c r="T164" t="str">
        <f t="shared" si="36"/>
        <v>Furnishings</v>
      </c>
      <c r="U164" t="s">
        <v>950</v>
      </c>
      <c r="V164" t="str">
        <f t="shared" si="37"/>
        <v>Pro Furnishings 108</v>
      </c>
      <c r="W164" t="s">
        <v>76</v>
      </c>
      <c r="X164" t="str">
        <f t="shared" si="38"/>
        <v>Second Class</v>
      </c>
      <c r="Y164">
        <v>5</v>
      </c>
      <c r="Z164">
        <v>8</v>
      </c>
      <c r="AA164">
        <v>4472.84</v>
      </c>
      <c r="AB164">
        <v>0</v>
      </c>
      <c r="AC164">
        <f t="shared" si="39"/>
        <v>0</v>
      </c>
      <c r="AD164">
        <v>35997.62</v>
      </c>
      <c r="AE164">
        <f t="shared" si="40"/>
        <v>35782.72</v>
      </c>
      <c r="AF164">
        <v>26424.41</v>
      </c>
      <c r="AG164">
        <v>9358.31</v>
      </c>
      <c r="AH164">
        <f t="shared" si="41"/>
        <v>9358.31</v>
      </c>
      <c r="AI164">
        <f t="shared" si="42"/>
        <v>0.261531543717191</v>
      </c>
      <c r="AJ164" t="s">
        <v>177</v>
      </c>
      <c r="AK164" t="str">
        <f t="shared" si="43"/>
        <v>Pending</v>
      </c>
      <c r="AL164" t="s">
        <v>164</v>
      </c>
      <c r="AM164" t="str">
        <f t="shared" si="44"/>
        <v>Returned</v>
      </c>
      <c r="AN164">
        <v>3</v>
      </c>
      <c r="AO164">
        <v>2024</v>
      </c>
      <c r="AP164" t="s">
        <v>79</v>
      </c>
    </row>
    <row r="165" spans="1:42">
      <c r="A165" t="s">
        <v>951</v>
      </c>
      <c r="B165" s="3" t="s">
        <v>952</v>
      </c>
      <c r="C165" s="3">
        <v>45921</v>
      </c>
      <c r="D165" t="s">
        <v>775</v>
      </c>
      <c r="E165" s="3">
        <v>45926</v>
      </c>
      <c r="F165" t="s">
        <v>953</v>
      </c>
      <c r="G165" t="s">
        <v>220</v>
      </c>
      <c r="H165" t="str">
        <f t="shared" si="30"/>
        <v>Rohan Mehta</v>
      </c>
      <c r="I165" t="s">
        <v>154</v>
      </c>
      <c r="J165" t="str">
        <f t="shared" si="31"/>
        <v>Home Office</v>
      </c>
      <c r="K165" t="s">
        <v>11</v>
      </c>
      <c r="L165" t="str">
        <f t="shared" si="32"/>
        <v>West</v>
      </c>
      <c r="M165" t="s">
        <v>278</v>
      </c>
      <c r="N165" t="str">
        <f t="shared" si="33"/>
        <v>Gujarat</v>
      </c>
      <c r="O165" t="s">
        <v>279</v>
      </c>
      <c r="P165" t="str">
        <f t="shared" si="34"/>
        <v>Ahmedabad</v>
      </c>
      <c r="Q165" t="s">
        <v>19</v>
      </c>
      <c r="R165" t="str">
        <f t="shared" si="35"/>
        <v>Furniture</v>
      </c>
      <c r="S165" t="s">
        <v>88</v>
      </c>
      <c r="T165" t="str">
        <f t="shared" si="36"/>
        <v>Tables</v>
      </c>
      <c r="U165" t="s">
        <v>954</v>
      </c>
      <c r="V165" t="str">
        <f t="shared" si="37"/>
        <v>Elite Tables 389</v>
      </c>
      <c r="X165" t="str">
        <f t="shared" si="38"/>
        <v/>
      </c>
      <c r="Y165">
        <v>5</v>
      </c>
      <c r="Z165">
        <v>6</v>
      </c>
      <c r="AA165">
        <v>2903.58</v>
      </c>
      <c r="AB165">
        <v>0.1</v>
      </c>
      <c r="AC165">
        <f t="shared" si="39"/>
        <v>0.1</v>
      </c>
      <c r="AD165">
        <v>15679.33</v>
      </c>
      <c r="AE165">
        <f t="shared" si="40"/>
        <v>15679.332</v>
      </c>
      <c r="AF165">
        <v>12477.82</v>
      </c>
      <c r="AG165">
        <v>3201.51</v>
      </c>
      <c r="AH165">
        <f t="shared" si="41"/>
        <v>3201.512</v>
      </c>
      <c r="AI165">
        <f t="shared" si="42"/>
        <v>0.204186759997173</v>
      </c>
      <c r="AJ165" t="s">
        <v>177</v>
      </c>
      <c r="AK165" t="str">
        <f t="shared" si="43"/>
        <v>Pending</v>
      </c>
      <c r="AL165" t="s">
        <v>164</v>
      </c>
      <c r="AM165" t="str">
        <f t="shared" si="44"/>
        <v>Returned</v>
      </c>
      <c r="AN165">
        <v>9</v>
      </c>
      <c r="AO165">
        <v>2025</v>
      </c>
      <c r="AP165" t="s">
        <v>79</v>
      </c>
    </row>
    <row r="166" spans="1:42">
      <c r="A166" t="s">
        <v>955</v>
      </c>
      <c r="B166" s="3" t="s">
        <v>956</v>
      </c>
      <c r="C166" s="3">
        <v>45909</v>
      </c>
      <c r="D166" t="s">
        <v>957</v>
      </c>
      <c r="E166" s="3">
        <v>45914</v>
      </c>
      <c r="F166" t="s">
        <v>958</v>
      </c>
      <c r="G166" t="s">
        <v>188</v>
      </c>
      <c r="H166" t="str">
        <f t="shared" si="30"/>
        <v>Rahul Verma</v>
      </c>
      <c r="I166" t="s">
        <v>85</v>
      </c>
      <c r="J166" t="str">
        <f t="shared" si="31"/>
        <v>Small Business</v>
      </c>
      <c r="K166" t="s">
        <v>7</v>
      </c>
      <c r="L166" t="str">
        <f t="shared" si="32"/>
        <v>East</v>
      </c>
      <c r="M166" t="s">
        <v>160</v>
      </c>
      <c r="N166" t="str">
        <f t="shared" si="33"/>
        <v>West Bengal</v>
      </c>
      <c r="O166" t="s">
        <v>161</v>
      </c>
      <c r="P166" t="str">
        <f t="shared" si="34"/>
        <v>Kolkata</v>
      </c>
      <c r="Q166" t="s">
        <v>19</v>
      </c>
      <c r="R166" t="str">
        <f t="shared" si="35"/>
        <v>Furniture</v>
      </c>
      <c r="S166" t="s">
        <v>245</v>
      </c>
      <c r="T166" t="str">
        <f t="shared" si="36"/>
        <v>Bookcases</v>
      </c>
      <c r="U166" t="s">
        <v>959</v>
      </c>
      <c r="V166" t="str">
        <f t="shared" si="37"/>
        <v>Pro Bookcases 595</v>
      </c>
      <c r="W166" t="s">
        <v>76</v>
      </c>
      <c r="X166" t="str">
        <f t="shared" si="38"/>
        <v>Second Class</v>
      </c>
      <c r="Y166">
        <v>5</v>
      </c>
      <c r="Z166">
        <v>1</v>
      </c>
      <c r="AA166">
        <v>3154.42</v>
      </c>
      <c r="AB166">
        <v>0.25</v>
      </c>
      <c r="AC166">
        <f t="shared" si="39"/>
        <v>0.25</v>
      </c>
      <c r="AD166">
        <v>2365.82</v>
      </c>
      <c r="AE166">
        <f t="shared" si="40"/>
        <v>2365.815</v>
      </c>
      <c r="AF166">
        <v>1547.99</v>
      </c>
      <c r="AG166">
        <v>817.83</v>
      </c>
      <c r="AH166">
        <f t="shared" si="41"/>
        <v>817.825</v>
      </c>
      <c r="AI166">
        <f t="shared" si="42"/>
        <v>0.345684256799454</v>
      </c>
      <c r="AJ166" t="s">
        <v>77</v>
      </c>
      <c r="AK166" t="str">
        <f t="shared" si="43"/>
        <v>Paid</v>
      </c>
      <c r="AL166" t="s">
        <v>78</v>
      </c>
      <c r="AM166" t="str">
        <f t="shared" si="44"/>
        <v>Completed</v>
      </c>
      <c r="AN166">
        <v>9</v>
      </c>
      <c r="AO166">
        <v>2025</v>
      </c>
      <c r="AP166" t="s">
        <v>79</v>
      </c>
    </row>
    <row r="167" spans="1:42">
      <c r="A167" t="s">
        <v>960</v>
      </c>
      <c r="B167" s="3" t="s">
        <v>961</v>
      </c>
      <c r="C167" s="3">
        <v>45618</v>
      </c>
      <c r="D167" t="s">
        <v>962</v>
      </c>
      <c r="E167" s="3">
        <v>45625</v>
      </c>
      <c r="F167" t="s">
        <v>963</v>
      </c>
      <c r="G167" t="s">
        <v>84</v>
      </c>
      <c r="H167" t="str">
        <f t="shared" si="30"/>
        <v>Mira Das</v>
      </c>
      <c r="I167" t="s">
        <v>154</v>
      </c>
      <c r="J167" t="str">
        <f t="shared" si="31"/>
        <v>Home Office</v>
      </c>
      <c r="K167" t="s">
        <v>7</v>
      </c>
      <c r="L167" t="str">
        <f t="shared" si="32"/>
        <v>East</v>
      </c>
      <c r="M167" t="s">
        <v>227</v>
      </c>
      <c r="N167" t="str">
        <f t="shared" si="33"/>
        <v>Bihar</v>
      </c>
      <c r="O167" t="s">
        <v>228</v>
      </c>
      <c r="P167" t="str">
        <f t="shared" si="34"/>
        <v>Patna</v>
      </c>
      <c r="Q167" t="s">
        <v>19</v>
      </c>
      <c r="R167" t="str">
        <f t="shared" si="35"/>
        <v>Furniture</v>
      </c>
      <c r="S167" t="s">
        <v>116</v>
      </c>
      <c r="T167" t="str">
        <f t="shared" si="36"/>
        <v>Chairs</v>
      </c>
      <c r="U167" t="s">
        <v>964</v>
      </c>
      <c r="V167" t="str">
        <f t="shared" si="37"/>
        <v>Max Chairs 148</v>
      </c>
      <c r="W167" t="s">
        <v>108</v>
      </c>
      <c r="X167" t="str">
        <f t="shared" si="38"/>
        <v>Standard Class</v>
      </c>
      <c r="Y167">
        <v>7</v>
      </c>
      <c r="Z167">
        <v>4</v>
      </c>
      <c r="AA167">
        <v>3422.99</v>
      </c>
      <c r="AB167">
        <v>0.25</v>
      </c>
      <c r="AC167">
        <f t="shared" si="39"/>
        <v>0.25</v>
      </c>
      <c r="AD167">
        <v>10268.97</v>
      </c>
      <c r="AE167">
        <f t="shared" si="40"/>
        <v>10268.97</v>
      </c>
      <c r="AF167">
        <v>6470.92</v>
      </c>
      <c r="AG167">
        <v>3798.05</v>
      </c>
      <c r="AH167">
        <f t="shared" si="41"/>
        <v>3798.05</v>
      </c>
      <c r="AI167">
        <f t="shared" si="42"/>
        <v>0.369856957416372</v>
      </c>
      <c r="AJ167" t="s">
        <v>77</v>
      </c>
      <c r="AK167" t="str">
        <f t="shared" si="43"/>
        <v>Paid</v>
      </c>
      <c r="AL167" t="s">
        <v>78</v>
      </c>
      <c r="AM167" t="str">
        <f t="shared" si="44"/>
        <v>Completed</v>
      </c>
      <c r="AN167">
        <v>11</v>
      </c>
      <c r="AO167">
        <v>2024</v>
      </c>
      <c r="AP167" t="s">
        <v>79</v>
      </c>
    </row>
    <row r="168" spans="1:42">
      <c r="A168" t="s">
        <v>965</v>
      </c>
      <c r="B168" s="3" t="s">
        <v>966</v>
      </c>
      <c r="C168" s="3">
        <v>45708</v>
      </c>
      <c r="D168" t="s">
        <v>137</v>
      </c>
      <c r="E168" s="3">
        <v>45714</v>
      </c>
      <c r="F168" t="s">
        <v>967</v>
      </c>
      <c r="G168" t="s">
        <v>70</v>
      </c>
      <c r="H168" t="str">
        <f t="shared" si="30"/>
        <v>Karan Malhotra</v>
      </c>
      <c r="I168" t="s">
        <v>85</v>
      </c>
      <c r="J168" t="str">
        <f t="shared" si="31"/>
        <v>Small Business</v>
      </c>
      <c r="K168" t="s">
        <v>11</v>
      </c>
      <c r="L168" t="str">
        <f t="shared" si="32"/>
        <v>West</v>
      </c>
      <c r="M168" t="s">
        <v>278</v>
      </c>
      <c r="N168" t="str">
        <f t="shared" si="33"/>
        <v>Gujarat</v>
      </c>
      <c r="O168" t="s">
        <v>279</v>
      </c>
      <c r="P168" t="str">
        <f t="shared" si="34"/>
        <v>Ahmedabad</v>
      </c>
      <c r="Q168" t="s">
        <v>968</v>
      </c>
      <c r="R168" t="str">
        <f t="shared" si="35"/>
        <v>Office Supplies</v>
      </c>
      <c r="S168" t="s">
        <v>148</v>
      </c>
      <c r="T168" t="str">
        <f t="shared" si="36"/>
        <v>Labels</v>
      </c>
      <c r="U168" t="s">
        <v>969</v>
      </c>
      <c r="V168" t="str">
        <f t="shared" si="37"/>
        <v>Basic Labels 671</v>
      </c>
      <c r="W168" t="s">
        <v>98</v>
      </c>
      <c r="X168" t="str">
        <f t="shared" si="38"/>
        <v>First Class</v>
      </c>
      <c r="Y168">
        <v>6</v>
      </c>
      <c r="Z168">
        <v>1</v>
      </c>
      <c r="AA168">
        <v>2557.85</v>
      </c>
      <c r="AB168">
        <v>0.2</v>
      </c>
      <c r="AC168">
        <f t="shared" si="39"/>
        <v>0.2</v>
      </c>
      <c r="AD168">
        <v>2046.28</v>
      </c>
      <c r="AE168">
        <f t="shared" si="40"/>
        <v>2046.28</v>
      </c>
      <c r="AF168">
        <v>1449.54</v>
      </c>
      <c r="AG168">
        <v>596.74</v>
      </c>
      <c r="AH168">
        <f t="shared" si="41"/>
        <v>596.74</v>
      </c>
      <c r="AI168">
        <f t="shared" si="42"/>
        <v>0.291621869929824</v>
      </c>
      <c r="AJ168" t="s">
        <v>77</v>
      </c>
      <c r="AK168" t="str">
        <f t="shared" si="43"/>
        <v>Paid</v>
      </c>
      <c r="AL168" t="s">
        <v>78</v>
      </c>
      <c r="AM168" t="str">
        <f t="shared" si="44"/>
        <v>Completed</v>
      </c>
      <c r="AN168">
        <v>2</v>
      </c>
      <c r="AO168">
        <v>2025</v>
      </c>
      <c r="AP168" t="s">
        <v>79</v>
      </c>
    </row>
    <row r="169" spans="1:42">
      <c r="A169" t="s">
        <v>970</v>
      </c>
      <c r="B169" s="3" t="s">
        <v>971</v>
      </c>
      <c r="C169" s="3">
        <v>45887</v>
      </c>
      <c r="D169" t="s">
        <v>972</v>
      </c>
      <c r="E169" s="3">
        <v>45887</v>
      </c>
      <c r="F169" t="s">
        <v>973</v>
      </c>
      <c r="G169" t="s">
        <v>103</v>
      </c>
      <c r="H169" t="str">
        <f t="shared" si="30"/>
        <v>Arjun Bose</v>
      </c>
      <c r="I169" t="s">
        <v>154</v>
      </c>
      <c r="J169" t="str">
        <f t="shared" si="31"/>
        <v>Home Office</v>
      </c>
      <c r="K169" t="s">
        <v>10</v>
      </c>
      <c r="L169" t="str">
        <f t="shared" si="32"/>
        <v>South</v>
      </c>
      <c r="M169" t="s">
        <v>272</v>
      </c>
      <c r="N169" t="str">
        <f t="shared" si="33"/>
        <v>Karnataka</v>
      </c>
      <c r="O169" t="s">
        <v>273</v>
      </c>
      <c r="P169" t="str">
        <f t="shared" si="34"/>
        <v>Bengaluru</v>
      </c>
      <c r="Q169" t="s">
        <v>22</v>
      </c>
      <c r="R169" t="str">
        <f t="shared" si="35"/>
        <v>Office Supplies</v>
      </c>
      <c r="S169" t="s">
        <v>196</v>
      </c>
      <c r="T169" t="str">
        <f t="shared" si="36"/>
        <v>Storage</v>
      </c>
      <c r="U169" t="s">
        <v>974</v>
      </c>
      <c r="V169" t="str">
        <f t="shared" si="37"/>
        <v>Elite Storage 628</v>
      </c>
      <c r="W169" t="s">
        <v>98</v>
      </c>
      <c r="X169" t="str">
        <f t="shared" si="38"/>
        <v>First Class</v>
      </c>
      <c r="Y169">
        <v>0</v>
      </c>
      <c r="Z169">
        <v>9</v>
      </c>
      <c r="AA169">
        <v>3030.93</v>
      </c>
      <c r="AB169">
        <v>0.15</v>
      </c>
      <c r="AC169">
        <f t="shared" si="39"/>
        <v>0.15</v>
      </c>
      <c r="AD169">
        <v>23186.61</v>
      </c>
      <c r="AE169">
        <f t="shared" si="40"/>
        <v>23186.6145</v>
      </c>
      <c r="AF169">
        <v>17906.54</v>
      </c>
      <c r="AG169">
        <v>5280.07</v>
      </c>
      <c r="AH169">
        <f t="shared" si="41"/>
        <v>5280.0745</v>
      </c>
      <c r="AI169">
        <f t="shared" si="42"/>
        <v>0.22772080417346</v>
      </c>
      <c r="AJ169" t="s">
        <v>77</v>
      </c>
      <c r="AK169" t="str">
        <f t="shared" si="43"/>
        <v>Paid</v>
      </c>
      <c r="AL169" t="s">
        <v>164</v>
      </c>
      <c r="AM169" t="str">
        <f t="shared" si="44"/>
        <v>Returned</v>
      </c>
      <c r="AN169">
        <v>8</v>
      </c>
      <c r="AO169">
        <v>2025</v>
      </c>
      <c r="AP169" t="s">
        <v>79</v>
      </c>
    </row>
    <row r="170" spans="1:42">
      <c r="A170" t="s">
        <v>975</v>
      </c>
      <c r="B170" s="3" t="s">
        <v>976</v>
      </c>
      <c r="C170" s="3">
        <v>45677</v>
      </c>
      <c r="D170" t="s">
        <v>225</v>
      </c>
      <c r="E170" s="3">
        <v>45680</v>
      </c>
      <c r="F170" t="s">
        <v>977</v>
      </c>
      <c r="G170" t="s">
        <v>411</v>
      </c>
      <c r="H170" t="str">
        <f t="shared" si="30"/>
        <v>Kabir Singh</v>
      </c>
      <c r="I170" t="s">
        <v>71</v>
      </c>
      <c r="J170" t="str">
        <f t="shared" si="31"/>
        <v>Consumer</v>
      </c>
      <c r="K170" t="s">
        <v>11</v>
      </c>
      <c r="L170" t="str">
        <f t="shared" si="32"/>
        <v>West</v>
      </c>
      <c r="M170" t="s">
        <v>114</v>
      </c>
      <c r="N170" t="str">
        <f t="shared" si="33"/>
        <v>Maharashtra</v>
      </c>
      <c r="O170" t="s">
        <v>115</v>
      </c>
      <c r="P170" t="str">
        <f t="shared" si="34"/>
        <v>Mumbai</v>
      </c>
      <c r="Q170" t="s">
        <v>24</v>
      </c>
      <c r="R170" t="str">
        <f t="shared" si="35"/>
        <v>Technology</v>
      </c>
      <c r="S170" t="s">
        <v>126</v>
      </c>
      <c r="T170" t="str">
        <f t="shared" si="36"/>
        <v>Accessories</v>
      </c>
      <c r="U170" t="s">
        <v>978</v>
      </c>
      <c r="V170" t="str">
        <f t="shared" si="37"/>
        <v>Eco Accessories 590</v>
      </c>
      <c r="W170" t="s">
        <v>90</v>
      </c>
      <c r="X170" t="str">
        <f t="shared" si="38"/>
        <v>Same Day</v>
      </c>
      <c r="Y170">
        <v>3</v>
      </c>
      <c r="Z170">
        <v>5</v>
      </c>
      <c r="AA170">
        <v>639.27</v>
      </c>
      <c r="AB170">
        <v>0.2</v>
      </c>
      <c r="AC170">
        <f t="shared" si="39"/>
        <v>0.2</v>
      </c>
      <c r="AD170">
        <v>2557.08</v>
      </c>
      <c r="AE170">
        <f t="shared" si="40"/>
        <v>2557.08</v>
      </c>
      <c r="AF170">
        <v>2025.69</v>
      </c>
      <c r="AG170">
        <v>531.39</v>
      </c>
      <c r="AH170">
        <f t="shared" si="41"/>
        <v>531.39</v>
      </c>
      <c r="AI170">
        <f t="shared" si="42"/>
        <v>0.207811253460979</v>
      </c>
      <c r="AJ170" t="s">
        <v>77</v>
      </c>
      <c r="AK170" t="str">
        <f t="shared" si="43"/>
        <v>Paid</v>
      </c>
      <c r="AL170" t="s">
        <v>118</v>
      </c>
      <c r="AM170" t="str">
        <f t="shared" si="44"/>
        <v>Cancelled</v>
      </c>
      <c r="AN170">
        <v>1</v>
      </c>
      <c r="AO170">
        <v>2025</v>
      </c>
      <c r="AP170" t="s">
        <v>79</v>
      </c>
    </row>
    <row r="171" spans="1:42">
      <c r="A171" t="s">
        <v>979</v>
      </c>
      <c r="B171" s="3" t="s">
        <v>980</v>
      </c>
      <c r="C171" s="3">
        <v>45913</v>
      </c>
      <c r="D171" t="s">
        <v>981</v>
      </c>
      <c r="E171" s="3">
        <v>45913</v>
      </c>
      <c r="F171" t="s">
        <v>982</v>
      </c>
      <c r="G171" t="s">
        <v>251</v>
      </c>
      <c r="H171" t="str">
        <f t="shared" si="30"/>
        <v>Diya Patel</v>
      </c>
      <c r="I171" t="s">
        <v>71</v>
      </c>
      <c r="J171" t="str">
        <f t="shared" si="31"/>
        <v>Consumer</v>
      </c>
      <c r="K171" t="s">
        <v>7</v>
      </c>
      <c r="L171" t="str">
        <f t="shared" si="32"/>
        <v>East</v>
      </c>
      <c r="M171" t="s">
        <v>258</v>
      </c>
      <c r="N171" t="str">
        <f t="shared" si="33"/>
        <v>Assam</v>
      </c>
      <c r="O171" t="s">
        <v>259</v>
      </c>
      <c r="P171" t="str">
        <f t="shared" si="34"/>
        <v>Guwahati</v>
      </c>
      <c r="Q171" t="s">
        <v>22</v>
      </c>
      <c r="R171" t="str">
        <f t="shared" si="35"/>
        <v>Office Supplies</v>
      </c>
      <c r="S171" t="s">
        <v>96</v>
      </c>
      <c r="T171" t="str">
        <f t="shared" si="36"/>
        <v>Art</v>
      </c>
      <c r="U171" t="s">
        <v>983</v>
      </c>
      <c r="V171" t="str">
        <f t="shared" si="37"/>
        <v>Pro Art 734</v>
      </c>
      <c r="W171" t="s">
        <v>108</v>
      </c>
      <c r="X171" t="str">
        <f t="shared" si="38"/>
        <v>Standard Class</v>
      </c>
      <c r="Y171">
        <v>0</v>
      </c>
      <c r="Z171">
        <v>8</v>
      </c>
      <c r="AA171">
        <v>733.9</v>
      </c>
      <c r="AB171">
        <v>0.05</v>
      </c>
      <c r="AC171">
        <f t="shared" si="39"/>
        <v>0.05</v>
      </c>
      <c r="AD171">
        <v>5577.64</v>
      </c>
      <c r="AE171">
        <f t="shared" si="40"/>
        <v>5577.64</v>
      </c>
      <c r="AF171">
        <v>3541.29</v>
      </c>
      <c r="AG171">
        <v>2036.35</v>
      </c>
      <c r="AH171">
        <f t="shared" si="41"/>
        <v>2036.35</v>
      </c>
      <c r="AI171">
        <f t="shared" si="42"/>
        <v>0.365091687523755</v>
      </c>
      <c r="AJ171" t="s">
        <v>177</v>
      </c>
      <c r="AK171" t="str">
        <f t="shared" si="43"/>
        <v>Pending</v>
      </c>
      <c r="AL171" t="s">
        <v>164</v>
      </c>
      <c r="AM171" t="str">
        <f t="shared" si="44"/>
        <v>Returned</v>
      </c>
      <c r="AN171">
        <v>9</v>
      </c>
      <c r="AO171">
        <v>2025</v>
      </c>
      <c r="AP171" t="s">
        <v>79</v>
      </c>
    </row>
    <row r="172" spans="1:42">
      <c r="A172" t="s">
        <v>984</v>
      </c>
      <c r="B172" s="3" t="s">
        <v>151</v>
      </c>
      <c r="C172" s="3">
        <v>45907</v>
      </c>
      <c r="D172" t="s">
        <v>985</v>
      </c>
      <c r="E172" s="3">
        <v>45915</v>
      </c>
      <c r="F172" t="s">
        <v>986</v>
      </c>
      <c r="G172" t="s">
        <v>220</v>
      </c>
      <c r="H172" t="str">
        <f t="shared" si="30"/>
        <v>Rohan Mehta</v>
      </c>
      <c r="I172" t="s">
        <v>147</v>
      </c>
      <c r="J172" t="str">
        <f t="shared" si="31"/>
        <v>Corporate</v>
      </c>
      <c r="K172" t="s">
        <v>7</v>
      </c>
      <c r="L172" t="str">
        <f t="shared" si="32"/>
        <v>East</v>
      </c>
      <c r="M172" t="s">
        <v>227</v>
      </c>
      <c r="N172" t="str">
        <f t="shared" si="33"/>
        <v>Bihar</v>
      </c>
      <c r="O172" t="s">
        <v>228</v>
      </c>
      <c r="P172" t="str">
        <f t="shared" si="34"/>
        <v>Patna</v>
      </c>
      <c r="Q172" t="s">
        <v>24</v>
      </c>
      <c r="R172" t="str">
        <f t="shared" si="35"/>
        <v>Technology</v>
      </c>
      <c r="S172" t="s">
        <v>133</v>
      </c>
      <c r="T172" t="str">
        <f t="shared" si="36"/>
        <v>Copiers</v>
      </c>
      <c r="U172" t="s">
        <v>987</v>
      </c>
      <c r="V172" t="str">
        <f t="shared" si="37"/>
        <v>Eco Copiers 102</v>
      </c>
      <c r="W172" t="s">
        <v>108</v>
      </c>
      <c r="X172" t="str">
        <f t="shared" si="38"/>
        <v>Standard Class</v>
      </c>
      <c r="Y172">
        <v>8</v>
      </c>
      <c r="Z172">
        <v>3</v>
      </c>
      <c r="AA172">
        <v>1711.32</v>
      </c>
      <c r="AB172">
        <v>0</v>
      </c>
      <c r="AC172">
        <f t="shared" si="39"/>
        <v>0</v>
      </c>
      <c r="AD172">
        <v>5133.96</v>
      </c>
      <c r="AE172">
        <f t="shared" si="40"/>
        <v>5133.96</v>
      </c>
      <c r="AF172">
        <v>3930</v>
      </c>
      <c r="AG172">
        <v>1203.96</v>
      </c>
      <c r="AH172">
        <f t="shared" si="41"/>
        <v>1203.96</v>
      </c>
      <c r="AI172">
        <f t="shared" si="42"/>
        <v>0.234509033962088</v>
      </c>
      <c r="AJ172" t="s">
        <v>77</v>
      </c>
      <c r="AK172" t="str">
        <f t="shared" si="43"/>
        <v>Paid</v>
      </c>
      <c r="AL172" t="s">
        <v>78</v>
      </c>
      <c r="AM172" t="str">
        <f t="shared" si="44"/>
        <v>Completed</v>
      </c>
      <c r="AN172">
        <v>9</v>
      </c>
      <c r="AO172">
        <v>2025</v>
      </c>
      <c r="AP172" t="s">
        <v>79</v>
      </c>
    </row>
    <row r="173" spans="1:42">
      <c r="A173" t="s">
        <v>988</v>
      </c>
      <c r="B173" s="3" t="s">
        <v>136</v>
      </c>
      <c r="C173" s="3">
        <v>45711</v>
      </c>
      <c r="D173" t="s">
        <v>989</v>
      </c>
      <c r="E173" s="3">
        <v>45713</v>
      </c>
      <c r="F173" t="s">
        <v>990</v>
      </c>
      <c r="G173" t="s">
        <v>70</v>
      </c>
      <c r="H173" t="str">
        <f t="shared" si="30"/>
        <v>Karan Malhotra</v>
      </c>
      <c r="I173" t="s">
        <v>147</v>
      </c>
      <c r="J173" t="str">
        <f t="shared" si="31"/>
        <v>Corporate</v>
      </c>
      <c r="K173" t="s">
        <v>7</v>
      </c>
      <c r="L173" t="str">
        <f t="shared" si="32"/>
        <v>East</v>
      </c>
      <c r="M173" t="s">
        <v>227</v>
      </c>
      <c r="N173" t="str">
        <f t="shared" si="33"/>
        <v>Bihar</v>
      </c>
      <c r="O173" t="s">
        <v>228</v>
      </c>
      <c r="P173" t="str">
        <f t="shared" si="34"/>
        <v>Patna</v>
      </c>
      <c r="Q173" t="s">
        <v>22</v>
      </c>
      <c r="R173" t="str">
        <f t="shared" si="35"/>
        <v>Office Supplies</v>
      </c>
      <c r="S173" t="s">
        <v>148</v>
      </c>
      <c r="T173" t="str">
        <f t="shared" si="36"/>
        <v>Labels</v>
      </c>
      <c r="U173" t="s">
        <v>991</v>
      </c>
      <c r="V173" t="str">
        <f t="shared" si="37"/>
        <v>Basic Labels 876</v>
      </c>
      <c r="W173" t="s">
        <v>90</v>
      </c>
      <c r="X173" t="str">
        <f t="shared" si="38"/>
        <v>Same Day</v>
      </c>
      <c r="Y173">
        <v>2</v>
      </c>
      <c r="Z173">
        <v>5</v>
      </c>
      <c r="AA173">
        <v>4246.27</v>
      </c>
      <c r="AB173">
        <v>0.25</v>
      </c>
      <c r="AC173">
        <f t="shared" si="39"/>
        <v>0.25</v>
      </c>
      <c r="AD173">
        <v>15923.51</v>
      </c>
      <c r="AE173">
        <f t="shared" si="40"/>
        <v>15923.5125</v>
      </c>
      <c r="AF173">
        <v>11291.8</v>
      </c>
      <c r="AG173">
        <v>4631.71</v>
      </c>
      <c r="AH173">
        <f t="shared" si="41"/>
        <v>4631.7125</v>
      </c>
      <c r="AI173">
        <f t="shared" si="42"/>
        <v>0.290872538329718</v>
      </c>
      <c r="AJ173" t="s">
        <v>77</v>
      </c>
      <c r="AK173" t="str">
        <f t="shared" si="43"/>
        <v>Paid</v>
      </c>
      <c r="AL173" t="s">
        <v>78</v>
      </c>
      <c r="AM173" t="str">
        <f t="shared" si="44"/>
        <v>Completed</v>
      </c>
      <c r="AN173">
        <v>2</v>
      </c>
      <c r="AO173">
        <v>2025</v>
      </c>
      <c r="AP173" t="s">
        <v>79</v>
      </c>
    </row>
    <row r="174" spans="1:42">
      <c r="A174" t="s">
        <v>992</v>
      </c>
      <c r="B174" s="3" t="s">
        <v>993</v>
      </c>
      <c r="C174" s="3">
        <v>45871</v>
      </c>
      <c r="D174" t="s">
        <v>994</v>
      </c>
      <c r="E174" s="3">
        <v>45879</v>
      </c>
      <c r="F174" t="s">
        <v>995</v>
      </c>
      <c r="G174" t="s">
        <v>70</v>
      </c>
      <c r="H174" t="str">
        <f t="shared" si="30"/>
        <v>Karan Malhotra</v>
      </c>
      <c r="I174" t="s">
        <v>147</v>
      </c>
      <c r="J174" t="str">
        <f t="shared" si="31"/>
        <v>Corporate</v>
      </c>
      <c r="K174" t="s">
        <v>8</v>
      </c>
      <c r="L174" t="str">
        <f t="shared" si="32"/>
        <v>North</v>
      </c>
      <c r="M174" t="s">
        <v>552</v>
      </c>
      <c r="N174" t="str">
        <f t="shared" si="33"/>
        <v>Delhi</v>
      </c>
      <c r="O174" t="s">
        <v>553</v>
      </c>
      <c r="P174" t="str">
        <f t="shared" si="34"/>
        <v>New Delhi</v>
      </c>
      <c r="Q174" t="s">
        <v>19</v>
      </c>
      <c r="R174" t="str">
        <f t="shared" si="35"/>
        <v>Furniture</v>
      </c>
      <c r="S174" t="s">
        <v>106</v>
      </c>
      <c r="T174" t="str">
        <f t="shared" si="36"/>
        <v>Furnishings</v>
      </c>
      <c r="U174" t="s">
        <v>996</v>
      </c>
      <c r="V174" t="str">
        <f t="shared" si="37"/>
        <v>Prime Furnishings 381</v>
      </c>
      <c r="W174" t="s">
        <v>90</v>
      </c>
      <c r="X174" t="str">
        <f t="shared" si="38"/>
        <v>Same Day</v>
      </c>
      <c r="Y174">
        <v>8</v>
      </c>
      <c r="Z174">
        <v>9</v>
      </c>
      <c r="AA174">
        <v>2962.62</v>
      </c>
      <c r="AB174">
        <v>0.1</v>
      </c>
      <c r="AC174">
        <f t="shared" si="39"/>
        <v>0.1</v>
      </c>
      <c r="AD174">
        <v>23997.22</v>
      </c>
      <c r="AE174">
        <f t="shared" si="40"/>
        <v>23997.222</v>
      </c>
      <c r="AF174">
        <v>16134.63</v>
      </c>
      <c r="AG174">
        <v>7862.59</v>
      </c>
      <c r="AH174">
        <f t="shared" si="41"/>
        <v>7862.592</v>
      </c>
      <c r="AI174">
        <f t="shared" si="42"/>
        <v>0.327645925015821</v>
      </c>
      <c r="AJ174" t="s">
        <v>163</v>
      </c>
      <c r="AK174" t="str">
        <f t="shared" si="43"/>
        <v>Refunded</v>
      </c>
      <c r="AL174" t="s">
        <v>164</v>
      </c>
      <c r="AM174" t="str">
        <f t="shared" si="44"/>
        <v>Returned</v>
      </c>
      <c r="AN174">
        <v>8</v>
      </c>
      <c r="AO174">
        <v>2025</v>
      </c>
      <c r="AP174" t="s">
        <v>79</v>
      </c>
    </row>
    <row r="175" spans="1:42">
      <c r="A175" t="s">
        <v>997</v>
      </c>
      <c r="B175" s="3" t="s">
        <v>998</v>
      </c>
      <c r="C175" s="3">
        <v>45414</v>
      </c>
      <c r="D175" t="s">
        <v>999</v>
      </c>
      <c r="E175" s="3">
        <v>45420</v>
      </c>
      <c r="F175" t="s">
        <v>1000</v>
      </c>
      <c r="G175" t="s">
        <v>1001</v>
      </c>
      <c r="H175" t="str">
        <f t="shared" si="30"/>
        <v>Priya Menon</v>
      </c>
      <c r="I175" t="s">
        <v>154</v>
      </c>
      <c r="J175" t="str">
        <f t="shared" si="31"/>
        <v>Home Office</v>
      </c>
      <c r="K175" t="s">
        <v>8</v>
      </c>
      <c r="L175" t="str">
        <f t="shared" si="32"/>
        <v>North</v>
      </c>
      <c r="M175" t="s">
        <v>194</v>
      </c>
      <c r="N175" t="str">
        <f t="shared" si="33"/>
        <v>Punjab</v>
      </c>
      <c r="O175" t="s">
        <v>195</v>
      </c>
      <c r="P175" t="str">
        <f t="shared" si="34"/>
        <v>Ludhiana</v>
      </c>
      <c r="Q175" t="s">
        <v>24</v>
      </c>
      <c r="R175" t="str">
        <f t="shared" si="35"/>
        <v>Technology</v>
      </c>
      <c r="S175" t="s">
        <v>133</v>
      </c>
      <c r="T175" t="str">
        <f t="shared" si="36"/>
        <v>Copiers</v>
      </c>
      <c r="U175" t="s">
        <v>1002</v>
      </c>
      <c r="V175" t="str">
        <f t="shared" si="37"/>
        <v>Prime Copiers 440</v>
      </c>
      <c r="W175" t="s">
        <v>76</v>
      </c>
      <c r="X175" t="str">
        <f t="shared" si="38"/>
        <v>Second Class</v>
      </c>
      <c r="Y175">
        <v>6</v>
      </c>
      <c r="Z175">
        <v>1</v>
      </c>
      <c r="AA175">
        <v>2312.25</v>
      </c>
      <c r="AB175">
        <v>0.25</v>
      </c>
      <c r="AC175">
        <f t="shared" si="39"/>
        <v>0.25</v>
      </c>
      <c r="AD175">
        <v>1734.19</v>
      </c>
      <c r="AE175">
        <f t="shared" si="40"/>
        <v>1734.1875</v>
      </c>
      <c r="AF175">
        <v>1386.07</v>
      </c>
      <c r="AG175">
        <v>348.12</v>
      </c>
      <c r="AH175">
        <f t="shared" si="41"/>
        <v>348.1175</v>
      </c>
      <c r="AI175">
        <f t="shared" si="42"/>
        <v>0.200738097812376</v>
      </c>
      <c r="AJ175" t="s">
        <v>77</v>
      </c>
      <c r="AK175" t="str">
        <f t="shared" si="43"/>
        <v>Paid</v>
      </c>
      <c r="AL175" t="s">
        <v>78</v>
      </c>
      <c r="AM175" t="str">
        <f t="shared" si="44"/>
        <v>Completed</v>
      </c>
      <c r="AN175">
        <v>5</v>
      </c>
      <c r="AO175">
        <v>2024</v>
      </c>
      <c r="AP175" t="s">
        <v>79</v>
      </c>
    </row>
    <row r="176" spans="1:42">
      <c r="A176" t="s">
        <v>1003</v>
      </c>
      <c r="B176" s="3" t="s">
        <v>1004</v>
      </c>
      <c r="C176" s="3">
        <v>45928</v>
      </c>
      <c r="D176" t="s">
        <v>1005</v>
      </c>
      <c r="E176" s="3">
        <v>45934</v>
      </c>
      <c r="F176" t="s">
        <v>1006</v>
      </c>
      <c r="G176" t="s">
        <v>70</v>
      </c>
      <c r="H176" t="str">
        <f t="shared" si="30"/>
        <v>Karan Malhotra</v>
      </c>
      <c r="I176" t="s">
        <v>85</v>
      </c>
      <c r="J176" t="str">
        <f t="shared" si="31"/>
        <v>Small Business</v>
      </c>
      <c r="K176" t="s">
        <v>10</v>
      </c>
      <c r="L176" t="str">
        <f t="shared" si="32"/>
        <v>South</v>
      </c>
      <c r="M176" t="s">
        <v>272</v>
      </c>
      <c r="N176" t="str">
        <f t="shared" si="33"/>
        <v>Karnataka</v>
      </c>
      <c r="O176" t="s">
        <v>273</v>
      </c>
      <c r="P176" t="str">
        <f t="shared" si="34"/>
        <v>Bengaluru</v>
      </c>
      <c r="Q176" t="s">
        <v>19</v>
      </c>
      <c r="R176" t="str">
        <f t="shared" si="35"/>
        <v>Furniture</v>
      </c>
      <c r="S176" t="s">
        <v>245</v>
      </c>
      <c r="T176" t="str">
        <f t="shared" si="36"/>
        <v>Bookcases</v>
      </c>
      <c r="U176" t="s">
        <v>1007</v>
      </c>
      <c r="V176" t="str">
        <f t="shared" si="37"/>
        <v>Pro Bookcases 319</v>
      </c>
      <c r="W176" t="s">
        <v>98</v>
      </c>
      <c r="X176" t="str">
        <f t="shared" si="38"/>
        <v>First Class</v>
      </c>
      <c r="Y176">
        <v>6</v>
      </c>
      <c r="Z176">
        <v>6</v>
      </c>
      <c r="AA176">
        <v>1620.53</v>
      </c>
      <c r="AB176">
        <v>0.15</v>
      </c>
      <c r="AC176">
        <f t="shared" si="39"/>
        <v>0.15</v>
      </c>
      <c r="AD176">
        <v>8264.7</v>
      </c>
      <c r="AE176">
        <f t="shared" si="40"/>
        <v>8264.703</v>
      </c>
      <c r="AF176">
        <v>4768.75</v>
      </c>
      <c r="AG176">
        <v>3495.95</v>
      </c>
      <c r="AH176">
        <f t="shared" si="41"/>
        <v>3495.953</v>
      </c>
      <c r="AI176">
        <f t="shared" si="42"/>
        <v>0.422998019408562</v>
      </c>
      <c r="AJ176" t="s">
        <v>177</v>
      </c>
      <c r="AK176" t="str">
        <f t="shared" si="43"/>
        <v>Pending</v>
      </c>
      <c r="AL176" t="s">
        <v>164</v>
      </c>
      <c r="AM176" t="str">
        <f t="shared" si="44"/>
        <v>Returned</v>
      </c>
      <c r="AN176">
        <v>9</v>
      </c>
      <c r="AO176">
        <v>2025</v>
      </c>
      <c r="AP176" t="s">
        <v>79</v>
      </c>
    </row>
    <row r="177" spans="1:42">
      <c r="A177" t="s">
        <v>1008</v>
      </c>
      <c r="B177" s="3" t="s">
        <v>792</v>
      </c>
      <c r="C177" s="3">
        <v>45318</v>
      </c>
      <c r="D177" t="s">
        <v>1009</v>
      </c>
      <c r="E177" s="3">
        <v>45325</v>
      </c>
      <c r="F177" t="s">
        <v>1010</v>
      </c>
      <c r="G177" t="s">
        <v>103</v>
      </c>
      <c r="H177" t="str">
        <f t="shared" si="30"/>
        <v>Arjun Bose</v>
      </c>
      <c r="I177" t="s">
        <v>85</v>
      </c>
      <c r="J177" t="str">
        <f t="shared" si="31"/>
        <v>Small Business</v>
      </c>
      <c r="K177" t="s">
        <v>7</v>
      </c>
      <c r="L177" t="str">
        <f t="shared" si="32"/>
        <v>East</v>
      </c>
      <c r="M177" t="s">
        <v>227</v>
      </c>
      <c r="N177" t="str">
        <f t="shared" si="33"/>
        <v>Bihar</v>
      </c>
      <c r="O177" t="s">
        <v>228</v>
      </c>
      <c r="P177" t="str">
        <f t="shared" si="34"/>
        <v>Patna</v>
      </c>
      <c r="Q177" t="s">
        <v>24</v>
      </c>
      <c r="R177" t="str">
        <f t="shared" si="35"/>
        <v>Technology</v>
      </c>
      <c r="S177" t="s">
        <v>427</v>
      </c>
      <c r="T177" t="str">
        <f t="shared" si="36"/>
        <v>Machines</v>
      </c>
      <c r="U177" t="s">
        <v>1011</v>
      </c>
      <c r="V177" t="str">
        <f t="shared" si="37"/>
        <v>Basic Machines 584</v>
      </c>
      <c r="W177" t="s">
        <v>90</v>
      </c>
      <c r="X177" t="str">
        <f t="shared" si="38"/>
        <v>Same Day</v>
      </c>
      <c r="Y177">
        <v>7</v>
      </c>
      <c r="Z177">
        <v>7</v>
      </c>
      <c r="AA177">
        <v>2673.42</v>
      </c>
      <c r="AB177">
        <v>0.15</v>
      </c>
      <c r="AC177">
        <f t="shared" si="39"/>
        <v>0.15</v>
      </c>
      <c r="AD177">
        <v>15906.85</v>
      </c>
      <c r="AE177">
        <f t="shared" si="40"/>
        <v>15906.849</v>
      </c>
      <c r="AF177">
        <v>11014.46</v>
      </c>
      <c r="AG177">
        <v>4892.39</v>
      </c>
      <c r="AH177">
        <f t="shared" si="41"/>
        <v>4892.389</v>
      </c>
      <c r="AI177">
        <f t="shared" si="42"/>
        <v>0.307564936336543</v>
      </c>
      <c r="AJ177" t="s">
        <v>77</v>
      </c>
      <c r="AK177" t="str">
        <f t="shared" si="43"/>
        <v>Paid</v>
      </c>
      <c r="AL177" t="s">
        <v>164</v>
      </c>
      <c r="AM177" t="str">
        <f t="shared" si="44"/>
        <v>Returned</v>
      </c>
      <c r="AN177">
        <v>1</v>
      </c>
      <c r="AO177">
        <v>2024</v>
      </c>
      <c r="AP177" t="s">
        <v>79</v>
      </c>
    </row>
    <row r="178" spans="1:42">
      <c r="A178" t="s">
        <v>1012</v>
      </c>
      <c r="B178" s="3" t="s">
        <v>1013</v>
      </c>
      <c r="C178" s="3">
        <v>45734</v>
      </c>
      <c r="D178" t="s">
        <v>1014</v>
      </c>
      <c r="E178" s="3">
        <v>45742</v>
      </c>
      <c r="F178" t="s">
        <v>1015</v>
      </c>
      <c r="G178" t="s">
        <v>123</v>
      </c>
      <c r="H178" t="str">
        <f t="shared" si="30"/>
        <v>Vikram Iyer</v>
      </c>
      <c r="I178" t="s">
        <v>147</v>
      </c>
      <c r="J178" t="str">
        <f t="shared" si="31"/>
        <v>Corporate</v>
      </c>
      <c r="K178" t="s">
        <v>7</v>
      </c>
      <c r="L178" t="str">
        <f t="shared" si="32"/>
        <v>East</v>
      </c>
      <c r="M178" t="s">
        <v>354</v>
      </c>
      <c r="N178" t="str">
        <f t="shared" si="33"/>
        <v>Jharkhand</v>
      </c>
      <c r="O178" t="s">
        <v>355</v>
      </c>
      <c r="P178" t="str">
        <f t="shared" si="34"/>
        <v>Ranchi</v>
      </c>
      <c r="Q178" t="s">
        <v>19</v>
      </c>
      <c r="R178" t="str">
        <f t="shared" si="35"/>
        <v>Furniture</v>
      </c>
      <c r="S178" t="s">
        <v>245</v>
      </c>
      <c r="T178" t="str">
        <f t="shared" si="36"/>
        <v>Bookcases</v>
      </c>
      <c r="U178" t="s">
        <v>1016</v>
      </c>
      <c r="V178" t="str">
        <f t="shared" si="37"/>
        <v>Pro Bookcases 612</v>
      </c>
      <c r="W178" t="s">
        <v>108</v>
      </c>
      <c r="X178" t="str">
        <f t="shared" si="38"/>
        <v>Standard Class</v>
      </c>
      <c r="Y178">
        <v>8</v>
      </c>
      <c r="Z178">
        <v>8</v>
      </c>
      <c r="AA178">
        <v>3563.09</v>
      </c>
      <c r="AB178">
        <v>0.15</v>
      </c>
      <c r="AC178">
        <f t="shared" si="39"/>
        <v>0.15</v>
      </c>
      <c r="AD178">
        <v>24229.01</v>
      </c>
      <c r="AE178">
        <f t="shared" si="40"/>
        <v>24229.012</v>
      </c>
      <c r="AF178">
        <v>13910.64</v>
      </c>
      <c r="AG178">
        <v>10318.37</v>
      </c>
      <c r="AH178">
        <f t="shared" si="41"/>
        <v>10318.372</v>
      </c>
      <c r="AI178">
        <f t="shared" si="42"/>
        <v>0.425868458854203</v>
      </c>
      <c r="AJ178" t="s">
        <v>77</v>
      </c>
      <c r="AK178" t="str">
        <f t="shared" si="43"/>
        <v>Paid</v>
      </c>
      <c r="AL178" t="s">
        <v>78</v>
      </c>
      <c r="AM178" t="str">
        <f t="shared" si="44"/>
        <v>Completed</v>
      </c>
      <c r="AN178">
        <v>3</v>
      </c>
      <c r="AO178">
        <v>2025</v>
      </c>
      <c r="AP178" t="s">
        <v>79</v>
      </c>
    </row>
    <row r="179" spans="1:42">
      <c r="A179" t="s">
        <v>1017</v>
      </c>
      <c r="B179" s="3" t="s">
        <v>1018</v>
      </c>
      <c r="C179" s="3">
        <v>45444</v>
      </c>
      <c r="D179" t="s">
        <v>1019</v>
      </c>
      <c r="E179" s="3">
        <v>45446</v>
      </c>
      <c r="F179" t="s">
        <v>1020</v>
      </c>
      <c r="G179" t="s">
        <v>208</v>
      </c>
      <c r="H179" t="str">
        <f t="shared" si="30"/>
        <v>Sneha Kapoor</v>
      </c>
      <c r="I179" t="s">
        <v>154</v>
      </c>
      <c r="J179" t="str">
        <f t="shared" si="31"/>
        <v>Home Office</v>
      </c>
      <c r="L179" t="str">
        <f t="shared" si="32"/>
        <v/>
      </c>
      <c r="M179" t="s">
        <v>227</v>
      </c>
      <c r="N179" t="str">
        <f t="shared" si="33"/>
        <v>Bihar</v>
      </c>
      <c r="O179" t="s">
        <v>228</v>
      </c>
      <c r="P179" t="str">
        <f t="shared" si="34"/>
        <v>Patna</v>
      </c>
      <c r="Q179" t="s">
        <v>22</v>
      </c>
      <c r="R179" t="str">
        <f t="shared" si="35"/>
        <v>Office Supplies</v>
      </c>
      <c r="S179" t="s">
        <v>96</v>
      </c>
      <c r="T179" t="str">
        <f t="shared" si="36"/>
        <v>Art</v>
      </c>
      <c r="U179" t="s">
        <v>1021</v>
      </c>
      <c r="V179" t="str">
        <f t="shared" si="37"/>
        <v>Classic Art 573</v>
      </c>
      <c r="W179" t="s">
        <v>90</v>
      </c>
      <c r="X179" t="str">
        <f t="shared" si="38"/>
        <v>Same Day</v>
      </c>
      <c r="Y179">
        <v>2</v>
      </c>
      <c r="Z179">
        <v>8</v>
      </c>
      <c r="AA179">
        <v>3879.95</v>
      </c>
      <c r="AB179">
        <v>0</v>
      </c>
      <c r="AC179">
        <f t="shared" si="39"/>
        <v>0</v>
      </c>
      <c r="AD179">
        <v>31039.6</v>
      </c>
      <c r="AE179">
        <f t="shared" si="40"/>
        <v>31039.6</v>
      </c>
      <c r="AF179">
        <v>20866.72</v>
      </c>
      <c r="AG179">
        <v>10172.88</v>
      </c>
      <c r="AH179">
        <f t="shared" si="41"/>
        <v>10172.88</v>
      </c>
      <c r="AI179">
        <f t="shared" si="42"/>
        <v>0.327738759520097</v>
      </c>
      <c r="AJ179" t="s">
        <v>77</v>
      </c>
      <c r="AK179" t="str">
        <f t="shared" si="43"/>
        <v>Paid</v>
      </c>
      <c r="AL179" t="s">
        <v>78</v>
      </c>
      <c r="AM179" t="str">
        <f t="shared" si="44"/>
        <v>Completed</v>
      </c>
      <c r="AN179">
        <v>6</v>
      </c>
      <c r="AO179">
        <v>2024</v>
      </c>
      <c r="AP179" t="s">
        <v>79</v>
      </c>
    </row>
    <row r="180" spans="1:42">
      <c r="A180" t="s">
        <v>1022</v>
      </c>
      <c r="B180" s="3" t="s">
        <v>1023</v>
      </c>
      <c r="C180" s="3">
        <v>45565</v>
      </c>
      <c r="D180" t="s">
        <v>1024</v>
      </c>
      <c r="E180" s="3">
        <v>45565</v>
      </c>
      <c r="F180" t="s">
        <v>1025</v>
      </c>
      <c r="G180" t="s">
        <v>95</v>
      </c>
      <c r="H180" t="str">
        <f t="shared" si="30"/>
        <v>Isha Nair</v>
      </c>
      <c r="I180" t="s">
        <v>147</v>
      </c>
      <c r="J180" t="str">
        <f t="shared" si="31"/>
        <v>Corporate</v>
      </c>
      <c r="K180" t="s">
        <v>10</v>
      </c>
      <c r="L180" t="str">
        <f t="shared" si="32"/>
        <v>South</v>
      </c>
      <c r="M180" t="s">
        <v>104</v>
      </c>
      <c r="N180" t="str">
        <f t="shared" si="33"/>
        <v>Telangana</v>
      </c>
      <c r="O180" t="s">
        <v>105</v>
      </c>
      <c r="P180" t="str">
        <f t="shared" si="34"/>
        <v>Hyderabad</v>
      </c>
      <c r="Q180" t="s">
        <v>22</v>
      </c>
      <c r="R180" t="str">
        <f t="shared" si="35"/>
        <v>Office Supplies</v>
      </c>
      <c r="S180" t="s">
        <v>96</v>
      </c>
      <c r="T180" t="str">
        <f t="shared" si="36"/>
        <v>Art</v>
      </c>
      <c r="U180" t="s">
        <v>1026</v>
      </c>
      <c r="V180" t="str">
        <f t="shared" si="37"/>
        <v>Eco Art 854</v>
      </c>
      <c r="W180" t="s">
        <v>108</v>
      </c>
      <c r="X180" t="str">
        <f t="shared" si="38"/>
        <v>Standard Class</v>
      </c>
      <c r="Y180">
        <v>0</v>
      </c>
      <c r="Z180">
        <v>4</v>
      </c>
      <c r="AA180">
        <v>3281.74</v>
      </c>
      <c r="AB180">
        <v>0</v>
      </c>
      <c r="AC180">
        <f t="shared" si="39"/>
        <v>0</v>
      </c>
      <c r="AD180">
        <v>13126.96</v>
      </c>
      <c r="AE180">
        <f t="shared" si="40"/>
        <v>13126.96</v>
      </c>
      <c r="AF180">
        <v>10732.44</v>
      </c>
      <c r="AG180">
        <v>2394.52</v>
      </c>
      <c r="AH180">
        <f t="shared" si="41"/>
        <v>2394.52</v>
      </c>
      <c r="AI180">
        <f t="shared" si="42"/>
        <v>0.182412378799052</v>
      </c>
      <c r="AJ180" t="s">
        <v>77</v>
      </c>
      <c r="AK180" t="str">
        <f t="shared" si="43"/>
        <v>Paid</v>
      </c>
      <c r="AL180" t="s">
        <v>78</v>
      </c>
      <c r="AM180" t="str">
        <f t="shared" si="44"/>
        <v>Completed</v>
      </c>
      <c r="AN180">
        <v>9</v>
      </c>
      <c r="AO180">
        <v>2024</v>
      </c>
      <c r="AP180" t="s">
        <v>79</v>
      </c>
    </row>
    <row r="181" spans="1:42">
      <c r="A181" t="s">
        <v>1027</v>
      </c>
      <c r="B181" s="3" t="s">
        <v>1028</v>
      </c>
      <c r="C181" s="3">
        <v>45366</v>
      </c>
      <c r="D181" t="s">
        <v>1029</v>
      </c>
      <c r="E181" s="3">
        <v>45370</v>
      </c>
      <c r="F181" t="s">
        <v>1030</v>
      </c>
      <c r="G181" t="s">
        <v>113</v>
      </c>
      <c r="H181" t="str">
        <f t="shared" si="30"/>
        <v>Ananya Rao</v>
      </c>
      <c r="I181" t="s">
        <v>85</v>
      </c>
      <c r="J181" t="str">
        <f t="shared" si="31"/>
        <v>Small Business</v>
      </c>
      <c r="K181" t="s">
        <v>10</v>
      </c>
      <c r="L181" t="str">
        <f t="shared" si="32"/>
        <v>South</v>
      </c>
      <c r="M181" t="s">
        <v>382</v>
      </c>
      <c r="N181" t="str">
        <f t="shared" si="33"/>
        <v>Tamil Nadu</v>
      </c>
      <c r="O181" t="s">
        <v>383</v>
      </c>
      <c r="P181" t="str">
        <f t="shared" si="34"/>
        <v>Chennai</v>
      </c>
      <c r="Q181" t="s">
        <v>19</v>
      </c>
      <c r="R181" t="str">
        <f t="shared" si="35"/>
        <v>Furniture</v>
      </c>
      <c r="S181" t="s">
        <v>106</v>
      </c>
      <c r="T181" t="str">
        <f t="shared" si="36"/>
        <v>Furnishings</v>
      </c>
      <c r="U181" t="s">
        <v>1031</v>
      </c>
      <c r="V181" t="str">
        <f t="shared" si="37"/>
        <v>Classic Furnishings 996</v>
      </c>
      <c r="W181" t="s">
        <v>108</v>
      </c>
      <c r="X181" t="str">
        <f t="shared" si="38"/>
        <v>Standard Class</v>
      </c>
      <c r="Y181">
        <v>4</v>
      </c>
      <c r="Z181">
        <v>4</v>
      </c>
      <c r="AA181">
        <v>3186.3</v>
      </c>
      <c r="AB181">
        <v>0.25</v>
      </c>
      <c r="AC181">
        <f t="shared" si="39"/>
        <v>0.25</v>
      </c>
      <c r="AD181">
        <v>9558.9</v>
      </c>
      <c r="AE181">
        <f t="shared" si="40"/>
        <v>9558.9</v>
      </c>
      <c r="AF181">
        <v>5516.76</v>
      </c>
      <c r="AG181">
        <v>4042.14</v>
      </c>
      <c r="AH181">
        <f t="shared" si="41"/>
        <v>4042.14</v>
      </c>
      <c r="AI181">
        <f t="shared" si="42"/>
        <v>0.422866647836048</v>
      </c>
      <c r="AJ181" t="s">
        <v>163</v>
      </c>
      <c r="AK181" t="str">
        <f t="shared" si="43"/>
        <v>Refunded</v>
      </c>
      <c r="AL181" t="s">
        <v>164</v>
      </c>
      <c r="AM181" t="str">
        <f t="shared" si="44"/>
        <v>Returned</v>
      </c>
      <c r="AN181">
        <v>3</v>
      </c>
      <c r="AO181">
        <v>2024</v>
      </c>
      <c r="AP181" t="s">
        <v>79</v>
      </c>
    </row>
    <row r="182" spans="1:42">
      <c r="A182" t="s">
        <v>1032</v>
      </c>
      <c r="B182" s="3" t="s">
        <v>1033</v>
      </c>
      <c r="C182" s="3">
        <v>45530</v>
      </c>
      <c r="D182" t="s">
        <v>1034</v>
      </c>
      <c r="E182" s="3">
        <v>45530</v>
      </c>
      <c r="F182" t="s">
        <v>1035</v>
      </c>
      <c r="G182" t="s">
        <v>84</v>
      </c>
      <c r="H182" t="str">
        <f t="shared" si="30"/>
        <v>Mira Das</v>
      </c>
      <c r="I182" t="s">
        <v>154</v>
      </c>
      <c r="J182" t="str">
        <f t="shared" si="31"/>
        <v>Home Office</v>
      </c>
      <c r="K182" t="s">
        <v>8</v>
      </c>
      <c r="L182" t="str">
        <f t="shared" si="32"/>
        <v>North</v>
      </c>
      <c r="M182" t="s">
        <v>214</v>
      </c>
      <c r="N182" t="str">
        <f t="shared" si="33"/>
        <v>Uttar Pradesh</v>
      </c>
      <c r="O182" t="s">
        <v>215</v>
      </c>
      <c r="P182" t="str">
        <f t="shared" si="34"/>
        <v>Noida</v>
      </c>
      <c r="Q182" t="s">
        <v>968</v>
      </c>
      <c r="R182" t="str">
        <f t="shared" si="35"/>
        <v>Office Supplies</v>
      </c>
      <c r="S182" t="s">
        <v>239</v>
      </c>
      <c r="T182" t="str">
        <f t="shared" si="36"/>
        <v>Binders</v>
      </c>
      <c r="U182" t="s">
        <v>1036</v>
      </c>
      <c r="V182" t="str">
        <f t="shared" si="37"/>
        <v>Prime Binders 735</v>
      </c>
      <c r="W182" t="s">
        <v>98</v>
      </c>
      <c r="X182" t="str">
        <f t="shared" si="38"/>
        <v>First Class</v>
      </c>
      <c r="Y182">
        <v>0</v>
      </c>
      <c r="Z182">
        <v>7</v>
      </c>
      <c r="AA182">
        <v>844.59</v>
      </c>
      <c r="AB182">
        <v>0.1</v>
      </c>
      <c r="AC182">
        <f t="shared" si="39"/>
        <v>0.1</v>
      </c>
      <c r="AD182">
        <v>5320.92</v>
      </c>
      <c r="AE182">
        <f t="shared" si="40"/>
        <v>5320.917</v>
      </c>
      <c r="AF182">
        <v>3041.5</v>
      </c>
      <c r="AG182">
        <v>2279.42</v>
      </c>
      <c r="AH182">
        <f t="shared" si="41"/>
        <v>2279.417</v>
      </c>
      <c r="AI182">
        <f t="shared" si="42"/>
        <v>0.42838800154184</v>
      </c>
      <c r="AJ182" t="s">
        <v>77</v>
      </c>
      <c r="AK182" t="str">
        <f t="shared" si="43"/>
        <v>Paid</v>
      </c>
      <c r="AL182" t="s">
        <v>78</v>
      </c>
      <c r="AM182" t="str">
        <f t="shared" si="44"/>
        <v>Completed</v>
      </c>
      <c r="AN182">
        <v>8</v>
      </c>
      <c r="AO182">
        <v>2024</v>
      </c>
      <c r="AP182" t="s">
        <v>79</v>
      </c>
    </row>
    <row r="183" spans="1:42">
      <c r="A183" t="s">
        <v>1037</v>
      </c>
      <c r="B183" s="3" t="s">
        <v>1038</v>
      </c>
      <c r="C183" s="3">
        <v>45909</v>
      </c>
      <c r="D183" t="s">
        <v>1039</v>
      </c>
      <c r="E183" s="3">
        <v>45910</v>
      </c>
      <c r="F183" t="s">
        <v>1040</v>
      </c>
      <c r="G183" t="s">
        <v>182</v>
      </c>
      <c r="H183" t="str">
        <f t="shared" si="30"/>
        <v>Priya Menon</v>
      </c>
      <c r="I183" t="s">
        <v>154</v>
      </c>
      <c r="J183" t="str">
        <f t="shared" si="31"/>
        <v>Home Office</v>
      </c>
      <c r="K183" t="s">
        <v>10</v>
      </c>
      <c r="L183" t="str">
        <f t="shared" si="32"/>
        <v>South</v>
      </c>
      <c r="M183" t="s">
        <v>382</v>
      </c>
      <c r="N183" t="str">
        <f t="shared" si="33"/>
        <v>Tamil Nadu</v>
      </c>
      <c r="O183" t="s">
        <v>383</v>
      </c>
      <c r="P183" t="str">
        <f t="shared" si="34"/>
        <v>Chennai</v>
      </c>
      <c r="Q183" t="s">
        <v>22</v>
      </c>
      <c r="R183" t="str">
        <f t="shared" si="35"/>
        <v>Office Supplies</v>
      </c>
      <c r="S183" t="s">
        <v>96</v>
      </c>
      <c r="T183" t="str">
        <f t="shared" si="36"/>
        <v>Art</v>
      </c>
      <c r="U183" t="s">
        <v>1041</v>
      </c>
      <c r="V183" t="str">
        <f t="shared" si="37"/>
        <v>Pro Art 587</v>
      </c>
      <c r="W183" t="s">
        <v>76</v>
      </c>
      <c r="X183" t="str">
        <f t="shared" si="38"/>
        <v>Second Class</v>
      </c>
      <c r="Y183">
        <v>1</v>
      </c>
      <c r="Z183">
        <v>4</v>
      </c>
      <c r="AA183">
        <v>2551.45</v>
      </c>
      <c r="AB183">
        <v>0</v>
      </c>
      <c r="AC183">
        <f t="shared" si="39"/>
        <v>0</v>
      </c>
      <c r="AD183">
        <v>10205.8</v>
      </c>
      <c r="AE183">
        <f t="shared" si="40"/>
        <v>10205.8</v>
      </c>
      <c r="AF183">
        <v>5986.31</v>
      </c>
      <c r="AG183">
        <v>4219.49</v>
      </c>
      <c r="AH183">
        <f t="shared" si="41"/>
        <v>4219.49</v>
      </c>
      <c r="AI183">
        <f t="shared" si="42"/>
        <v>0.413440396637206</v>
      </c>
      <c r="AJ183" t="s">
        <v>77</v>
      </c>
      <c r="AK183" t="str">
        <f t="shared" si="43"/>
        <v>Paid</v>
      </c>
      <c r="AL183" t="s">
        <v>78</v>
      </c>
      <c r="AM183" t="str">
        <f t="shared" si="44"/>
        <v>Completed</v>
      </c>
      <c r="AN183">
        <v>9</v>
      </c>
      <c r="AO183">
        <v>2025</v>
      </c>
      <c r="AP183" t="s">
        <v>79</v>
      </c>
    </row>
    <row r="184" spans="1:42">
      <c r="A184" t="s">
        <v>1042</v>
      </c>
      <c r="B184" s="3" t="s">
        <v>342</v>
      </c>
      <c r="C184" s="3">
        <v>45581</v>
      </c>
      <c r="D184" t="s">
        <v>342</v>
      </c>
      <c r="E184" s="3">
        <v>45581</v>
      </c>
      <c r="F184" t="s">
        <v>1043</v>
      </c>
      <c r="G184" t="s">
        <v>113</v>
      </c>
      <c r="H184" t="str">
        <f t="shared" si="30"/>
        <v>Ananya Rao</v>
      </c>
      <c r="I184" t="s">
        <v>154</v>
      </c>
      <c r="J184" t="str">
        <f t="shared" si="31"/>
        <v>Home Office</v>
      </c>
      <c r="K184" t="s">
        <v>7</v>
      </c>
      <c r="L184" t="str">
        <f t="shared" si="32"/>
        <v>East</v>
      </c>
      <c r="M184" t="s">
        <v>227</v>
      </c>
      <c r="N184" t="str">
        <f t="shared" si="33"/>
        <v>Bihar</v>
      </c>
      <c r="O184" t="s">
        <v>228</v>
      </c>
      <c r="P184" t="str">
        <f t="shared" si="34"/>
        <v>Patna</v>
      </c>
      <c r="Q184" t="s">
        <v>24</v>
      </c>
      <c r="R184" t="str">
        <f t="shared" si="35"/>
        <v>Technology</v>
      </c>
      <c r="S184" t="s">
        <v>427</v>
      </c>
      <c r="T184" t="str">
        <f t="shared" si="36"/>
        <v>Machines</v>
      </c>
      <c r="U184" t="s">
        <v>1044</v>
      </c>
      <c r="V184" t="str">
        <f t="shared" si="37"/>
        <v>Basic Machines 575</v>
      </c>
      <c r="W184" t="s">
        <v>108</v>
      </c>
      <c r="X184" t="str">
        <f t="shared" si="38"/>
        <v>Standard Class</v>
      </c>
      <c r="Y184">
        <v>0</v>
      </c>
      <c r="Z184">
        <v>7</v>
      </c>
      <c r="AA184">
        <v>775.77</v>
      </c>
      <c r="AB184">
        <v>0</v>
      </c>
      <c r="AC184">
        <f t="shared" si="39"/>
        <v>0</v>
      </c>
      <c r="AD184">
        <v>5430.39</v>
      </c>
      <c r="AE184">
        <f t="shared" si="40"/>
        <v>5430.39</v>
      </c>
      <c r="AF184">
        <v>3707.66</v>
      </c>
      <c r="AG184">
        <v>1722.73</v>
      </c>
      <c r="AH184">
        <f t="shared" si="41"/>
        <v>1722.73</v>
      </c>
      <c r="AI184">
        <f t="shared" si="42"/>
        <v>0.317238725027116</v>
      </c>
      <c r="AJ184" t="s">
        <v>77</v>
      </c>
      <c r="AK184" t="str">
        <f t="shared" si="43"/>
        <v>Paid</v>
      </c>
      <c r="AL184" t="s">
        <v>78</v>
      </c>
      <c r="AM184" t="str">
        <f t="shared" si="44"/>
        <v>Completed</v>
      </c>
      <c r="AN184">
        <v>10</v>
      </c>
      <c r="AO184">
        <v>2024</v>
      </c>
      <c r="AP184" t="s">
        <v>79</v>
      </c>
    </row>
    <row r="185" spans="1:42">
      <c r="A185" t="s">
        <v>1045</v>
      </c>
      <c r="B185" s="3" t="s">
        <v>1046</v>
      </c>
      <c r="C185" s="3">
        <v>45832</v>
      </c>
      <c r="D185" t="s">
        <v>1047</v>
      </c>
      <c r="E185" s="3">
        <v>45835</v>
      </c>
      <c r="F185" t="s">
        <v>1048</v>
      </c>
      <c r="G185" t="s">
        <v>123</v>
      </c>
      <c r="H185" t="str">
        <f t="shared" si="30"/>
        <v>Vikram Iyer</v>
      </c>
      <c r="I185" t="s">
        <v>154</v>
      </c>
      <c r="J185" t="str">
        <f t="shared" si="31"/>
        <v>Home Office</v>
      </c>
      <c r="K185" t="s">
        <v>10</v>
      </c>
      <c r="L185" t="str">
        <f t="shared" si="32"/>
        <v>South</v>
      </c>
      <c r="M185" t="s">
        <v>104</v>
      </c>
      <c r="N185" t="str">
        <f t="shared" si="33"/>
        <v>Telangana</v>
      </c>
      <c r="O185" t="s">
        <v>105</v>
      </c>
      <c r="P185" t="str">
        <f t="shared" si="34"/>
        <v>Hyderabad</v>
      </c>
      <c r="Q185" t="s">
        <v>24</v>
      </c>
      <c r="R185" t="str">
        <f t="shared" si="35"/>
        <v>Technology</v>
      </c>
      <c r="S185" t="s">
        <v>133</v>
      </c>
      <c r="T185" t="str">
        <f t="shared" si="36"/>
        <v>Copiers</v>
      </c>
      <c r="U185" t="s">
        <v>1049</v>
      </c>
      <c r="V185" t="str">
        <f t="shared" si="37"/>
        <v>Elite Copiers 788</v>
      </c>
      <c r="W185" t="s">
        <v>108</v>
      </c>
      <c r="X185" t="str">
        <f t="shared" si="38"/>
        <v>Standard Class</v>
      </c>
      <c r="Y185">
        <v>3</v>
      </c>
      <c r="Z185">
        <v>7</v>
      </c>
      <c r="AA185">
        <v>2304.86</v>
      </c>
      <c r="AB185">
        <v>0.2</v>
      </c>
      <c r="AC185">
        <f t="shared" si="39"/>
        <v>0.2</v>
      </c>
      <c r="AD185">
        <v>12907.22</v>
      </c>
      <c r="AE185">
        <f t="shared" si="40"/>
        <v>12907.216</v>
      </c>
      <c r="AF185">
        <v>8327.89</v>
      </c>
      <c r="AG185">
        <v>4579.33</v>
      </c>
      <c r="AH185">
        <f t="shared" si="41"/>
        <v>4579.326</v>
      </c>
      <c r="AI185">
        <f t="shared" si="42"/>
        <v>0.354788050343312</v>
      </c>
      <c r="AJ185" t="s">
        <v>77</v>
      </c>
      <c r="AK185" t="str">
        <f t="shared" si="43"/>
        <v>Paid</v>
      </c>
      <c r="AL185" t="s">
        <v>164</v>
      </c>
      <c r="AM185" t="str">
        <f t="shared" si="44"/>
        <v>Returned</v>
      </c>
      <c r="AN185">
        <v>6</v>
      </c>
      <c r="AO185">
        <v>2025</v>
      </c>
      <c r="AP185" t="s">
        <v>79</v>
      </c>
    </row>
    <row r="186" spans="1:42">
      <c r="A186" t="s">
        <v>1050</v>
      </c>
      <c r="B186" s="3" t="s">
        <v>1051</v>
      </c>
      <c r="C186" s="3">
        <v>45384</v>
      </c>
      <c r="D186" t="s">
        <v>392</v>
      </c>
      <c r="E186" s="3">
        <v>45388</v>
      </c>
      <c r="F186" t="s">
        <v>1052</v>
      </c>
      <c r="G186" t="s">
        <v>123</v>
      </c>
      <c r="H186" t="str">
        <f t="shared" si="30"/>
        <v>Vikram Iyer</v>
      </c>
      <c r="I186" t="s">
        <v>147</v>
      </c>
      <c r="J186" t="str">
        <f t="shared" si="31"/>
        <v>Corporate</v>
      </c>
      <c r="K186" t="s">
        <v>11</v>
      </c>
      <c r="L186" t="str">
        <f t="shared" si="32"/>
        <v>West</v>
      </c>
      <c r="M186" t="s">
        <v>124</v>
      </c>
      <c r="N186" t="str">
        <f t="shared" si="33"/>
        <v>Madhya Pradesh</v>
      </c>
      <c r="O186" t="s">
        <v>125</v>
      </c>
      <c r="P186" t="str">
        <f t="shared" si="34"/>
        <v>Indore</v>
      </c>
      <c r="Q186" t="s">
        <v>19</v>
      </c>
      <c r="R186" t="str">
        <f t="shared" si="35"/>
        <v>Furniture</v>
      </c>
      <c r="S186" t="s">
        <v>245</v>
      </c>
      <c r="T186" t="str">
        <f t="shared" si="36"/>
        <v>Bookcases</v>
      </c>
      <c r="U186" t="s">
        <v>1053</v>
      </c>
      <c r="V186" t="str">
        <f t="shared" si="37"/>
        <v>Max Bookcases 472</v>
      </c>
      <c r="W186" t="s">
        <v>108</v>
      </c>
      <c r="X186" t="str">
        <f t="shared" si="38"/>
        <v>Standard Class</v>
      </c>
      <c r="Y186">
        <v>4</v>
      </c>
      <c r="Z186">
        <v>2</v>
      </c>
      <c r="AA186">
        <v>888.98</v>
      </c>
      <c r="AB186">
        <v>0</v>
      </c>
      <c r="AC186">
        <f t="shared" si="39"/>
        <v>0</v>
      </c>
      <c r="AD186">
        <v>1777.96</v>
      </c>
      <c r="AE186">
        <f t="shared" si="40"/>
        <v>1777.96</v>
      </c>
      <c r="AF186">
        <v>1021.16</v>
      </c>
      <c r="AG186">
        <v>756.8</v>
      </c>
      <c r="AH186">
        <f t="shared" si="41"/>
        <v>756.8</v>
      </c>
      <c r="AI186">
        <f t="shared" si="42"/>
        <v>0.425656370222052</v>
      </c>
      <c r="AJ186" t="s">
        <v>163</v>
      </c>
      <c r="AK186" t="str">
        <f t="shared" si="43"/>
        <v>Refunded</v>
      </c>
      <c r="AL186" t="s">
        <v>164</v>
      </c>
      <c r="AM186" t="str">
        <f t="shared" si="44"/>
        <v>Returned</v>
      </c>
      <c r="AN186">
        <v>4</v>
      </c>
      <c r="AO186">
        <v>2024</v>
      </c>
      <c r="AP186" t="s">
        <v>79</v>
      </c>
    </row>
    <row r="187" spans="1:42">
      <c r="A187" t="s">
        <v>1054</v>
      </c>
      <c r="B187" s="3" t="s">
        <v>143</v>
      </c>
      <c r="C187" s="3">
        <v>45601</v>
      </c>
      <c r="D187" t="s">
        <v>1055</v>
      </c>
      <c r="E187" s="3">
        <v>45609</v>
      </c>
      <c r="F187" t="s">
        <v>1056</v>
      </c>
      <c r="G187" t="s">
        <v>103</v>
      </c>
      <c r="H187" t="str">
        <f t="shared" si="30"/>
        <v>Arjun Bose</v>
      </c>
      <c r="I187" t="s">
        <v>71</v>
      </c>
      <c r="J187" t="str">
        <f t="shared" si="31"/>
        <v>Consumer</v>
      </c>
      <c r="L187" t="str">
        <f t="shared" si="32"/>
        <v/>
      </c>
      <c r="M187" t="s">
        <v>194</v>
      </c>
      <c r="N187" t="str">
        <f t="shared" si="33"/>
        <v>Punjab</v>
      </c>
      <c r="O187" t="s">
        <v>195</v>
      </c>
      <c r="P187" t="str">
        <f t="shared" si="34"/>
        <v>Ludhiana</v>
      </c>
      <c r="Q187" t="s">
        <v>22</v>
      </c>
      <c r="R187" t="str">
        <f t="shared" si="35"/>
        <v>Office Supplies</v>
      </c>
      <c r="S187" t="s">
        <v>148</v>
      </c>
      <c r="T187" t="str">
        <f t="shared" si="36"/>
        <v>Labels</v>
      </c>
      <c r="U187" t="s">
        <v>1057</v>
      </c>
      <c r="V187" t="str">
        <f t="shared" si="37"/>
        <v>Smart Labels 475</v>
      </c>
      <c r="W187" t="s">
        <v>76</v>
      </c>
      <c r="X187" t="str">
        <f t="shared" si="38"/>
        <v>Second Class</v>
      </c>
      <c r="Y187">
        <v>8</v>
      </c>
      <c r="Z187">
        <v>2</v>
      </c>
      <c r="AA187">
        <v>1003.17</v>
      </c>
      <c r="AB187">
        <v>0.2</v>
      </c>
      <c r="AC187">
        <f t="shared" si="39"/>
        <v>0.2</v>
      </c>
      <c r="AD187">
        <v>1605.07</v>
      </c>
      <c r="AE187">
        <f t="shared" si="40"/>
        <v>1605.072</v>
      </c>
      <c r="AF187">
        <v>1337.28</v>
      </c>
      <c r="AG187">
        <v>267.79</v>
      </c>
      <c r="AH187">
        <f t="shared" si="41"/>
        <v>267.792</v>
      </c>
      <c r="AI187">
        <f t="shared" si="42"/>
        <v>0.166841113669667</v>
      </c>
      <c r="AJ187" t="s">
        <v>77</v>
      </c>
      <c r="AK187" t="str">
        <f t="shared" si="43"/>
        <v>Paid</v>
      </c>
      <c r="AL187" t="s">
        <v>78</v>
      </c>
      <c r="AM187" t="str">
        <f t="shared" si="44"/>
        <v>Completed</v>
      </c>
      <c r="AN187">
        <v>11</v>
      </c>
      <c r="AO187">
        <v>2024</v>
      </c>
      <c r="AP187" t="s">
        <v>79</v>
      </c>
    </row>
    <row r="188" spans="1:42">
      <c r="A188" t="s">
        <v>1058</v>
      </c>
      <c r="B188" s="3" t="s">
        <v>375</v>
      </c>
      <c r="C188" s="3">
        <v>45492</v>
      </c>
      <c r="D188" t="s">
        <v>1059</v>
      </c>
      <c r="E188" s="3">
        <v>45493</v>
      </c>
      <c r="F188" t="s">
        <v>410</v>
      </c>
      <c r="G188" t="s">
        <v>123</v>
      </c>
      <c r="H188" t="str">
        <f t="shared" si="30"/>
        <v>Vikram Iyer</v>
      </c>
      <c r="I188" t="s">
        <v>71</v>
      </c>
      <c r="J188" t="str">
        <f t="shared" si="31"/>
        <v>Consumer</v>
      </c>
      <c r="K188" t="s">
        <v>10</v>
      </c>
      <c r="L188" t="str">
        <f t="shared" si="32"/>
        <v>South</v>
      </c>
      <c r="M188" t="s">
        <v>382</v>
      </c>
      <c r="N188" t="str">
        <f t="shared" si="33"/>
        <v>Tamil Nadu</v>
      </c>
      <c r="O188" t="s">
        <v>383</v>
      </c>
      <c r="P188" t="str">
        <f t="shared" si="34"/>
        <v>Chennai</v>
      </c>
      <c r="Q188" t="s">
        <v>19</v>
      </c>
      <c r="R188" t="str">
        <f t="shared" si="35"/>
        <v>Furniture</v>
      </c>
      <c r="S188" t="s">
        <v>88</v>
      </c>
      <c r="T188" t="str">
        <f t="shared" si="36"/>
        <v>Tables</v>
      </c>
      <c r="U188" t="s">
        <v>1060</v>
      </c>
      <c r="V188" t="str">
        <f t="shared" si="37"/>
        <v>Basic Tables 417</v>
      </c>
      <c r="W188" t="s">
        <v>98</v>
      </c>
      <c r="X188" t="str">
        <f t="shared" si="38"/>
        <v>First Class</v>
      </c>
      <c r="Y188">
        <v>1</v>
      </c>
      <c r="Z188">
        <v>7</v>
      </c>
      <c r="AA188">
        <v>3608.43</v>
      </c>
      <c r="AB188">
        <v>0.05</v>
      </c>
      <c r="AC188">
        <f t="shared" si="39"/>
        <v>0.05</v>
      </c>
      <c r="AD188">
        <v>23996.06</v>
      </c>
      <c r="AE188">
        <f t="shared" si="40"/>
        <v>23996.0595</v>
      </c>
      <c r="AF188">
        <v>20167.28</v>
      </c>
      <c r="AG188">
        <v>3828.78</v>
      </c>
      <c r="AH188">
        <f t="shared" si="41"/>
        <v>3828.7795</v>
      </c>
      <c r="AI188">
        <f t="shared" si="42"/>
        <v>0.159558676706898</v>
      </c>
      <c r="AJ188" t="s">
        <v>77</v>
      </c>
      <c r="AK188" t="str">
        <f t="shared" si="43"/>
        <v>Paid</v>
      </c>
      <c r="AL188" t="s">
        <v>78</v>
      </c>
      <c r="AM188" t="str">
        <f t="shared" si="44"/>
        <v>Completed</v>
      </c>
      <c r="AN188">
        <v>7</v>
      </c>
      <c r="AO188">
        <v>2024</v>
      </c>
      <c r="AP188" t="s">
        <v>79</v>
      </c>
    </row>
    <row r="189" spans="1:42">
      <c r="A189" t="s">
        <v>1061</v>
      </c>
      <c r="B189" s="3" t="s">
        <v>1062</v>
      </c>
      <c r="C189" s="3">
        <v>45778</v>
      </c>
      <c r="D189" t="s">
        <v>1063</v>
      </c>
      <c r="E189" s="3">
        <v>45779</v>
      </c>
      <c r="F189" t="s">
        <v>1064</v>
      </c>
      <c r="G189" t="s">
        <v>84</v>
      </c>
      <c r="H189" t="str">
        <f t="shared" si="30"/>
        <v>Mira Das</v>
      </c>
      <c r="I189" t="s">
        <v>71</v>
      </c>
      <c r="J189" t="str">
        <f t="shared" si="31"/>
        <v>Consumer</v>
      </c>
      <c r="K189" t="s">
        <v>11</v>
      </c>
      <c r="L189" t="str">
        <f t="shared" si="32"/>
        <v>West</v>
      </c>
      <c r="M189" t="s">
        <v>124</v>
      </c>
      <c r="N189" t="str">
        <f t="shared" si="33"/>
        <v>Madhya Pradesh</v>
      </c>
      <c r="O189" t="s">
        <v>125</v>
      </c>
      <c r="P189" t="str">
        <f t="shared" si="34"/>
        <v>Indore</v>
      </c>
      <c r="Q189" t="s">
        <v>19</v>
      </c>
      <c r="R189" t="str">
        <f t="shared" si="35"/>
        <v>Furniture</v>
      </c>
      <c r="S189" t="s">
        <v>116</v>
      </c>
      <c r="T189" t="str">
        <f t="shared" si="36"/>
        <v>Chairs</v>
      </c>
      <c r="U189" t="s">
        <v>1065</v>
      </c>
      <c r="V189" t="str">
        <f t="shared" si="37"/>
        <v>Pro Chairs 844</v>
      </c>
      <c r="W189" t="s">
        <v>90</v>
      </c>
      <c r="X189" t="str">
        <f t="shared" si="38"/>
        <v>Same Day</v>
      </c>
      <c r="Y189">
        <v>1</v>
      </c>
      <c r="Z189">
        <v>3</v>
      </c>
      <c r="AA189">
        <v>2905.74</v>
      </c>
      <c r="AB189">
        <v>0</v>
      </c>
      <c r="AC189">
        <f t="shared" si="39"/>
        <v>0</v>
      </c>
      <c r="AD189">
        <v>8717.22</v>
      </c>
      <c r="AE189">
        <f t="shared" si="40"/>
        <v>8717.22</v>
      </c>
      <c r="AF189">
        <v>6215.96</v>
      </c>
      <c r="AG189">
        <v>2501.26</v>
      </c>
      <c r="AH189">
        <f t="shared" si="41"/>
        <v>2501.26</v>
      </c>
      <c r="AI189">
        <f t="shared" si="42"/>
        <v>0.286933219535586</v>
      </c>
      <c r="AJ189" t="s">
        <v>77</v>
      </c>
      <c r="AK189" t="str">
        <f t="shared" si="43"/>
        <v>Paid</v>
      </c>
      <c r="AL189" t="s">
        <v>164</v>
      </c>
      <c r="AM189" t="str">
        <f t="shared" si="44"/>
        <v>Returned</v>
      </c>
      <c r="AN189">
        <v>5</v>
      </c>
      <c r="AO189">
        <v>2025</v>
      </c>
      <c r="AP189" t="s">
        <v>79</v>
      </c>
    </row>
    <row r="190" spans="1:42">
      <c r="A190" t="s">
        <v>1066</v>
      </c>
      <c r="B190" s="3" t="s">
        <v>1067</v>
      </c>
      <c r="C190" s="3">
        <v>45798</v>
      </c>
      <c r="D190" t="s">
        <v>1068</v>
      </c>
      <c r="E190" s="3">
        <v>45805</v>
      </c>
      <c r="F190" t="s">
        <v>1069</v>
      </c>
      <c r="G190" t="s">
        <v>182</v>
      </c>
      <c r="H190" t="str">
        <f t="shared" si="30"/>
        <v>Priya Menon</v>
      </c>
      <c r="I190" t="s">
        <v>147</v>
      </c>
      <c r="J190" t="str">
        <f t="shared" si="31"/>
        <v>Corporate</v>
      </c>
      <c r="K190" t="s">
        <v>7</v>
      </c>
      <c r="L190" t="str">
        <f t="shared" si="32"/>
        <v>East</v>
      </c>
      <c r="M190" t="s">
        <v>160</v>
      </c>
      <c r="N190" t="str">
        <f t="shared" si="33"/>
        <v>West Bengal</v>
      </c>
      <c r="O190" t="s">
        <v>161</v>
      </c>
      <c r="P190" t="str">
        <f t="shared" si="34"/>
        <v>Kolkata</v>
      </c>
      <c r="Q190" t="s">
        <v>19</v>
      </c>
      <c r="R190" t="str">
        <f t="shared" si="35"/>
        <v>Furniture</v>
      </c>
      <c r="S190" t="s">
        <v>245</v>
      </c>
      <c r="T190" t="str">
        <f t="shared" si="36"/>
        <v>Bookcases</v>
      </c>
      <c r="U190" t="s">
        <v>1070</v>
      </c>
      <c r="V190" t="str">
        <f t="shared" si="37"/>
        <v>Elite Bookcases 883</v>
      </c>
      <c r="W190" t="s">
        <v>90</v>
      </c>
      <c r="X190" t="str">
        <f t="shared" si="38"/>
        <v>Same Day</v>
      </c>
      <c r="Y190">
        <v>7</v>
      </c>
      <c r="Z190">
        <v>2</v>
      </c>
      <c r="AA190">
        <v>3559.57</v>
      </c>
      <c r="AB190">
        <v>0.1</v>
      </c>
      <c r="AC190">
        <f t="shared" si="39"/>
        <v>0.1</v>
      </c>
      <c r="AD190">
        <v>6553.95</v>
      </c>
      <c r="AE190">
        <f t="shared" si="40"/>
        <v>6407.226</v>
      </c>
      <c r="AF190">
        <v>4923.09</v>
      </c>
      <c r="AG190">
        <v>1484.14</v>
      </c>
      <c r="AH190">
        <f t="shared" si="41"/>
        <v>1484.136</v>
      </c>
      <c r="AI190">
        <f t="shared" si="42"/>
        <v>0.231634719924036</v>
      </c>
      <c r="AJ190" t="s">
        <v>77</v>
      </c>
      <c r="AK190" t="str">
        <f t="shared" si="43"/>
        <v>Paid</v>
      </c>
      <c r="AL190" t="s">
        <v>78</v>
      </c>
      <c r="AM190" t="str">
        <f t="shared" si="44"/>
        <v>Completed</v>
      </c>
      <c r="AN190">
        <v>5</v>
      </c>
      <c r="AO190">
        <v>2025</v>
      </c>
      <c r="AP190" t="s">
        <v>79</v>
      </c>
    </row>
    <row r="191" spans="1:42">
      <c r="A191" t="s">
        <v>1071</v>
      </c>
      <c r="B191" s="3" t="s">
        <v>1072</v>
      </c>
      <c r="C191" s="3">
        <v>45783</v>
      </c>
      <c r="D191" t="s">
        <v>1073</v>
      </c>
      <c r="E191" s="3">
        <v>45784</v>
      </c>
      <c r="F191" t="s">
        <v>1074</v>
      </c>
      <c r="G191" t="s">
        <v>103</v>
      </c>
      <c r="H191" t="str">
        <f t="shared" si="30"/>
        <v>Arjun Bose</v>
      </c>
      <c r="I191" t="s">
        <v>71</v>
      </c>
      <c r="J191" t="str">
        <f t="shared" si="31"/>
        <v>Consumer</v>
      </c>
      <c r="K191" t="s">
        <v>11</v>
      </c>
      <c r="L191" t="str">
        <f t="shared" si="32"/>
        <v>West</v>
      </c>
      <c r="M191" t="s">
        <v>72</v>
      </c>
      <c r="N191" t="str">
        <f t="shared" si="33"/>
        <v>Rajasthan</v>
      </c>
      <c r="O191" t="s">
        <v>175</v>
      </c>
      <c r="P191" t="str">
        <f t="shared" si="34"/>
        <v>Udaipur</v>
      </c>
      <c r="Q191" t="s">
        <v>19</v>
      </c>
      <c r="R191" t="str">
        <f t="shared" si="35"/>
        <v>Furniture</v>
      </c>
      <c r="S191" t="s">
        <v>245</v>
      </c>
      <c r="T191" t="str">
        <f t="shared" si="36"/>
        <v>Bookcases</v>
      </c>
      <c r="U191" t="s">
        <v>1075</v>
      </c>
      <c r="V191" t="str">
        <f t="shared" si="37"/>
        <v>Basic Bookcases 754</v>
      </c>
      <c r="W191" t="s">
        <v>98</v>
      </c>
      <c r="X191" t="str">
        <f t="shared" si="38"/>
        <v>First Class</v>
      </c>
      <c r="Y191">
        <v>1</v>
      </c>
      <c r="Z191">
        <v>9</v>
      </c>
      <c r="AA191">
        <v>3318.24</v>
      </c>
      <c r="AC191">
        <f t="shared" si="39"/>
        <v>0</v>
      </c>
      <c r="AD191">
        <v>25384.54</v>
      </c>
      <c r="AE191">
        <f t="shared" si="40"/>
        <v>29864.16</v>
      </c>
      <c r="AF191">
        <v>16872.39</v>
      </c>
      <c r="AG191">
        <v>8512.15</v>
      </c>
      <c r="AH191">
        <f t="shared" si="41"/>
        <v>12991.77</v>
      </c>
      <c r="AI191">
        <f t="shared" si="42"/>
        <v>0.435028810453734</v>
      </c>
      <c r="AJ191" t="s">
        <v>77</v>
      </c>
      <c r="AK191" t="str">
        <f t="shared" si="43"/>
        <v>Paid</v>
      </c>
      <c r="AL191" t="s">
        <v>1076</v>
      </c>
      <c r="AM191" t="str">
        <f t="shared" si="44"/>
        <v>Completed</v>
      </c>
      <c r="AN191">
        <v>5</v>
      </c>
      <c r="AO191">
        <v>2025</v>
      </c>
      <c r="AP191" t="s">
        <v>222</v>
      </c>
    </row>
    <row r="192" spans="1:42">
      <c r="A192" t="s">
        <v>1077</v>
      </c>
      <c r="B192" s="3" t="s">
        <v>1078</v>
      </c>
      <c r="C192" s="3">
        <v>45767</v>
      </c>
      <c r="D192" t="s">
        <v>1079</v>
      </c>
      <c r="E192" s="3">
        <v>45768</v>
      </c>
      <c r="F192" t="s">
        <v>1080</v>
      </c>
      <c r="G192" t="s">
        <v>146</v>
      </c>
      <c r="H192" t="str">
        <f t="shared" si="30"/>
        <v>Aditi Sen</v>
      </c>
      <c r="I192" t="s">
        <v>71</v>
      </c>
      <c r="J192" t="str">
        <f t="shared" si="31"/>
        <v>Consumer</v>
      </c>
      <c r="K192" t="s">
        <v>10</v>
      </c>
      <c r="L192" t="str">
        <f t="shared" si="32"/>
        <v>South</v>
      </c>
      <c r="M192" t="s">
        <v>382</v>
      </c>
      <c r="N192" t="str">
        <f t="shared" si="33"/>
        <v>Tamil Nadu</v>
      </c>
      <c r="O192" t="s">
        <v>383</v>
      </c>
      <c r="P192" t="str">
        <f t="shared" si="34"/>
        <v>Chennai</v>
      </c>
      <c r="Q192" t="s">
        <v>22</v>
      </c>
      <c r="R192" t="str">
        <f t="shared" si="35"/>
        <v>Office Supplies</v>
      </c>
      <c r="S192" t="s">
        <v>196</v>
      </c>
      <c r="T192" t="str">
        <f t="shared" si="36"/>
        <v>Storage</v>
      </c>
      <c r="U192" t="s">
        <v>1081</v>
      </c>
      <c r="V192" t="str">
        <f t="shared" si="37"/>
        <v>Eco Storage 158</v>
      </c>
      <c r="W192" t="s">
        <v>98</v>
      </c>
      <c r="X192" t="str">
        <f t="shared" si="38"/>
        <v>First Class</v>
      </c>
      <c r="Y192">
        <v>1</v>
      </c>
      <c r="Z192">
        <v>3</v>
      </c>
      <c r="AA192">
        <v>540.09</v>
      </c>
      <c r="AB192">
        <v>0.1</v>
      </c>
      <c r="AC192">
        <f t="shared" si="39"/>
        <v>0.1</v>
      </c>
      <c r="AD192">
        <v>1458.24</v>
      </c>
      <c r="AE192">
        <f t="shared" si="40"/>
        <v>1458.243</v>
      </c>
      <c r="AF192">
        <v>943.32</v>
      </c>
      <c r="AG192">
        <v>514.92</v>
      </c>
      <c r="AH192">
        <f t="shared" si="41"/>
        <v>514.923</v>
      </c>
      <c r="AI192">
        <f t="shared" si="42"/>
        <v>0.353111929904687</v>
      </c>
      <c r="AJ192" t="s">
        <v>77</v>
      </c>
      <c r="AK192" t="str">
        <f t="shared" si="43"/>
        <v>Paid</v>
      </c>
      <c r="AL192" t="s">
        <v>1082</v>
      </c>
      <c r="AM192" t="str">
        <f t="shared" si="44"/>
        <v>Completed</v>
      </c>
      <c r="AN192">
        <v>4</v>
      </c>
      <c r="AO192">
        <v>2025</v>
      </c>
      <c r="AP192" t="s">
        <v>79</v>
      </c>
    </row>
    <row r="193" spans="1:42">
      <c r="A193" t="s">
        <v>1083</v>
      </c>
      <c r="B193" s="3" t="s">
        <v>1084</v>
      </c>
      <c r="C193" s="3">
        <v>45584</v>
      </c>
      <c r="D193" t="s">
        <v>692</v>
      </c>
      <c r="E193" s="3">
        <v>45589</v>
      </c>
      <c r="F193" t="s">
        <v>1085</v>
      </c>
      <c r="G193" t="s">
        <v>208</v>
      </c>
      <c r="H193" t="str">
        <f t="shared" si="30"/>
        <v>Sneha Kapoor</v>
      </c>
      <c r="I193" t="s">
        <v>85</v>
      </c>
      <c r="J193" t="str">
        <f t="shared" si="31"/>
        <v>Small Business</v>
      </c>
      <c r="K193" t="s">
        <v>10</v>
      </c>
      <c r="L193" t="str">
        <f t="shared" si="32"/>
        <v>South</v>
      </c>
      <c r="M193" t="s">
        <v>382</v>
      </c>
      <c r="N193" t="str">
        <f t="shared" si="33"/>
        <v>Tamil Nadu</v>
      </c>
      <c r="O193" t="s">
        <v>383</v>
      </c>
      <c r="P193" t="str">
        <f t="shared" si="34"/>
        <v>Chennai</v>
      </c>
      <c r="Q193" t="s">
        <v>19</v>
      </c>
      <c r="R193" t="str">
        <f t="shared" si="35"/>
        <v>Furniture</v>
      </c>
      <c r="S193" t="s">
        <v>245</v>
      </c>
      <c r="T193" t="str">
        <f t="shared" si="36"/>
        <v>Bookcases</v>
      </c>
      <c r="U193" t="s">
        <v>1086</v>
      </c>
      <c r="V193" t="str">
        <f t="shared" si="37"/>
        <v>Prime Bookcases 602</v>
      </c>
      <c r="W193" t="s">
        <v>76</v>
      </c>
      <c r="X193" t="str">
        <f t="shared" si="38"/>
        <v>Second Class</v>
      </c>
      <c r="Y193">
        <v>5</v>
      </c>
      <c r="Z193">
        <v>6</v>
      </c>
      <c r="AA193">
        <v>4308.4</v>
      </c>
      <c r="AB193">
        <v>0.65</v>
      </c>
      <c r="AC193">
        <f t="shared" si="39"/>
        <v>0.65</v>
      </c>
      <c r="AD193">
        <v>25850.4</v>
      </c>
      <c r="AE193">
        <f t="shared" si="40"/>
        <v>9047.64</v>
      </c>
      <c r="AF193">
        <v>19397.68</v>
      </c>
      <c r="AG193">
        <v>6452.72</v>
      </c>
      <c r="AH193">
        <f t="shared" si="41"/>
        <v>-10350.04</v>
      </c>
      <c r="AI193">
        <f t="shared" si="42"/>
        <v>-1.14394914032831</v>
      </c>
      <c r="AJ193" t="s">
        <v>77</v>
      </c>
      <c r="AK193" t="str">
        <f t="shared" si="43"/>
        <v>Paid</v>
      </c>
      <c r="AL193" t="s">
        <v>78</v>
      </c>
      <c r="AM193" t="str">
        <f t="shared" si="44"/>
        <v>Completed</v>
      </c>
      <c r="AN193">
        <v>10</v>
      </c>
      <c r="AO193">
        <v>2024</v>
      </c>
      <c r="AP193" t="s">
        <v>79</v>
      </c>
    </row>
    <row r="194" spans="1:42">
      <c r="A194" t="s">
        <v>1087</v>
      </c>
      <c r="B194" s="3" t="s">
        <v>1088</v>
      </c>
      <c r="C194" s="3">
        <v>45635</v>
      </c>
      <c r="D194" t="s">
        <v>1089</v>
      </c>
      <c r="E194" s="3">
        <v>45642</v>
      </c>
      <c r="F194" t="s">
        <v>1090</v>
      </c>
      <c r="G194" t="s">
        <v>95</v>
      </c>
      <c r="H194" t="str">
        <f t="shared" ref="H194:H257" si="45">PROPER(TRIM(G194))</f>
        <v>Isha Nair</v>
      </c>
      <c r="I194" t="s">
        <v>154</v>
      </c>
      <c r="J194" t="str">
        <f t="shared" ref="J194:J257" si="46">PROPER(TRIM(I194))</f>
        <v>Home Office</v>
      </c>
      <c r="K194" t="s">
        <v>11</v>
      </c>
      <c r="L194" t="str">
        <f t="shared" ref="L194:L257" si="47">PROPER(TRIM(K194))</f>
        <v>West</v>
      </c>
      <c r="M194" t="s">
        <v>278</v>
      </c>
      <c r="N194" t="str">
        <f t="shared" ref="N194:N257" si="48">PROPER(TRIM(M194))</f>
        <v>Gujarat</v>
      </c>
      <c r="O194" t="s">
        <v>279</v>
      </c>
      <c r="P194" t="str">
        <f t="shared" ref="P194:P257" si="49">PROPER(TRIM(O194))</f>
        <v>Ahmedabad</v>
      </c>
      <c r="Q194" t="s">
        <v>19</v>
      </c>
      <c r="R194" t="str">
        <f t="shared" ref="R194:R257" si="50">PROPER(TRIM(Q194))</f>
        <v>Furniture</v>
      </c>
      <c r="S194" t="s">
        <v>116</v>
      </c>
      <c r="T194" t="str">
        <f t="shared" ref="T194:T257" si="51">PROPER(TRIM(S194))</f>
        <v>Chairs</v>
      </c>
      <c r="U194" t="s">
        <v>1091</v>
      </c>
      <c r="V194" t="str">
        <f t="shared" ref="V194:V257" si="52">PROPER(TRIM(U194))</f>
        <v>Eco Chairs 438</v>
      </c>
      <c r="W194" t="s">
        <v>98</v>
      </c>
      <c r="X194" t="str">
        <f t="shared" ref="X194:X257" si="53">PROPER(TRIM(W194))</f>
        <v>First Class</v>
      </c>
      <c r="Y194">
        <v>7</v>
      </c>
      <c r="Z194">
        <v>4</v>
      </c>
      <c r="AA194">
        <v>2191.03</v>
      </c>
      <c r="AB194">
        <v>0</v>
      </c>
      <c r="AC194">
        <f t="shared" ref="AC194:AC257" si="54">IF(OR(AB194="",AB194&lt;0),0,AB194)</f>
        <v>0</v>
      </c>
      <c r="AD194">
        <v>8764.12</v>
      </c>
      <c r="AE194">
        <f t="shared" ref="AE194:AE257" si="55">Z194*AA194*(1-AC194)</f>
        <v>8764.12</v>
      </c>
      <c r="AF194">
        <v>7220.05</v>
      </c>
      <c r="AG194">
        <v>1544.07</v>
      </c>
      <c r="AH194">
        <f t="shared" ref="AH194:AH257" si="56">AE194-AF194</f>
        <v>1544.07</v>
      </c>
      <c r="AI194">
        <f t="shared" ref="AI194:AI257" si="57">AH194/AE194</f>
        <v>0.176180837323086</v>
      </c>
      <c r="AJ194" t="s">
        <v>77</v>
      </c>
      <c r="AK194" t="str">
        <f t="shared" ref="AK194:AK257" si="58">PROPER(TRIM(AJ194))</f>
        <v>Paid</v>
      </c>
      <c r="AL194" t="s">
        <v>78</v>
      </c>
      <c r="AM194" t="str">
        <f t="shared" ref="AM194:AM257" si="59">PROPER(TRIM(AL194))</f>
        <v>Completed</v>
      </c>
      <c r="AN194">
        <v>12</v>
      </c>
      <c r="AO194">
        <v>2024</v>
      </c>
      <c r="AP194" t="s">
        <v>79</v>
      </c>
    </row>
    <row r="195" spans="1:42">
      <c r="A195" t="s">
        <v>1092</v>
      </c>
      <c r="B195" s="3" t="s">
        <v>1093</v>
      </c>
      <c r="C195" s="3">
        <v>45466</v>
      </c>
      <c r="D195" t="s">
        <v>1094</v>
      </c>
      <c r="E195" s="3">
        <v>45471</v>
      </c>
      <c r="F195" t="s">
        <v>1095</v>
      </c>
      <c r="G195" t="s">
        <v>182</v>
      </c>
      <c r="H195" t="str">
        <f t="shared" si="45"/>
        <v>Priya Menon</v>
      </c>
      <c r="I195" t="s">
        <v>85</v>
      </c>
      <c r="J195" t="str">
        <f t="shared" si="46"/>
        <v>Small Business</v>
      </c>
      <c r="K195" t="s">
        <v>8</v>
      </c>
      <c r="L195" t="str">
        <f t="shared" si="47"/>
        <v>North</v>
      </c>
      <c r="M195" t="s">
        <v>194</v>
      </c>
      <c r="N195" t="str">
        <f t="shared" si="48"/>
        <v>Punjab</v>
      </c>
      <c r="O195" t="s">
        <v>195</v>
      </c>
      <c r="P195" t="str">
        <f t="shared" si="49"/>
        <v>Ludhiana</v>
      </c>
      <c r="Q195" t="s">
        <v>24</v>
      </c>
      <c r="R195" t="str">
        <f t="shared" si="50"/>
        <v>Technology</v>
      </c>
      <c r="S195" t="s">
        <v>133</v>
      </c>
      <c r="T195" t="str">
        <f t="shared" si="51"/>
        <v>Copiers</v>
      </c>
      <c r="U195" t="s">
        <v>1096</v>
      </c>
      <c r="V195" t="str">
        <f t="shared" si="52"/>
        <v>Prime Copiers 142</v>
      </c>
      <c r="W195" t="s">
        <v>90</v>
      </c>
      <c r="X195" t="str">
        <f t="shared" si="53"/>
        <v>Same Day</v>
      </c>
      <c r="Y195">
        <v>5</v>
      </c>
      <c r="Z195">
        <v>6</v>
      </c>
      <c r="AA195">
        <v>1956.63</v>
      </c>
      <c r="AB195">
        <v>0.2</v>
      </c>
      <c r="AC195">
        <f t="shared" si="54"/>
        <v>0.2</v>
      </c>
      <c r="AD195">
        <v>9391.82</v>
      </c>
      <c r="AE195">
        <f t="shared" si="55"/>
        <v>9391.824</v>
      </c>
      <c r="AF195">
        <v>6013.22</v>
      </c>
      <c r="AG195">
        <v>3378.6</v>
      </c>
      <c r="AH195">
        <f t="shared" si="56"/>
        <v>3378.604</v>
      </c>
      <c r="AI195">
        <f t="shared" si="57"/>
        <v>0.359738853709354</v>
      </c>
      <c r="AJ195" t="s">
        <v>163</v>
      </c>
      <c r="AK195" t="str">
        <f t="shared" si="58"/>
        <v>Refunded</v>
      </c>
      <c r="AL195" t="s">
        <v>164</v>
      </c>
      <c r="AM195" t="str">
        <f t="shared" si="59"/>
        <v>Returned</v>
      </c>
      <c r="AN195">
        <v>6</v>
      </c>
      <c r="AO195">
        <v>2024</v>
      </c>
      <c r="AP195" t="s">
        <v>79</v>
      </c>
    </row>
    <row r="196" spans="1:42">
      <c r="A196" t="s">
        <v>1097</v>
      </c>
      <c r="B196" s="3" t="s">
        <v>1098</v>
      </c>
      <c r="C196" s="3">
        <v>45685</v>
      </c>
      <c r="D196" t="s">
        <v>1099</v>
      </c>
      <c r="E196" s="3">
        <v>45688</v>
      </c>
      <c r="F196" t="s">
        <v>1100</v>
      </c>
      <c r="G196" t="s">
        <v>182</v>
      </c>
      <c r="H196" t="str">
        <f t="shared" si="45"/>
        <v>Priya Menon</v>
      </c>
      <c r="I196" t="s">
        <v>71</v>
      </c>
      <c r="J196" t="str">
        <f t="shared" si="46"/>
        <v>Consumer</v>
      </c>
      <c r="K196" t="s">
        <v>1101</v>
      </c>
      <c r="L196" t="str">
        <f t="shared" si="47"/>
        <v>West</v>
      </c>
      <c r="M196" t="s">
        <v>114</v>
      </c>
      <c r="N196" t="str">
        <f t="shared" si="48"/>
        <v>Maharashtra</v>
      </c>
      <c r="O196" t="s">
        <v>115</v>
      </c>
      <c r="P196" t="str">
        <f t="shared" si="49"/>
        <v>Mumbai</v>
      </c>
      <c r="Q196" t="s">
        <v>19</v>
      </c>
      <c r="R196" t="str">
        <f t="shared" si="50"/>
        <v>Furniture</v>
      </c>
      <c r="S196" t="s">
        <v>106</v>
      </c>
      <c r="T196" t="str">
        <f t="shared" si="51"/>
        <v>Furnishings</v>
      </c>
      <c r="U196" t="s">
        <v>1102</v>
      </c>
      <c r="V196" t="str">
        <f t="shared" si="52"/>
        <v>Prime Furnishings 433</v>
      </c>
      <c r="W196" t="s">
        <v>98</v>
      </c>
      <c r="X196" t="str">
        <f t="shared" si="53"/>
        <v>First Class</v>
      </c>
      <c r="Y196">
        <v>3</v>
      </c>
      <c r="Z196">
        <v>9</v>
      </c>
      <c r="AA196">
        <v>858.39</v>
      </c>
      <c r="AB196">
        <v>0.05</v>
      </c>
      <c r="AC196">
        <f t="shared" si="54"/>
        <v>0.05</v>
      </c>
      <c r="AD196">
        <v>7339.23</v>
      </c>
      <c r="AE196">
        <f t="shared" si="55"/>
        <v>7339.2345</v>
      </c>
      <c r="AF196">
        <v>5434.12</v>
      </c>
      <c r="AG196">
        <v>1905.11</v>
      </c>
      <c r="AH196">
        <f t="shared" si="56"/>
        <v>1905.1145</v>
      </c>
      <c r="AI196">
        <f t="shared" si="57"/>
        <v>0.259579456140828</v>
      </c>
      <c r="AJ196" t="s">
        <v>177</v>
      </c>
      <c r="AK196" t="str">
        <f t="shared" si="58"/>
        <v>Pending</v>
      </c>
      <c r="AL196" t="s">
        <v>164</v>
      </c>
      <c r="AM196" t="str">
        <f t="shared" si="59"/>
        <v>Returned</v>
      </c>
      <c r="AN196">
        <v>1</v>
      </c>
      <c r="AO196">
        <v>2025</v>
      </c>
      <c r="AP196" t="s">
        <v>79</v>
      </c>
    </row>
    <row r="197" spans="1:42">
      <c r="A197" t="s">
        <v>1103</v>
      </c>
      <c r="B197" s="3" t="s">
        <v>1104</v>
      </c>
      <c r="C197" s="3">
        <v>45860</v>
      </c>
      <c r="D197" t="s">
        <v>1105</v>
      </c>
      <c r="E197" s="3">
        <v>45862</v>
      </c>
      <c r="F197" t="s">
        <v>1106</v>
      </c>
      <c r="G197" t="s">
        <v>132</v>
      </c>
      <c r="H197" t="str">
        <f t="shared" si="45"/>
        <v>Neha Gupta</v>
      </c>
      <c r="I197" t="s">
        <v>154</v>
      </c>
      <c r="J197" t="str">
        <f t="shared" si="46"/>
        <v>Home Office</v>
      </c>
      <c r="K197" t="s">
        <v>10</v>
      </c>
      <c r="L197" t="str">
        <f t="shared" si="47"/>
        <v>South</v>
      </c>
      <c r="M197" t="s">
        <v>139</v>
      </c>
      <c r="N197" t="str">
        <f t="shared" si="48"/>
        <v>Andhra Pradesh</v>
      </c>
      <c r="O197" t="s">
        <v>140</v>
      </c>
      <c r="P197" t="str">
        <f t="shared" si="49"/>
        <v>Vijayawada</v>
      </c>
      <c r="Q197" t="s">
        <v>19</v>
      </c>
      <c r="R197" t="str">
        <f t="shared" si="50"/>
        <v>Furniture</v>
      </c>
      <c r="S197" t="s">
        <v>106</v>
      </c>
      <c r="T197" t="str">
        <f t="shared" si="51"/>
        <v>Furnishings</v>
      </c>
      <c r="U197" t="s">
        <v>1107</v>
      </c>
      <c r="V197" t="str">
        <f t="shared" si="52"/>
        <v>Smart Furnishings 685</v>
      </c>
      <c r="W197" t="s">
        <v>90</v>
      </c>
      <c r="X197" t="str">
        <f t="shared" si="53"/>
        <v>Same Day</v>
      </c>
      <c r="Y197">
        <v>2</v>
      </c>
      <c r="Z197">
        <v>5</v>
      </c>
      <c r="AA197">
        <v>1922.83</v>
      </c>
      <c r="AB197">
        <v>0</v>
      </c>
      <c r="AC197">
        <f t="shared" si="54"/>
        <v>0</v>
      </c>
      <c r="AD197">
        <v>9614.15</v>
      </c>
      <c r="AE197">
        <f t="shared" si="55"/>
        <v>9614.15</v>
      </c>
      <c r="AF197">
        <v>7576.84</v>
      </c>
      <c r="AG197">
        <v>2037.31</v>
      </c>
      <c r="AH197">
        <f t="shared" si="56"/>
        <v>2037.31</v>
      </c>
      <c r="AI197">
        <f t="shared" si="57"/>
        <v>0.211907448916441</v>
      </c>
      <c r="AJ197" t="s">
        <v>77</v>
      </c>
      <c r="AK197" t="str">
        <f t="shared" si="58"/>
        <v>Paid</v>
      </c>
      <c r="AL197" t="s">
        <v>78</v>
      </c>
      <c r="AM197" t="str">
        <f t="shared" si="59"/>
        <v>Completed</v>
      </c>
      <c r="AN197">
        <v>7</v>
      </c>
      <c r="AO197">
        <v>2025</v>
      </c>
      <c r="AP197" t="s">
        <v>79</v>
      </c>
    </row>
    <row r="198" spans="1:42">
      <c r="A198" t="s">
        <v>1108</v>
      </c>
      <c r="B198" s="3" t="s">
        <v>1109</v>
      </c>
      <c r="C198" s="3">
        <v>45313</v>
      </c>
      <c r="D198" t="s">
        <v>1110</v>
      </c>
      <c r="E198" s="3">
        <v>45316</v>
      </c>
      <c r="F198" t="s">
        <v>1111</v>
      </c>
      <c r="G198" t="s">
        <v>411</v>
      </c>
      <c r="H198" t="str">
        <f t="shared" si="45"/>
        <v>Kabir Singh</v>
      </c>
      <c r="I198" t="s">
        <v>154</v>
      </c>
      <c r="J198" t="str">
        <f t="shared" si="46"/>
        <v>Home Office</v>
      </c>
      <c r="K198" t="s">
        <v>8</v>
      </c>
      <c r="L198" t="str">
        <f t="shared" si="47"/>
        <v>North</v>
      </c>
      <c r="M198" t="s">
        <v>214</v>
      </c>
      <c r="N198" t="str">
        <f t="shared" si="48"/>
        <v>Uttar Pradesh</v>
      </c>
      <c r="O198" t="s">
        <v>215</v>
      </c>
      <c r="P198" t="str">
        <f t="shared" si="49"/>
        <v>Noida</v>
      </c>
      <c r="Q198" t="s">
        <v>22</v>
      </c>
      <c r="R198" t="str">
        <f t="shared" si="50"/>
        <v>Office Supplies</v>
      </c>
      <c r="S198" t="s">
        <v>196</v>
      </c>
      <c r="T198" t="str">
        <f t="shared" si="51"/>
        <v>Storage</v>
      </c>
      <c r="U198" t="s">
        <v>1112</v>
      </c>
      <c r="V198" t="str">
        <f t="shared" si="52"/>
        <v>Elite Storage 915</v>
      </c>
      <c r="W198" t="s">
        <v>98</v>
      </c>
      <c r="X198" t="str">
        <f t="shared" si="53"/>
        <v>First Class</v>
      </c>
      <c r="Y198">
        <v>3</v>
      </c>
      <c r="Z198">
        <v>3</v>
      </c>
      <c r="AA198">
        <v>1212.03</v>
      </c>
      <c r="AB198">
        <v>0.1</v>
      </c>
      <c r="AC198">
        <f t="shared" si="54"/>
        <v>0.1</v>
      </c>
      <c r="AD198">
        <v>3272.48</v>
      </c>
      <c r="AE198">
        <f t="shared" si="55"/>
        <v>3272.481</v>
      </c>
      <c r="AF198">
        <v>2517.44</v>
      </c>
      <c r="AG198">
        <v>755.04</v>
      </c>
      <c r="AH198">
        <f t="shared" si="56"/>
        <v>755.041</v>
      </c>
      <c r="AI198">
        <f t="shared" si="57"/>
        <v>0.230724334228373</v>
      </c>
      <c r="AJ198" t="s">
        <v>77</v>
      </c>
      <c r="AK198" t="str">
        <f t="shared" si="58"/>
        <v>Paid</v>
      </c>
      <c r="AL198" t="s">
        <v>78</v>
      </c>
      <c r="AM198" t="str">
        <f t="shared" si="59"/>
        <v>Completed</v>
      </c>
      <c r="AN198">
        <v>1</v>
      </c>
      <c r="AO198">
        <v>2024</v>
      </c>
      <c r="AP198" t="s">
        <v>79</v>
      </c>
    </row>
    <row r="199" spans="1:42">
      <c r="A199" t="s">
        <v>1113</v>
      </c>
      <c r="B199" s="3" t="s">
        <v>414</v>
      </c>
      <c r="C199" s="3">
        <v>45747</v>
      </c>
      <c r="D199" t="s">
        <v>1114</v>
      </c>
      <c r="E199" s="3">
        <v>45754</v>
      </c>
      <c r="F199" t="s">
        <v>610</v>
      </c>
      <c r="G199" t="s">
        <v>188</v>
      </c>
      <c r="H199" t="str">
        <f t="shared" si="45"/>
        <v>Rahul Verma</v>
      </c>
      <c r="I199" t="s">
        <v>750</v>
      </c>
      <c r="J199" t="str">
        <f t="shared" si="46"/>
        <v>Small Business</v>
      </c>
      <c r="K199" t="s">
        <v>7</v>
      </c>
      <c r="L199" t="str">
        <f t="shared" si="47"/>
        <v>East</v>
      </c>
      <c r="M199" t="s">
        <v>227</v>
      </c>
      <c r="N199" t="str">
        <f t="shared" si="48"/>
        <v>Bihar</v>
      </c>
      <c r="O199" t="s">
        <v>228</v>
      </c>
      <c r="P199" t="str">
        <f t="shared" si="49"/>
        <v>Patna</v>
      </c>
      <c r="Q199" t="s">
        <v>22</v>
      </c>
      <c r="R199" t="str">
        <f t="shared" si="50"/>
        <v>Office Supplies</v>
      </c>
      <c r="S199" t="s">
        <v>196</v>
      </c>
      <c r="T199" t="str">
        <f t="shared" si="51"/>
        <v>Storage</v>
      </c>
      <c r="U199" t="s">
        <v>1115</v>
      </c>
      <c r="V199" t="str">
        <f t="shared" si="52"/>
        <v>Basic Storage 961</v>
      </c>
      <c r="W199" t="s">
        <v>76</v>
      </c>
      <c r="X199" t="str">
        <f t="shared" si="53"/>
        <v>Second Class</v>
      </c>
      <c r="Y199">
        <v>7</v>
      </c>
      <c r="Z199">
        <v>5</v>
      </c>
      <c r="AA199">
        <v>4096.44</v>
      </c>
      <c r="AB199">
        <v>0.15</v>
      </c>
      <c r="AC199">
        <f t="shared" si="54"/>
        <v>0.15</v>
      </c>
      <c r="AD199">
        <v>17409.87</v>
      </c>
      <c r="AE199">
        <f t="shared" si="55"/>
        <v>17409.87</v>
      </c>
      <c r="AF199">
        <v>14076.25</v>
      </c>
      <c r="AG199">
        <v>3333.62</v>
      </c>
      <c r="AH199">
        <f t="shared" si="56"/>
        <v>3333.62</v>
      </c>
      <c r="AI199">
        <f t="shared" si="57"/>
        <v>0.191478741656313</v>
      </c>
      <c r="AJ199" t="s">
        <v>77</v>
      </c>
      <c r="AK199" t="str">
        <f t="shared" si="58"/>
        <v>Paid</v>
      </c>
      <c r="AL199" t="s">
        <v>78</v>
      </c>
      <c r="AM199" t="str">
        <f t="shared" si="59"/>
        <v>Completed</v>
      </c>
      <c r="AN199">
        <v>3</v>
      </c>
      <c r="AO199">
        <v>2025</v>
      </c>
      <c r="AP199" t="s">
        <v>79</v>
      </c>
    </row>
    <row r="200" spans="1:42">
      <c r="A200" t="s">
        <v>1116</v>
      </c>
      <c r="B200" s="3" t="s">
        <v>1117</v>
      </c>
      <c r="C200" s="3">
        <v>45448</v>
      </c>
      <c r="D200" t="s">
        <v>1118</v>
      </c>
      <c r="E200" s="3">
        <v>45449</v>
      </c>
      <c r="F200" t="s">
        <v>1119</v>
      </c>
      <c r="G200" t="s">
        <v>208</v>
      </c>
      <c r="H200" t="str">
        <f t="shared" si="45"/>
        <v>Sneha Kapoor</v>
      </c>
      <c r="I200" t="s">
        <v>71</v>
      </c>
      <c r="J200" t="str">
        <f t="shared" si="46"/>
        <v>Consumer</v>
      </c>
      <c r="K200" t="s">
        <v>11</v>
      </c>
      <c r="L200" t="str">
        <f t="shared" si="47"/>
        <v>West</v>
      </c>
      <c r="M200" t="s">
        <v>278</v>
      </c>
      <c r="N200" t="str">
        <f t="shared" si="48"/>
        <v>Gujarat</v>
      </c>
      <c r="O200" t="s">
        <v>279</v>
      </c>
      <c r="P200" t="str">
        <f t="shared" si="49"/>
        <v>Ahmedabad</v>
      </c>
      <c r="Q200" t="s">
        <v>22</v>
      </c>
      <c r="R200" t="str">
        <f t="shared" si="50"/>
        <v>Office Supplies</v>
      </c>
      <c r="S200" t="s">
        <v>96</v>
      </c>
      <c r="T200" t="str">
        <f t="shared" si="51"/>
        <v>Art</v>
      </c>
      <c r="U200" t="s">
        <v>1120</v>
      </c>
      <c r="V200" t="str">
        <f t="shared" si="52"/>
        <v>Classic Art 968</v>
      </c>
      <c r="W200" t="s">
        <v>76</v>
      </c>
      <c r="X200" t="str">
        <f t="shared" si="53"/>
        <v>Second Class</v>
      </c>
      <c r="Y200">
        <v>1</v>
      </c>
      <c r="Z200">
        <v>1</v>
      </c>
      <c r="AA200">
        <v>1184.58</v>
      </c>
      <c r="AB200">
        <v>0.05</v>
      </c>
      <c r="AC200">
        <f t="shared" si="54"/>
        <v>0.05</v>
      </c>
      <c r="AD200">
        <v>1125.35</v>
      </c>
      <c r="AE200">
        <f t="shared" si="55"/>
        <v>1125.351</v>
      </c>
      <c r="AF200">
        <v>676.97</v>
      </c>
      <c r="AG200">
        <v>448.38</v>
      </c>
      <c r="AH200">
        <f t="shared" si="56"/>
        <v>448.381</v>
      </c>
      <c r="AI200">
        <f t="shared" si="57"/>
        <v>0.398436576676966</v>
      </c>
      <c r="AJ200" t="s">
        <v>241</v>
      </c>
      <c r="AK200" t="str">
        <f t="shared" si="58"/>
        <v>Failed</v>
      </c>
      <c r="AL200" t="s">
        <v>118</v>
      </c>
      <c r="AM200" t="str">
        <f t="shared" si="59"/>
        <v>Cancelled</v>
      </c>
      <c r="AN200">
        <v>6</v>
      </c>
      <c r="AO200">
        <v>2024</v>
      </c>
      <c r="AP200" t="s">
        <v>79</v>
      </c>
    </row>
    <row r="201" spans="1:42">
      <c r="A201" t="s">
        <v>1121</v>
      </c>
      <c r="B201" s="3" t="s">
        <v>346</v>
      </c>
      <c r="C201" s="3">
        <v>45363</v>
      </c>
      <c r="D201" t="s">
        <v>1122</v>
      </c>
      <c r="E201" s="3">
        <v>45363</v>
      </c>
      <c r="F201" t="s">
        <v>1123</v>
      </c>
      <c r="G201" t="s">
        <v>188</v>
      </c>
      <c r="H201" t="str">
        <f t="shared" si="45"/>
        <v>Rahul Verma</v>
      </c>
      <c r="I201" t="s">
        <v>154</v>
      </c>
      <c r="J201" t="str">
        <f t="shared" si="46"/>
        <v>Home Office</v>
      </c>
      <c r="K201" t="s">
        <v>7</v>
      </c>
      <c r="L201" t="str">
        <f t="shared" si="47"/>
        <v>East</v>
      </c>
      <c r="M201" t="s">
        <v>227</v>
      </c>
      <c r="N201" t="str">
        <f t="shared" si="48"/>
        <v>Bihar</v>
      </c>
      <c r="O201" t="s">
        <v>228</v>
      </c>
      <c r="P201" t="str">
        <f t="shared" si="49"/>
        <v>Patna</v>
      </c>
      <c r="Q201" t="s">
        <v>24</v>
      </c>
      <c r="R201" t="str">
        <f t="shared" si="50"/>
        <v>Technology</v>
      </c>
      <c r="S201" t="s">
        <v>427</v>
      </c>
      <c r="T201" t="str">
        <f t="shared" si="51"/>
        <v>Machines</v>
      </c>
      <c r="U201" t="s">
        <v>1124</v>
      </c>
      <c r="V201" t="str">
        <f t="shared" si="52"/>
        <v>Prime Machines 806</v>
      </c>
      <c r="X201" t="str">
        <f t="shared" si="53"/>
        <v/>
      </c>
      <c r="Y201">
        <v>0</v>
      </c>
      <c r="Z201">
        <v>6</v>
      </c>
      <c r="AA201">
        <v>2185.58</v>
      </c>
      <c r="AB201">
        <v>0.25</v>
      </c>
      <c r="AC201">
        <f t="shared" si="54"/>
        <v>0.25</v>
      </c>
      <c r="AD201">
        <v>9835.11</v>
      </c>
      <c r="AE201">
        <f t="shared" si="55"/>
        <v>9835.11</v>
      </c>
      <c r="AF201">
        <v>5437.64</v>
      </c>
      <c r="AG201">
        <v>4397.47</v>
      </c>
      <c r="AH201">
        <f t="shared" si="56"/>
        <v>4397.47</v>
      </c>
      <c r="AI201">
        <f t="shared" si="57"/>
        <v>0.44711955433137</v>
      </c>
      <c r="AJ201" t="s">
        <v>77</v>
      </c>
      <c r="AK201" t="str">
        <f t="shared" si="58"/>
        <v>Paid</v>
      </c>
      <c r="AL201" t="s">
        <v>78</v>
      </c>
      <c r="AM201" t="str">
        <f t="shared" si="59"/>
        <v>Completed</v>
      </c>
      <c r="AN201">
        <v>3</v>
      </c>
      <c r="AO201">
        <v>2024</v>
      </c>
      <c r="AP201" t="s">
        <v>79</v>
      </c>
    </row>
    <row r="202" spans="1:42">
      <c r="A202" t="s">
        <v>1125</v>
      </c>
      <c r="B202" s="3" t="s">
        <v>1047</v>
      </c>
      <c r="C202" s="3">
        <v>45835</v>
      </c>
      <c r="D202" t="s">
        <v>1126</v>
      </c>
      <c r="E202" s="3">
        <v>45843</v>
      </c>
      <c r="F202" t="s">
        <v>1127</v>
      </c>
      <c r="G202" t="s">
        <v>182</v>
      </c>
      <c r="H202" t="str">
        <f t="shared" si="45"/>
        <v>Priya Menon</v>
      </c>
      <c r="I202" t="s">
        <v>85</v>
      </c>
      <c r="J202" t="str">
        <f t="shared" si="46"/>
        <v>Small Business</v>
      </c>
      <c r="K202" t="s">
        <v>8</v>
      </c>
      <c r="L202" t="str">
        <f t="shared" si="47"/>
        <v>North</v>
      </c>
      <c r="M202" t="s">
        <v>72</v>
      </c>
      <c r="N202" t="str">
        <f t="shared" si="48"/>
        <v>Rajasthan</v>
      </c>
      <c r="O202" t="s">
        <v>73</v>
      </c>
      <c r="P202" t="str">
        <f t="shared" si="49"/>
        <v>Jaipur</v>
      </c>
      <c r="Q202" t="s">
        <v>24</v>
      </c>
      <c r="R202" t="str">
        <f t="shared" si="50"/>
        <v>Technology</v>
      </c>
      <c r="S202" t="s">
        <v>133</v>
      </c>
      <c r="T202" t="str">
        <f t="shared" si="51"/>
        <v>Copiers</v>
      </c>
      <c r="U202" t="s">
        <v>1128</v>
      </c>
      <c r="V202" t="str">
        <f t="shared" si="52"/>
        <v>Classic Copiers 479</v>
      </c>
      <c r="W202" t="s">
        <v>98</v>
      </c>
      <c r="X202" t="str">
        <f t="shared" si="53"/>
        <v>First Class</v>
      </c>
      <c r="Y202">
        <v>8</v>
      </c>
      <c r="Z202">
        <v>5</v>
      </c>
      <c r="AA202">
        <v>2868.44</v>
      </c>
      <c r="AB202">
        <v>0.1</v>
      </c>
      <c r="AC202">
        <f t="shared" si="54"/>
        <v>0.1</v>
      </c>
      <c r="AD202">
        <v>12907.98</v>
      </c>
      <c r="AE202">
        <f t="shared" si="55"/>
        <v>12907.98</v>
      </c>
      <c r="AF202">
        <v>9197.08</v>
      </c>
      <c r="AG202">
        <v>3710.9</v>
      </c>
      <c r="AH202">
        <f t="shared" si="56"/>
        <v>3710.9</v>
      </c>
      <c r="AI202">
        <f t="shared" si="57"/>
        <v>0.287488824742524</v>
      </c>
      <c r="AJ202" t="s">
        <v>177</v>
      </c>
      <c r="AK202" t="str">
        <f t="shared" si="58"/>
        <v>Pending</v>
      </c>
      <c r="AL202" t="s">
        <v>118</v>
      </c>
      <c r="AM202" t="str">
        <f t="shared" si="59"/>
        <v>Cancelled</v>
      </c>
      <c r="AN202">
        <v>6</v>
      </c>
      <c r="AO202">
        <v>2025</v>
      </c>
      <c r="AP202" t="s">
        <v>79</v>
      </c>
    </row>
    <row r="203" spans="1:42">
      <c r="A203" t="s">
        <v>1129</v>
      </c>
      <c r="B203" s="3" t="s">
        <v>1130</v>
      </c>
      <c r="C203" s="3">
        <v>45864</v>
      </c>
      <c r="D203" t="s">
        <v>1131</v>
      </c>
      <c r="E203" s="3">
        <v>45872</v>
      </c>
      <c r="F203" t="s">
        <v>1132</v>
      </c>
      <c r="G203" t="s">
        <v>123</v>
      </c>
      <c r="H203" t="str">
        <f t="shared" si="45"/>
        <v>Vikram Iyer</v>
      </c>
      <c r="I203" t="s">
        <v>71</v>
      </c>
      <c r="J203" t="str">
        <f t="shared" si="46"/>
        <v>Consumer</v>
      </c>
      <c r="K203" t="s">
        <v>11</v>
      </c>
      <c r="L203" t="str">
        <f t="shared" si="47"/>
        <v>West</v>
      </c>
      <c r="M203" t="s">
        <v>124</v>
      </c>
      <c r="N203" t="str">
        <f t="shared" si="48"/>
        <v>Madhya Pradesh</v>
      </c>
      <c r="O203" t="s">
        <v>125</v>
      </c>
      <c r="P203" t="str">
        <f t="shared" si="49"/>
        <v>Indore</v>
      </c>
      <c r="Q203" t="s">
        <v>22</v>
      </c>
      <c r="R203" t="str">
        <f t="shared" si="50"/>
        <v>Office Supplies</v>
      </c>
      <c r="S203" t="s">
        <v>148</v>
      </c>
      <c r="T203" t="str">
        <f t="shared" si="51"/>
        <v>Labels</v>
      </c>
      <c r="U203" t="s">
        <v>1133</v>
      </c>
      <c r="V203" t="str">
        <f t="shared" si="52"/>
        <v>Basic Labels 511</v>
      </c>
      <c r="W203" t="s">
        <v>76</v>
      </c>
      <c r="X203" t="str">
        <f t="shared" si="53"/>
        <v>Second Class</v>
      </c>
      <c r="Y203">
        <v>8</v>
      </c>
      <c r="Z203">
        <v>2</v>
      </c>
      <c r="AA203">
        <v>2503.53</v>
      </c>
      <c r="AB203">
        <v>-0.16</v>
      </c>
      <c r="AC203">
        <f t="shared" si="54"/>
        <v>0</v>
      </c>
      <c r="AD203">
        <v>4756.71</v>
      </c>
      <c r="AE203">
        <f t="shared" si="55"/>
        <v>5007.06</v>
      </c>
      <c r="AF203">
        <v>2954.86</v>
      </c>
      <c r="AG203">
        <v>1801.85</v>
      </c>
      <c r="AH203">
        <f t="shared" si="56"/>
        <v>2052.2</v>
      </c>
      <c r="AI203">
        <f t="shared" si="57"/>
        <v>0.40986127587846</v>
      </c>
      <c r="AJ203" t="s">
        <v>163</v>
      </c>
      <c r="AK203" t="str">
        <f t="shared" si="58"/>
        <v>Refunded</v>
      </c>
      <c r="AL203" t="s">
        <v>118</v>
      </c>
      <c r="AM203" t="str">
        <f t="shared" si="59"/>
        <v>Cancelled</v>
      </c>
      <c r="AN203">
        <v>7</v>
      </c>
      <c r="AO203">
        <v>2025</v>
      </c>
      <c r="AP203" t="s">
        <v>222</v>
      </c>
    </row>
    <row r="204" spans="1:42">
      <c r="A204" t="s">
        <v>1134</v>
      </c>
      <c r="B204" s="3" t="s">
        <v>1135</v>
      </c>
      <c r="C204" s="3">
        <v>45744</v>
      </c>
      <c r="D204" t="s">
        <v>1136</v>
      </c>
      <c r="E204" s="3">
        <v>45744</v>
      </c>
      <c r="F204" t="s">
        <v>1137</v>
      </c>
      <c r="G204" t="s">
        <v>208</v>
      </c>
      <c r="H204" t="str">
        <f t="shared" si="45"/>
        <v>Sneha Kapoor</v>
      </c>
      <c r="I204" t="s">
        <v>147</v>
      </c>
      <c r="J204" t="str">
        <f t="shared" si="46"/>
        <v>Corporate</v>
      </c>
      <c r="K204" t="s">
        <v>11</v>
      </c>
      <c r="L204" t="str">
        <f t="shared" si="47"/>
        <v>West</v>
      </c>
      <c r="M204" t="s">
        <v>292</v>
      </c>
      <c r="N204" t="str">
        <f t="shared" si="48"/>
        <v>Goa</v>
      </c>
      <c r="O204" t="s">
        <v>293</v>
      </c>
      <c r="P204" t="str">
        <f t="shared" si="49"/>
        <v>Panaji</v>
      </c>
      <c r="Q204" t="s">
        <v>24</v>
      </c>
      <c r="R204" t="str">
        <f t="shared" si="50"/>
        <v>Technology</v>
      </c>
      <c r="S204" t="s">
        <v>126</v>
      </c>
      <c r="T204" t="str">
        <f t="shared" si="51"/>
        <v>Accessories</v>
      </c>
      <c r="U204" t="s">
        <v>1138</v>
      </c>
      <c r="V204" t="str">
        <f t="shared" si="52"/>
        <v>Prime Accessories 733</v>
      </c>
      <c r="W204" t="s">
        <v>108</v>
      </c>
      <c r="X204" t="str">
        <f t="shared" si="53"/>
        <v>Standard Class</v>
      </c>
      <c r="Y204">
        <v>0</v>
      </c>
      <c r="Z204">
        <v>8</v>
      </c>
      <c r="AA204">
        <v>1740.94</v>
      </c>
      <c r="AB204">
        <v>0.05</v>
      </c>
      <c r="AC204">
        <f t="shared" si="54"/>
        <v>0.05</v>
      </c>
      <c r="AD204">
        <v>13231.14</v>
      </c>
      <c r="AE204">
        <f t="shared" si="55"/>
        <v>13231.144</v>
      </c>
      <c r="AF204">
        <v>11290.06</v>
      </c>
      <c r="AG204">
        <v>1941.08</v>
      </c>
      <c r="AH204">
        <f t="shared" si="56"/>
        <v>1941.084</v>
      </c>
      <c r="AI204">
        <f t="shared" si="57"/>
        <v>0.146705681685575</v>
      </c>
      <c r="AJ204" t="s">
        <v>77</v>
      </c>
      <c r="AK204" t="str">
        <f t="shared" si="58"/>
        <v>Paid</v>
      </c>
      <c r="AL204" t="s">
        <v>78</v>
      </c>
      <c r="AM204" t="str">
        <f t="shared" si="59"/>
        <v>Completed</v>
      </c>
      <c r="AN204">
        <v>3</v>
      </c>
      <c r="AO204">
        <v>2025</v>
      </c>
      <c r="AP204" t="s">
        <v>79</v>
      </c>
    </row>
    <row r="205" spans="1:42">
      <c r="A205" t="s">
        <v>1139</v>
      </c>
      <c r="B205" s="3" t="s">
        <v>1140</v>
      </c>
      <c r="C205" s="3">
        <v>45379</v>
      </c>
      <c r="D205" t="s">
        <v>1141</v>
      </c>
      <c r="E205" s="3">
        <v>45381</v>
      </c>
      <c r="F205" t="s">
        <v>1142</v>
      </c>
      <c r="G205" t="s">
        <v>208</v>
      </c>
      <c r="H205" t="str">
        <f t="shared" si="45"/>
        <v>Sneha Kapoor</v>
      </c>
      <c r="I205" t="s">
        <v>147</v>
      </c>
      <c r="J205" t="str">
        <f t="shared" si="46"/>
        <v>Corporate</v>
      </c>
      <c r="K205" t="s">
        <v>11</v>
      </c>
      <c r="L205" t="str">
        <f t="shared" si="47"/>
        <v>West</v>
      </c>
      <c r="M205" t="s">
        <v>72</v>
      </c>
      <c r="N205" t="str">
        <f t="shared" si="48"/>
        <v>Rajasthan</v>
      </c>
      <c r="O205" t="s">
        <v>175</v>
      </c>
      <c r="P205" t="str">
        <f t="shared" si="49"/>
        <v>Udaipur</v>
      </c>
      <c r="Q205" t="s">
        <v>24</v>
      </c>
      <c r="R205" t="str">
        <f t="shared" si="50"/>
        <v>Technology</v>
      </c>
      <c r="S205" t="s">
        <v>126</v>
      </c>
      <c r="T205" t="str">
        <f t="shared" si="51"/>
        <v>Accessories</v>
      </c>
      <c r="U205" t="s">
        <v>1143</v>
      </c>
      <c r="V205" t="str">
        <f t="shared" si="52"/>
        <v>Max Accessories 186</v>
      </c>
      <c r="W205" t="s">
        <v>76</v>
      </c>
      <c r="X205" t="str">
        <f t="shared" si="53"/>
        <v>Second Class</v>
      </c>
      <c r="Y205">
        <v>2</v>
      </c>
      <c r="Z205">
        <v>1</v>
      </c>
      <c r="AA205">
        <v>570.34</v>
      </c>
      <c r="AB205">
        <v>0.15</v>
      </c>
      <c r="AC205">
        <f t="shared" si="54"/>
        <v>0.15</v>
      </c>
      <c r="AD205">
        <v>484.79</v>
      </c>
      <c r="AE205">
        <f t="shared" si="55"/>
        <v>484.789</v>
      </c>
      <c r="AF205">
        <v>333.54</v>
      </c>
      <c r="AG205">
        <v>151.25</v>
      </c>
      <c r="AH205">
        <f t="shared" si="56"/>
        <v>151.249</v>
      </c>
      <c r="AI205">
        <f t="shared" si="57"/>
        <v>0.311989339692113</v>
      </c>
      <c r="AJ205" t="s">
        <v>77</v>
      </c>
      <c r="AK205" t="str">
        <f t="shared" si="58"/>
        <v>Paid</v>
      </c>
      <c r="AL205" t="s">
        <v>78</v>
      </c>
      <c r="AM205" t="str">
        <f t="shared" si="59"/>
        <v>Completed</v>
      </c>
      <c r="AN205">
        <v>3</v>
      </c>
      <c r="AO205">
        <v>2024</v>
      </c>
      <c r="AP205" t="s">
        <v>79</v>
      </c>
    </row>
    <row r="206" spans="1:42">
      <c r="A206" t="s">
        <v>1144</v>
      </c>
      <c r="B206" s="3" t="s">
        <v>1145</v>
      </c>
      <c r="C206" s="3">
        <v>45858</v>
      </c>
      <c r="D206" t="s">
        <v>1146</v>
      </c>
      <c r="E206" s="3">
        <v>45861</v>
      </c>
      <c r="F206" t="s">
        <v>1147</v>
      </c>
      <c r="G206" t="s">
        <v>84</v>
      </c>
      <c r="H206" t="str">
        <f t="shared" si="45"/>
        <v>Mira Das</v>
      </c>
      <c r="I206" t="s">
        <v>154</v>
      </c>
      <c r="J206" t="str">
        <f t="shared" si="46"/>
        <v>Home Office</v>
      </c>
      <c r="K206" t="s">
        <v>7</v>
      </c>
      <c r="L206" t="str">
        <f t="shared" si="47"/>
        <v>East</v>
      </c>
      <c r="M206" t="s">
        <v>160</v>
      </c>
      <c r="N206" t="str">
        <f t="shared" si="48"/>
        <v>West Bengal</v>
      </c>
      <c r="O206" t="s">
        <v>161</v>
      </c>
      <c r="P206" t="str">
        <f t="shared" si="49"/>
        <v>Kolkata</v>
      </c>
      <c r="Q206" t="s">
        <v>19</v>
      </c>
      <c r="R206" t="str">
        <f t="shared" si="50"/>
        <v>Furniture</v>
      </c>
      <c r="S206" t="s">
        <v>88</v>
      </c>
      <c r="T206" t="str">
        <f t="shared" si="51"/>
        <v>Tables</v>
      </c>
      <c r="U206" t="s">
        <v>1148</v>
      </c>
      <c r="V206" t="str">
        <f t="shared" si="52"/>
        <v>Elite Tables 318</v>
      </c>
      <c r="W206" t="s">
        <v>76</v>
      </c>
      <c r="X206" t="str">
        <f t="shared" si="53"/>
        <v>Second Class</v>
      </c>
      <c r="Y206">
        <v>3</v>
      </c>
      <c r="Z206">
        <v>4</v>
      </c>
      <c r="AA206">
        <v>477.69</v>
      </c>
      <c r="AB206">
        <v>0.15</v>
      </c>
      <c r="AC206">
        <f t="shared" si="54"/>
        <v>0.15</v>
      </c>
      <c r="AD206">
        <v>1624.15</v>
      </c>
      <c r="AE206">
        <f t="shared" si="55"/>
        <v>1624.146</v>
      </c>
      <c r="AF206">
        <v>1217.99</v>
      </c>
      <c r="AG206">
        <v>406.16</v>
      </c>
      <c r="AH206">
        <f t="shared" si="56"/>
        <v>406.156</v>
      </c>
      <c r="AI206">
        <f t="shared" si="57"/>
        <v>0.25007357712915</v>
      </c>
      <c r="AJ206" t="s">
        <v>77</v>
      </c>
      <c r="AK206" t="str">
        <f t="shared" si="58"/>
        <v>Paid</v>
      </c>
      <c r="AL206" t="s">
        <v>78</v>
      </c>
      <c r="AM206" t="str">
        <f t="shared" si="59"/>
        <v>Completed</v>
      </c>
      <c r="AN206">
        <v>7</v>
      </c>
      <c r="AO206">
        <v>2025</v>
      </c>
      <c r="AP206" t="s">
        <v>79</v>
      </c>
    </row>
    <row r="207" spans="1:42">
      <c r="A207" t="s">
        <v>1149</v>
      </c>
      <c r="B207" s="3" t="s">
        <v>1150</v>
      </c>
      <c r="C207" s="3">
        <v>45768</v>
      </c>
      <c r="D207" t="s">
        <v>1151</v>
      </c>
      <c r="E207" s="3">
        <v>45773</v>
      </c>
      <c r="F207" t="s">
        <v>1152</v>
      </c>
      <c r="G207" t="s">
        <v>113</v>
      </c>
      <c r="H207" t="str">
        <f t="shared" si="45"/>
        <v>Ananya Rao</v>
      </c>
      <c r="I207" t="s">
        <v>71</v>
      </c>
      <c r="J207" t="str">
        <f t="shared" si="46"/>
        <v>Consumer</v>
      </c>
      <c r="K207" t="s">
        <v>11</v>
      </c>
      <c r="L207" t="str">
        <f t="shared" si="47"/>
        <v>West</v>
      </c>
      <c r="M207" t="s">
        <v>114</v>
      </c>
      <c r="N207" t="str">
        <f t="shared" si="48"/>
        <v>Maharashtra</v>
      </c>
      <c r="O207" t="s">
        <v>115</v>
      </c>
      <c r="P207" t="str">
        <f t="shared" si="49"/>
        <v>Mumbai</v>
      </c>
      <c r="Q207" t="s">
        <v>968</v>
      </c>
      <c r="R207" t="str">
        <f t="shared" si="50"/>
        <v>Office Supplies</v>
      </c>
      <c r="S207" t="s">
        <v>148</v>
      </c>
      <c r="T207" t="str">
        <f t="shared" si="51"/>
        <v>Labels</v>
      </c>
      <c r="U207" t="s">
        <v>1153</v>
      </c>
      <c r="V207" t="str">
        <f t="shared" si="52"/>
        <v>Smart Labels 354</v>
      </c>
      <c r="W207" t="s">
        <v>90</v>
      </c>
      <c r="X207" t="str">
        <f t="shared" si="53"/>
        <v>Same Day</v>
      </c>
      <c r="Y207">
        <v>5</v>
      </c>
      <c r="Z207">
        <v>6</v>
      </c>
      <c r="AA207">
        <v>873.59</v>
      </c>
      <c r="AB207">
        <v>0.2</v>
      </c>
      <c r="AC207">
        <f t="shared" si="54"/>
        <v>0.2</v>
      </c>
      <c r="AD207">
        <v>4193.23</v>
      </c>
      <c r="AE207">
        <f t="shared" si="55"/>
        <v>4193.232</v>
      </c>
      <c r="AF207">
        <v>3329.99</v>
      </c>
      <c r="AG207">
        <v>863.24</v>
      </c>
      <c r="AH207">
        <f t="shared" si="56"/>
        <v>863.242</v>
      </c>
      <c r="AI207">
        <f t="shared" si="57"/>
        <v>0.205865547148357</v>
      </c>
      <c r="AJ207" t="s">
        <v>77</v>
      </c>
      <c r="AK207" t="str">
        <f t="shared" si="58"/>
        <v>Paid</v>
      </c>
      <c r="AL207" t="s">
        <v>78</v>
      </c>
      <c r="AM207" t="str">
        <f t="shared" si="59"/>
        <v>Completed</v>
      </c>
      <c r="AN207">
        <v>4</v>
      </c>
      <c r="AO207">
        <v>2025</v>
      </c>
      <c r="AP207" t="s">
        <v>79</v>
      </c>
    </row>
    <row r="208" spans="1:42">
      <c r="A208" t="s">
        <v>1154</v>
      </c>
      <c r="B208" s="3" t="s">
        <v>1155</v>
      </c>
      <c r="C208" s="3">
        <v>45795</v>
      </c>
      <c r="D208" t="s">
        <v>157</v>
      </c>
      <c r="E208" s="3">
        <v>45797</v>
      </c>
      <c r="F208" t="s">
        <v>1156</v>
      </c>
      <c r="G208" t="s">
        <v>251</v>
      </c>
      <c r="H208" t="str">
        <f t="shared" si="45"/>
        <v>Diya Patel</v>
      </c>
      <c r="I208" t="s">
        <v>85</v>
      </c>
      <c r="J208" t="str">
        <f t="shared" si="46"/>
        <v>Small Business</v>
      </c>
      <c r="K208" t="s">
        <v>5</v>
      </c>
      <c r="L208" t="str">
        <f t="shared" si="47"/>
        <v>North</v>
      </c>
      <c r="M208" t="s">
        <v>214</v>
      </c>
      <c r="N208" t="str">
        <f t="shared" si="48"/>
        <v>Uttar Pradesh</v>
      </c>
      <c r="O208" t="s">
        <v>215</v>
      </c>
      <c r="P208" t="str">
        <f t="shared" si="49"/>
        <v>Noida</v>
      </c>
      <c r="Q208" t="s">
        <v>19</v>
      </c>
      <c r="R208" t="str">
        <f t="shared" si="50"/>
        <v>Furniture</v>
      </c>
      <c r="S208" t="s">
        <v>106</v>
      </c>
      <c r="T208" t="str">
        <f t="shared" si="51"/>
        <v>Furnishings</v>
      </c>
      <c r="U208" t="s">
        <v>1157</v>
      </c>
      <c r="V208" t="str">
        <f t="shared" si="52"/>
        <v>Pro Furnishings 981</v>
      </c>
      <c r="W208" t="s">
        <v>98</v>
      </c>
      <c r="X208" t="str">
        <f t="shared" si="53"/>
        <v>First Class</v>
      </c>
      <c r="Y208">
        <v>2</v>
      </c>
      <c r="Z208">
        <v>2</v>
      </c>
      <c r="AA208">
        <v>215.13</v>
      </c>
      <c r="AB208">
        <v>0</v>
      </c>
      <c r="AC208">
        <f t="shared" si="54"/>
        <v>0</v>
      </c>
      <c r="AD208">
        <v>430.26</v>
      </c>
      <c r="AE208">
        <f t="shared" si="55"/>
        <v>430.26</v>
      </c>
      <c r="AF208">
        <v>286.38</v>
      </c>
      <c r="AG208">
        <v>143.88</v>
      </c>
      <c r="AH208">
        <f t="shared" si="56"/>
        <v>143.88</v>
      </c>
      <c r="AI208">
        <f t="shared" si="57"/>
        <v>0.33440245432994</v>
      </c>
      <c r="AJ208" t="s">
        <v>77</v>
      </c>
      <c r="AK208" t="str">
        <f t="shared" si="58"/>
        <v>Paid</v>
      </c>
      <c r="AL208" t="s">
        <v>78</v>
      </c>
      <c r="AM208" t="str">
        <f t="shared" si="59"/>
        <v>Completed</v>
      </c>
      <c r="AN208">
        <v>5</v>
      </c>
      <c r="AO208">
        <v>2025</v>
      </c>
      <c r="AP208" t="s">
        <v>79</v>
      </c>
    </row>
    <row r="209" spans="1:42">
      <c r="A209" t="s">
        <v>1158</v>
      </c>
      <c r="B209" s="3" t="s">
        <v>1159</v>
      </c>
      <c r="C209" s="3">
        <v>45483</v>
      </c>
      <c r="D209" t="s">
        <v>1160</v>
      </c>
      <c r="E209" s="3">
        <v>45489</v>
      </c>
      <c r="F209" t="s">
        <v>1161</v>
      </c>
      <c r="G209" t="s">
        <v>202</v>
      </c>
      <c r="H209" t="str">
        <f t="shared" si="45"/>
        <v>Aarav Sharma</v>
      </c>
      <c r="I209" t="s">
        <v>154</v>
      </c>
      <c r="J209" t="str">
        <f t="shared" si="46"/>
        <v>Home Office</v>
      </c>
      <c r="K209" t="s">
        <v>11</v>
      </c>
      <c r="L209" t="str">
        <f t="shared" si="47"/>
        <v>West</v>
      </c>
      <c r="M209" t="s">
        <v>292</v>
      </c>
      <c r="N209" t="str">
        <f t="shared" si="48"/>
        <v>Goa</v>
      </c>
      <c r="O209" t="s">
        <v>293</v>
      </c>
      <c r="P209" t="str">
        <f t="shared" si="49"/>
        <v>Panaji</v>
      </c>
      <c r="Q209" t="s">
        <v>19</v>
      </c>
      <c r="R209" t="str">
        <f t="shared" si="50"/>
        <v>Furniture</v>
      </c>
      <c r="S209" t="s">
        <v>245</v>
      </c>
      <c r="T209" t="str">
        <f t="shared" si="51"/>
        <v>Bookcases</v>
      </c>
      <c r="U209" t="s">
        <v>1162</v>
      </c>
      <c r="V209" t="str">
        <f t="shared" si="52"/>
        <v>Eco Bookcases 671</v>
      </c>
      <c r="W209" t="s">
        <v>76</v>
      </c>
      <c r="X209" t="str">
        <f t="shared" si="53"/>
        <v>Second Class</v>
      </c>
      <c r="Y209">
        <v>6</v>
      </c>
      <c r="Z209">
        <v>2</v>
      </c>
      <c r="AA209">
        <v>1095.45</v>
      </c>
      <c r="AB209">
        <v>0.2</v>
      </c>
      <c r="AC209">
        <f t="shared" si="54"/>
        <v>0.2</v>
      </c>
      <c r="AD209">
        <v>1752.72</v>
      </c>
      <c r="AE209">
        <f t="shared" si="55"/>
        <v>1752.72</v>
      </c>
      <c r="AF209">
        <v>996.41</v>
      </c>
      <c r="AG209">
        <v>756.31</v>
      </c>
      <c r="AH209">
        <f t="shared" si="56"/>
        <v>756.31</v>
      </c>
      <c r="AI209">
        <f t="shared" si="57"/>
        <v>0.431506458533023</v>
      </c>
      <c r="AJ209" t="s">
        <v>77</v>
      </c>
      <c r="AK209" t="str">
        <f t="shared" si="58"/>
        <v>Paid</v>
      </c>
      <c r="AL209" t="s">
        <v>78</v>
      </c>
      <c r="AM209" t="str">
        <f t="shared" si="59"/>
        <v>Completed</v>
      </c>
      <c r="AN209">
        <v>7</v>
      </c>
      <c r="AO209">
        <v>2024</v>
      </c>
      <c r="AP209" t="s">
        <v>79</v>
      </c>
    </row>
    <row r="210" spans="1:42">
      <c r="A210" t="s">
        <v>1163</v>
      </c>
      <c r="B210" s="3" t="s">
        <v>1164</v>
      </c>
      <c r="C210" s="3">
        <v>45837</v>
      </c>
      <c r="D210" t="s">
        <v>1165</v>
      </c>
      <c r="E210" s="3">
        <v>45843</v>
      </c>
      <c r="F210" t="s">
        <v>1166</v>
      </c>
      <c r="G210" t="s">
        <v>251</v>
      </c>
      <c r="H210" t="str">
        <f t="shared" si="45"/>
        <v>Diya Patel</v>
      </c>
      <c r="I210" t="s">
        <v>71</v>
      </c>
      <c r="J210" t="str">
        <f t="shared" si="46"/>
        <v>Consumer</v>
      </c>
      <c r="K210" t="s">
        <v>8</v>
      </c>
      <c r="L210" t="str">
        <f t="shared" si="47"/>
        <v>North</v>
      </c>
      <c r="M210" t="s">
        <v>194</v>
      </c>
      <c r="N210" t="str">
        <f t="shared" si="48"/>
        <v>Punjab</v>
      </c>
      <c r="O210" t="s">
        <v>195</v>
      </c>
      <c r="P210" t="str">
        <f t="shared" si="49"/>
        <v>Ludhiana</v>
      </c>
      <c r="Q210" t="s">
        <v>19</v>
      </c>
      <c r="R210" t="str">
        <f t="shared" si="50"/>
        <v>Furniture</v>
      </c>
      <c r="S210" t="s">
        <v>116</v>
      </c>
      <c r="T210" t="str">
        <f t="shared" si="51"/>
        <v>Chairs</v>
      </c>
      <c r="U210" t="s">
        <v>1167</v>
      </c>
      <c r="V210" t="str">
        <f t="shared" si="52"/>
        <v>Max Chairs 151</v>
      </c>
      <c r="W210" t="s">
        <v>90</v>
      </c>
      <c r="X210" t="str">
        <f t="shared" si="53"/>
        <v>Same Day</v>
      </c>
      <c r="Y210">
        <v>6</v>
      </c>
      <c r="Z210">
        <v>1</v>
      </c>
      <c r="AA210">
        <v>999.83</v>
      </c>
      <c r="AB210">
        <v>0</v>
      </c>
      <c r="AC210">
        <f t="shared" si="54"/>
        <v>0</v>
      </c>
      <c r="AD210">
        <v>999.83</v>
      </c>
      <c r="AE210">
        <f t="shared" si="55"/>
        <v>999.83</v>
      </c>
      <c r="AF210">
        <v>634.91</v>
      </c>
      <c r="AG210">
        <v>364.92</v>
      </c>
      <c r="AH210">
        <f t="shared" si="56"/>
        <v>364.92</v>
      </c>
      <c r="AI210">
        <f t="shared" si="57"/>
        <v>0.364982046947981</v>
      </c>
      <c r="AJ210" t="s">
        <v>77</v>
      </c>
      <c r="AK210" t="str">
        <f t="shared" si="58"/>
        <v>Paid</v>
      </c>
      <c r="AL210" t="s">
        <v>78</v>
      </c>
      <c r="AM210" t="str">
        <f t="shared" si="59"/>
        <v>Completed</v>
      </c>
      <c r="AN210">
        <v>6</v>
      </c>
      <c r="AO210">
        <v>2025</v>
      </c>
      <c r="AP210" t="s">
        <v>79</v>
      </c>
    </row>
    <row r="211" spans="1:42">
      <c r="A211" t="s">
        <v>1168</v>
      </c>
      <c r="B211" s="3" t="s">
        <v>1169</v>
      </c>
      <c r="C211" s="3">
        <v>45882</v>
      </c>
      <c r="D211" t="s">
        <v>1170</v>
      </c>
      <c r="E211" s="3">
        <v>45883</v>
      </c>
      <c r="F211" t="s">
        <v>1171</v>
      </c>
      <c r="G211" t="s">
        <v>220</v>
      </c>
      <c r="H211" t="str">
        <f t="shared" si="45"/>
        <v>Rohan Mehta</v>
      </c>
      <c r="I211" t="s">
        <v>85</v>
      </c>
      <c r="J211" t="str">
        <f t="shared" si="46"/>
        <v>Small Business</v>
      </c>
      <c r="K211" t="s">
        <v>10</v>
      </c>
      <c r="L211" t="str">
        <f t="shared" si="47"/>
        <v>South</v>
      </c>
      <c r="M211" t="s">
        <v>139</v>
      </c>
      <c r="N211" t="str">
        <f t="shared" si="48"/>
        <v>Andhra Pradesh</v>
      </c>
      <c r="O211" t="s">
        <v>140</v>
      </c>
      <c r="P211" t="str">
        <f t="shared" si="49"/>
        <v>Vijayawada</v>
      </c>
      <c r="Q211" t="s">
        <v>22</v>
      </c>
      <c r="R211" t="str">
        <f t="shared" si="50"/>
        <v>Office Supplies</v>
      </c>
      <c r="S211" t="s">
        <v>74</v>
      </c>
      <c r="T211" t="str">
        <f t="shared" si="51"/>
        <v>Paper</v>
      </c>
      <c r="U211" t="s">
        <v>1172</v>
      </c>
      <c r="V211" t="str">
        <f t="shared" si="52"/>
        <v>Prime Paper 903</v>
      </c>
      <c r="W211" t="s">
        <v>98</v>
      </c>
      <c r="X211" t="str">
        <f t="shared" si="53"/>
        <v>First Class</v>
      </c>
      <c r="Y211">
        <v>1</v>
      </c>
      <c r="Z211">
        <v>9</v>
      </c>
      <c r="AA211">
        <v>864.98</v>
      </c>
      <c r="AB211">
        <v>0.1</v>
      </c>
      <c r="AC211">
        <f t="shared" si="54"/>
        <v>0.1</v>
      </c>
      <c r="AD211">
        <v>7006.34</v>
      </c>
      <c r="AE211">
        <f t="shared" si="55"/>
        <v>7006.338</v>
      </c>
      <c r="AF211">
        <v>4640.88</v>
      </c>
      <c r="AG211">
        <v>2365.46</v>
      </c>
      <c r="AH211">
        <f t="shared" si="56"/>
        <v>2365.458</v>
      </c>
      <c r="AI211">
        <f t="shared" si="57"/>
        <v>0.337616883456094</v>
      </c>
      <c r="AJ211" t="s">
        <v>77</v>
      </c>
      <c r="AK211" t="str">
        <f t="shared" si="58"/>
        <v>Paid</v>
      </c>
      <c r="AL211" t="s">
        <v>78</v>
      </c>
      <c r="AM211" t="str">
        <f t="shared" si="59"/>
        <v>Completed</v>
      </c>
      <c r="AN211">
        <v>8</v>
      </c>
      <c r="AO211">
        <v>2025</v>
      </c>
      <c r="AP211" t="s">
        <v>79</v>
      </c>
    </row>
    <row r="212" spans="1:42">
      <c r="A212" t="s">
        <v>1173</v>
      </c>
      <c r="B212" s="3" t="s">
        <v>1174</v>
      </c>
      <c r="C212" s="3">
        <v>45366</v>
      </c>
      <c r="D212" t="s">
        <v>1175</v>
      </c>
      <c r="E212" s="3">
        <v>45369</v>
      </c>
      <c r="F212" t="s">
        <v>1176</v>
      </c>
      <c r="G212" t="s">
        <v>411</v>
      </c>
      <c r="H212" t="str">
        <f t="shared" si="45"/>
        <v>Kabir Singh</v>
      </c>
      <c r="I212" t="s">
        <v>154</v>
      </c>
      <c r="J212" t="str">
        <f t="shared" si="46"/>
        <v>Home Office</v>
      </c>
      <c r="K212" t="s">
        <v>10</v>
      </c>
      <c r="L212" t="str">
        <f t="shared" si="47"/>
        <v>South</v>
      </c>
      <c r="M212" t="s">
        <v>272</v>
      </c>
      <c r="N212" t="str">
        <f t="shared" si="48"/>
        <v>Karnataka</v>
      </c>
      <c r="O212" t="s">
        <v>273</v>
      </c>
      <c r="P212" t="str">
        <f t="shared" si="49"/>
        <v>Bengaluru</v>
      </c>
      <c r="Q212" t="s">
        <v>24</v>
      </c>
      <c r="R212" t="str">
        <f t="shared" si="50"/>
        <v>Technology</v>
      </c>
      <c r="S212" t="s">
        <v>427</v>
      </c>
      <c r="T212" t="str">
        <f t="shared" si="51"/>
        <v>Machines</v>
      </c>
      <c r="U212" t="s">
        <v>1177</v>
      </c>
      <c r="V212" t="str">
        <f t="shared" si="52"/>
        <v>Classic Machines 944</v>
      </c>
      <c r="W212" t="s">
        <v>76</v>
      </c>
      <c r="X212" t="str">
        <f t="shared" si="53"/>
        <v>Second Class</v>
      </c>
      <c r="Y212">
        <v>3</v>
      </c>
      <c r="Z212">
        <v>1</v>
      </c>
      <c r="AA212">
        <v>4131.36</v>
      </c>
      <c r="AB212">
        <v>0</v>
      </c>
      <c r="AC212">
        <f t="shared" si="54"/>
        <v>0</v>
      </c>
      <c r="AD212">
        <v>4131.36</v>
      </c>
      <c r="AE212">
        <f t="shared" si="55"/>
        <v>4131.36</v>
      </c>
      <c r="AF212">
        <v>2937.07</v>
      </c>
      <c r="AG212">
        <v>1194.29</v>
      </c>
      <c r="AH212">
        <f t="shared" si="56"/>
        <v>1194.29</v>
      </c>
      <c r="AI212">
        <f t="shared" si="57"/>
        <v>0.289079141009256</v>
      </c>
      <c r="AJ212" t="s">
        <v>241</v>
      </c>
      <c r="AK212" t="str">
        <f t="shared" si="58"/>
        <v>Failed</v>
      </c>
      <c r="AL212" t="s">
        <v>164</v>
      </c>
      <c r="AM212" t="str">
        <f t="shared" si="59"/>
        <v>Returned</v>
      </c>
      <c r="AN212">
        <v>3</v>
      </c>
      <c r="AO212">
        <v>2024</v>
      </c>
      <c r="AP212" t="s">
        <v>79</v>
      </c>
    </row>
    <row r="213" spans="1:42">
      <c r="A213" t="s">
        <v>1178</v>
      </c>
      <c r="B213" s="3" t="s">
        <v>1179</v>
      </c>
      <c r="C213" s="3">
        <v>45428</v>
      </c>
      <c r="D213" t="s">
        <v>1180</v>
      </c>
      <c r="E213" s="3">
        <v>45429</v>
      </c>
      <c r="F213" t="s">
        <v>1181</v>
      </c>
      <c r="G213" t="s">
        <v>220</v>
      </c>
      <c r="H213" t="str">
        <f t="shared" si="45"/>
        <v>Rohan Mehta</v>
      </c>
      <c r="I213" t="s">
        <v>147</v>
      </c>
      <c r="J213" t="str">
        <f t="shared" si="46"/>
        <v>Corporate</v>
      </c>
      <c r="K213" t="s">
        <v>1182</v>
      </c>
      <c r="L213" t="str">
        <f t="shared" si="47"/>
        <v>East</v>
      </c>
      <c r="M213" t="s">
        <v>160</v>
      </c>
      <c r="N213" t="str">
        <f t="shared" si="48"/>
        <v>West Bengal</v>
      </c>
      <c r="O213" t="s">
        <v>161</v>
      </c>
      <c r="P213" t="str">
        <f t="shared" si="49"/>
        <v>Kolkata</v>
      </c>
      <c r="Q213" t="s">
        <v>24</v>
      </c>
      <c r="R213" t="str">
        <f t="shared" si="50"/>
        <v>Technology</v>
      </c>
      <c r="S213" t="s">
        <v>133</v>
      </c>
      <c r="T213" t="str">
        <f t="shared" si="51"/>
        <v>Copiers</v>
      </c>
      <c r="U213" t="s">
        <v>1183</v>
      </c>
      <c r="V213" t="str">
        <f t="shared" si="52"/>
        <v>Basic Copiers 222</v>
      </c>
      <c r="W213" t="s">
        <v>76</v>
      </c>
      <c r="X213" t="str">
        <f t="shared" si="53"/>
        <v>Second Class</v>
      </c>
      <c r="Y213">
        <v>1</v>
      </c>
      <c r="Z213">
        <v>8</v>
      </c>
      <c r="AA213">
        <v>4221.95</v>
      </c>
      <c r="AB213">
        <v>0.2</v>
      </c>
      <c r="AC213">
        <f t="shared" si="54"/>
        <v>0.2</v>
      </c>
      <c r="AD213">
        <v>27020.48</v>
      </c>
      <c r="AE213">
        <f t="shared" si="55"/>
        <v>27020.48</v>
      </c>
      <c r="AF213">
        <v>22885.24</v>
      </c>
      <c r="AG213">
        <v>4135.24</v>
      </c>
      <c r="AH213">
        <f t="shared" si="56"/>
        <v>4135.24</v>
      </c>
      <c r="AI213">
        <f t="shared" si="57"/>
        <v>0.153040952640368</v>
      </c>
      <c r="AJ213" t="s">
        <v>77</v>
      </c>
      <c r="AK213" t="str">
        <f t="shared" si="58"/>
        <v>Paid</v>
      </c>
      <c r="AL213" t="s">
        <v>78</v>
      </c>
      <c r="AM213" t="str">
        <f t="shared" si="59"/>
        <v>Completed</v>
      </c>
      <c r="AN213">
        <v>5</v>
      </c>
      <c r="AO213">
        <v>2024</v>
      </c>
      <c r="AP213" t="s">
        <v>79</v>
      </c>
    </row>
    <row r="214" spans="1:42">
      <c r="A214" t="s">
        <v>1184</v>
      </c>
      <c r="B214" s="3" t="s">
        <v>1185</v>
      </c>
      <c r="C214" s="3">
        <v>45556</v>
      </c>
      <c r="D214" t="s">
        <v>1186</v>
      </c>
      <c r="E214" s="3">
        <v>45556</v>
      </c>
      <c r="F214" t="s">
        <v>1187</v>
      </c>
      <c r="G214" t="s">
        <v>113</v>
      </c>
      <c r="H214" t="str">
        <f t="shared" si="45"/>
        <v>Ananya Rao</v>
      </c>
      <c r="I214" t="s">
        <v>85</v>
      </c>
      <c r="J214" t="str">
        <f t="shared" si="46"/>
        <v>Small Business</v>
      </c>
      <c r="K214" t="s">
        <v>7</v>
      </c>
      <c r="L214" t="str">
        <f t="shared" si="47"/>
        <v>East</v>
      </c>
      <c r="M214" t="s">
        <v>86</v>
      </c>
      <c r="N214" t="str">
        <f t="shared" si="48"/>
        <v>Odisha</v>
      </c>
      <c r="O214" t="s">
        <v>87</v>
      </c>
      <c r="P214" t="str">
        <f t="shared" si="49"/>
        <v>Bhubaneswar</v>
      </c>
      <c r="Q214" t="s">
        <v>24</v>
      </c>
      <c r="R214" t="str">
        <f t="shared" si="50"/>
        <v>Technology</v>
      </c>
      <c r="S214" t="s">
        <v>265</v>
      </c>
      <c r="T214" t="str">
        <f t="shared" si="51"/>
        <v>Phones</v>
      </c>
      <c r="U214" t="s">
        <v>1188</v>
      </c>
      <c r="V214" t="str">
        <f t="shared" si="52"/>
        <v>Max Phones 329</v>
      </c>
      <c r="W214" t="s">
        <v>90</v>
      </c>
      <c r="X214" t="str">
        <f t="shared" si="53"/>
        <v>Same Day</v>
      </c>
      <c r="Y214">
        <v>0</v>
      </c>
      <c r="Z214">
        <v>2</v>
      </c>
      <c r="AA214">
        <v>214.5</v>
      </c>
      <c r="AB214">
        <v>0.15</v>
      </c>
      <c r="AC214">
        <f t="shared" si="54"/>
        <v>0.15</v>
      </c>
      <c r="AD214">
        <v>364.65</v>
      </c>
      <c r="AE214">
        <f t="shared" si="55"/>
        <v>364.65</v>
      </c>
      <c r="AF214">
        <v>280.74</v>
      </c>
      <c r="AG214">
        <v>83.91</v>
      </c>
      <c r="AH214">
        <f t="shared" si="56"/>
        <v>83.91</v>
      </c>
      <c r="AI214">
        <f t="shared" si="57"/>
        <v>0.230111065405183</v>
      </c>
      <c r="AJ214" t="s">
        <v>77</v>
      </c>
      <c r="AK214" t="str">
        <f t="shared" si="58"/>
        <v>Paid</v>
      </c>
      <c r="AL214" t="s">
        <v>78</v>
      </c>
      <c r="AM214" t="str">
        <f t="shared" si="59"/>
        <v>Completed</v>
      </c>
      <c r="AN214">
        <v>9</v>
      </c>
      <c r="AO214">
        <v>2024</v>
      </c>
      <c r="AP214" t="s">
        <v>79</v>
      </c>
    </row>
    <row r="215" spans="1:42">
      <c r="A215" t="s">
        <v>1189</v>
      </c>
      <c r="B215" s="3" t="s">
        <v>1190</v>
      </c>
      <c r="C215" s="3">
        <v>45427</v>
      </c>
      <c r="D215" t="s">
        <v>1191</v>
      </c>
      <c r="E215" s="3">
        <v>45433</v>
      </c>
      <c r="F215" t="s">
        <v>1192</v>
      </c>
      <c r="G215" t="s">
        <v>95</v>
      </c>
      <c r="H215" t="str">
        <f t="shared" si="45"/>
        <v>Isha Nair</v>
      </c>
      <c r="I215" t="s">
        <v>85</v>
      </c>
      <c r="J215" t="str">
        <f t="shared" si="46"/>
        <v>Small Business</v>
      </c>
      <c r="K215" t="s">
        <v>7</v>
      </c>
      <c r="L215" t="str">
        <f t="shared" si="47"/>
        <v>East</v>
      </c>
      <c r="M215" t="s">
        <v>227</v>
      </c>
      <c r="N215" t="str">
        <f t="shared" si="48"/>
        <v>Bihar</v>
      </c>
      <c r="O215" t="s">
        <v>228</v>
      </c>
      <c r="P215" t="str">
        <f t="shared" si="49"/>
        <v>Patna</v>
      </c>
      <c r="Q215" t="s">
        <v>24</v>
      </c>
      <c r="R215" t="str">
        <f t="shared" si="50"/>
        <v>Technology</v>
      </c>
      <c r="S215" t="s">
        <v>126</v>
      </c>
      <c r="T215" t="str">
        <f t="shared" si="51"/>
        <v>Accessories</v>
      </c>
      <c r="U215" t="s">
        <v>1193</v>
      </c>
      <c r="V215" t="str">
        <f t="shared" si="52"/>
        <v>Classic Accessories 840</v>
      </c>
      <c r="W215" t="s">
        <v>1194</v>
      </c>
      <c r="X215" t="str">
        <f t="shared" si="53"/>
        <v>Second Class</v>
      </c>
      <c r="Y215">
        <v>6</v>
      </c>
      <c r="Z215">
        <v>4</v>
      </c>
      <c r="AA215">
        <v>4332.73</v>
      </c>
      <c r="AB215">
        <v>0.2</v>
      </c>
      <c r="AC215">
        <f t="shared" si="54"/>
        <v>0.2</v>
      </c>
      <c r="AD215">
        <v>13864.74</v>
      </c>
      <c r="AE215">
        <f t="shared" si="55"/>
        <v>13864.736</v>
      </c>
      <c r="AF215">
        <v>11294.06</v>
      </c>
      <c r="AG215">
        <v>2570.68</v>
      </c>
      <c r="AH215">
        <f t="shared" si="56"/>
        <v>2570.676</v>
      </c>
      <c r="AI215">
        <f t="shared" si="57"/>
        <v>0.185411103392088</v>
      </c>
      <c r="AJ215" t="s">
        <v>77</v>
      </c>
      <c r="AK215" t="str">
        <f t="shared" si="58"/>
        <v>Paid</v>
      </c>
      <c r="AL215" t="s">
        <v>78</v>
      </c>
      <c r="AM215" t="str">
        <f t="shared" si="59"/>
        <v>Completed</v>
      </c>
      <c r="AN215">
        <v>5</v>
      </c>
      <c r="AO215">
        <v>2024</v>
      </c>
      <c r="AP215" t="s">
        <v>79</v>
      </c>
    </row>
    <row r="216" spans="1:42">
      <c r="A216" t="s">
        <v>1195</v>
      </c>
      <c r="B216" s="3" t="s">
        <v>1196</v>
      </c>
      <c r="C216" s="3">
        <v>45368</v>
      </c>
      <c r="D216" t="s">
        <v>1197</v>
      </c>
      <c r="E216" s="3">
        <v>45374</v>
      </c>
      <c r="F216" t="s">
        <v>1198</v>
      </c>
      <c r="G216" t="s">
        <v>188</v>
      </c>
      <c r="H216" t="str">
        <f t="shared" si="45"/>
        <v>Rahul Verma</v>
      </c>
      <c r="I216" t="s">
        <v>71</v>
      </c>
      <c r="J216" t="str">
        <f t="shared" si="46"/>
        <v>Consumer</v>
      </c>
      <c r="K216" t="s">
        <v>8</v>
      </c>
      <c r="L216" t="str">
        <f t="shared" si="47"/>
        <v>North</v>
      </c>
      <c r="M216" t="s">
        <v>366</v>
      </c>
      <c r="N216" t="str">
        <f t="shared" si="48"/>
        <v>Haryana</v>
      </c>
      <c r="O216" t="s">
        <v>367</v>
      </c>
      <c r="P216" t="str">
        <f t="shared" si="49"/>
        <v>Gurugram</v>
      </c>
      <c r="Q216" t="s">
        <v>24</v>
      </c>
      <c r="R216" t="str">
        <f t="shared" si="50"/>
        <v>Technology</v>
      </c>
      <c r="S216" t="s">
        <v>126</v>
      </c>
      <c r="T216" t="str">
        <f t="shared" si="51"/>
        <v>Accessories</v>
      </c>
      <c r="U216" t="s">
        <v>1199</v>
      </c>
      <c r="V216" t="str">
        <f t="shared" si="52"/>
        <v>Classic Accessories 757</v>
      </c>
      <c r="W216" t="s">
        <v>1200</v>
      </c>
      <c r="X216" t="str">
        <f t="shared" si="53"/>
        <v>First Class</v>
      </c>
      <c r="Y216">
        <v>6</v>
      </c>
      <c r="Z216">
        <v>3</v>
      </c>
      <c r="AA216">
        <v>248.18</v>
      </c>
      <c r="AB216">
        <v>0.05</v>
      </c>
      <c r="AC216">
        <f t="shared" si="54"/>
        <v>0.05</v>
      </c>
      <c r="AD216">
        <v>707.31</v>
      </c>
      <c r="AE216">
        <f t="shared" si="55"/>
        <v>707.313</v>
      </c>
      <c r="AF216">
        <v>569</v>
      </c>
      <c r="AG216">
        <v>138.31</v>
      </c>
      <c r="AH216">
        <f t="shared" si="56"/>
        <v>138.313</v>
      </c>
      <c r="AI216">
        <f t="shared" si="57"/>
        <v>0.195547091598769</v>
      </c>
      <c r="AJ216" t="s">
        <v>77</v>
      </c>
      <c r="AK216" t="str">
        <f t="shared" si="58"/>
        <v>Paid</v>
      </c>
      <c r="AL216" t="s">
        <v>78</v>
      </c>
      <c r="AM216" t="str">
        <f t="shared" si="59"/>
        <v>Completed</v>
      </c>
      <c r="AN216">
        <v>3</v>
      </c>
      <c r="AO216">
        <v>2024</v>
      </c>
      <c r="AP216" t="s">
        <v>79</v>
      </c>
    </row>
    <row r="217" spans="1:42">
      <c r="A217" t="s">
        <v>1201</v>
      </c>
      <c r="B217" s="3" t="s">
        <v>1202</v>
      </c>
      <c r="C217" s="3">
        <v>45352</v>
      </c>
      <c r="D217" t="s">
        <v>248</v>
      </c>
      <c r="E217" s="3">
        <v>45355</v>
      </c>
      <c r="F217" t="s">
        <v>1203</v>
      </c>
      <c r="G217" t="s">
        <v>84</v>
      </c>
      <c r="H217" t="str">
        <f t="shared" si="45"/>
        <v>Mira Das</v>
      </c>
      <c r="I217" t="s">
        <v>71</v>
      </c>
      <c r="J217" t="str">
        <f t="shared" si="46"/>
        <v>Consumer</v>
      </c>
      <c r="K217" t="s">
        <v>11</v>
      </c>
      <c r="L217" t="str">
        <f t="shared" si="47"/>
        <v>West</v>
      </c>
      <c r="M217" t="s">
        <v>124</v>
      </c>
      <c r="N217" t="str">
        <f t="shared" si="48"/>
        <v>Madhya Pradesh</v>
      </c>
      <c r="O217" t="s">
        <v>125</v>
      </c>
      <c r="P217" t="str">
        <f t="shared" si="49"/>
        <v>Indore</v>
      </c>
      <c r="Q217" t="s">
        <v>22</v>
      </c>
      <c r="R217" t="str">
        <f t="shared" si="50"/>
        <v>Office Supplies</v>
      </c>
      <c r="S217" t="s">
        <v>74</v>
      </c>
      <c r="T217" t="str">
        <f t="shared" si="51"/>
        <v>Paper</v>
      </c>
      <c r="U217" t="s">
        <v>1204</v>
      </c>
      <c r="V217" t="str">
        <f t="shared" si="52"/>
        <v>Prime Paper 286</v>
      </c>
      <c r="W217" t="s">
        <v>98</v>
      </c>
      <c r="X217" t="str">
        <f t="shared" si="53"/>
        <v>First Class</v>
      </c>
      <c r="Y217">
        <v>3</v>
      </c>
      <c r="Z217">
        <v>8</v>
      </c>
      <c r="AA217">
        <v>3202.4</v>
      </c>
      <c r="AB217">
        <v>0.25</v>
      </c>
      <c r="AC217">
        <f t="shared" si="54"/>
        <v>0.25</v>
      </c>
      <c r="AD217">
        <v>19214.4</v>
      </c>
      <c r="AE217">
        <f t="shared" si="55"/>
        <v>19214.4</v>
      </c>
      <c r="AF217">
        <v>10916.01</v>
      </c>
      <c r="AG217">
        <v>8298.39</v>
      </c>
      <c r="AH217">
        <f t="shared" si="56"/>
        <v>8298.39</v>
      </c>
      <c r="AI217">
        <f t="shared" si="57"/>
        <v>0.431883899575319</v>
      </c>
      <c r="AJ217" t="s">
        <v>77</v>
      </c>
      <c r="AK217" t="str">
        <f t="shared" si="58"/>
        <v>Paid</v>
      </c>
      <c r="AL217" t="s">
        <v>78</v>
      </c>
      <c r="AM217" t="str">
        <f t="shared" si="59"/>
        <v>Completed</v>
      </c>
      <c r="AN217">
        <v>3</v>
      </c>
      <c r="AO217">
        <v>2024</v>
      </c>
      <c r="AP217" t="s">
        <v>79</v>
      </c>
    </row>
    <row r="218" spans="1:42">
      <c r="A218" t="s">
        <v>1205</v>
      </c>
      <c r="B218" s="3" t="s">
        <v>129</v>
      </c>
      <c r="C218" s="3">
        <v>45757</v>
      </c>
      <c r="D218" t="s">
        <v>1206</v>
      </c>
      <c r="E218" s="3">
        <v>45762</v>
      </c>
      <c r="F218" t="s">
        <v>1207</v>
      </c>
      <c r="G218" t="s">
        <v>95</v>
      </c>
      <c r="H218" t="str">
        <f t="shared" si="45"/>
        <v>Isha Nair</v>
      </c>
      <c r="I218" t="s">
        <v>71</v>
      </c>
      <c r="J218" t="str">
        <f t="shared" si="46"/>
        <v>Consumer</v>
      </c>
      <c r="K218" t="s">
        <v>11</v>
      </c>
      <c r="L218" t="str">
        <f t="shared" si="47"/>
        <v>West</v>
      </c>
      <c r="M218" t="s">
        <v>278</v>
      </c>
      <c r="N218" t="str">
        <f t="shared" si="48"/>
        <v>Gujarat</v>
      </c>
      <c r="O218" t="s">
        <v>279</v>
      </c>
      <c r="P218" t="str">
        <f t="shared" si="49"/>
        <v>Ahmedabad</v>
      </c>
      <c r="Q218" t="s">
        <v>19</v>
      </c>
      <c r="R218" t="str">
        <f t="shared" si="50"/>
        <v>Furniture</v>
      </c>
      <c r="S218" t="s">
        <v>88</v>
      </c>
      <c r="T218" t="str">
        <f t="shared" si="51"/>
        <v>Tables</v>
      </c>
      <c r="U218" t="s">
        <v>1208</v>
      </c>
      <c r="V218" t="str">
        <f t="shared" si="52"/>
        <v>Basic Tables 400</v>
      </c>
      <c r="W218" t="s">
        <v>108</v>
      </c>
      <c r="X218" t="str">
        <f t="shared" si="53"/>
        <v>Standard Class</v>
      </c>
      <c r="Y218">
        <v>5</v>
      </c>
      <c r="Z218">
        <v>8</v>
      </c>
      <c r="AA218">
        <v>1839.87</v>
      </c>
      <c r="AB218">
        <v>0.25</v>
      </c>
      <c r="AC218">
        <f t="shared" si="54"/>
        <v>0.25</v>
      </c>
      <c r="AD218">
        <v>11039.22</v>
      </c>
      <c r="AE218">
        <f t="shared" si="55"/>
        <v>11039.22</v>
      </c>
      <c r="AF218">
        <v>7642.91</v>
      </c>
      <c r="AG218">
        <v>3396.31</v>
      </c>
      <c r="AH218">
        <f t="shared" si="56"/>
        <v>3396.31</v>
      </c>
      <c r="AI218">
        <f t="shared" si="57"/>
        <v>0.307658512105022</v>
      </c>
      <c r="AJ218" t="s">
        <v>241</v>
      </c>
      <c r="AK218" t="str">
        <f t="shared" si="58"/>
        <v>Failed</v>
      </c>
      <c r="AL218" t="s">
        <v>164</v>
      </c>
      <c r="AM218" t="str">
        <f t="shared" si="59"/>
        <v>Returned</v>
      </c>
      <c r="AN218">
        <v>4</v>
      </c>
      <c r="AO218">
        <v>2025</v>
      </c>
      <c r="AP218" t="s">
        <v>79</v>
      </c>
    </row>
    <row r="219" spans="1:42">
      <c r="A219" t="s">
        <v>1209</v>
      </c>
      <c r="B219" s="3" t="s">
        <v>1210</v>
      </c>
      <c r="C219" s="3">
        <v>45748</v>
      </c>
      <c r="D219" t="s">
        <v>1211</v>
      </c>
      <c r="E219" s="3">
        <v>45755</v>
      </c>
      <c r="F219" t="s">
        <v>1212</v>
      </c>
      <c r="G219" t="s">
        <v>146</v>
      </c>
      <c r="H219" t="str">
        <f t="shared" si="45"/>
        <v>Aditi Sen</v>
      </c>
      <c r="I219" t="s">
        <v>71</v>
      </c>
      <c r="J219" t="str">
        <f t="shared" si="46"/>
        <v>Consumer</v>
      </c>
      <c r="K219" t="s">
        <v>7</v>
      </c>
      <c r="L219" t="str">
        <f t="shared" si="47"/>
        <v>East</v>
      </c>
      <c r="M219" t="s">
        <v>86</v>
      </c>
      <c r="N219" t="str">
        <f t="shared" si="48"/>
        <v>Odisha</v>
      </c>
      <c r="O219" t="s">
        <v>87</v>
      </c>
      <c r="P219" t="str">
        <f t="shared" si="49"/>
        <v>Bhubaneswar</v>
      </c>
      <c r="Q219" t="s">
        <v>19</v>
      </c>
      <c r="R219" t="str">
        <f t="shared" si="50"/>
        <v>Furniture</v>
      </c>
      <c r="S219" t="s">
        <v>245</v>
      </c>
      <c r="T219" t="str">
        <f t="shared" si="51"/>
        <v>Bookcases</v>
      </c>
      <c r="U219" t="s">
        <v>1213</v>
      </c>
      <c r="V219" t="str">
        <f t="shared" si="52"/>
        <v>Basic Bookcases 405</v>
      </c>
      <c r="W219" t="s">
        <v>76</v>
      </c>
      <c r="X219" t="str">
        <f t="shared" si="53"/>
        <v>Second Class</v>
      </c>
      <c r="Y219">
        <v>7</v>
      </c>
      <c r="Z219">
        <v>5</v>
      </c>
      <c r="AA219">
        <v>1021.28</v>
      </c>
      <c r="AB219">
        <v>0.1</v>
      </c>
      <c r="AC219">
        <f t="shared" si="54"/>
        <v>0.1</v>
      </c>
      <c r="AD219">
        <v>4595.76</v>
      </c>
      <c r="AE219">
        <f t="shared" si="55"/>
        <v>4595.76</v>
      </c>
      <c r="AF219">
        <v>3396.8</v>
      </c>
      <c r="AG219">
        <v>1198.96</v>
      </c>
      <c r="AH219">
        <f t="shared" si="56"/>
        <v>1198.96</v>
      </c>
      <c r="AI219">
        <f t="shared" si="57"/>
        <v>0.260883945201664</v>
      </c>
      <c r="AJ219" t="s">
        <v>163</v>
      </c>
      <c r="AK219" t="str">
        <f t="shared" si="58"/>
        <v>Refunded</v>
      </c>
      <c r="AL219" t="s">
        <v>118</v>
      </c>
      <c r="AM219" t="str">
        <f t="shared" si="59"/>
        <v>Cancelled</v>
      </c>
      <c r="AN219">
        <v>4</v>
      </c>
      <c r="AO219">
        <v>2025</v>
      </c>
      <c r="AP219" t="s">
        <v>79</v>
      </c>
    </row>
    <row r="220" spans="1:42">
      <c r="A220" t="s">
        <v>1214</v>
      </c>
      <c r="B220" s="3" t="s">
        <v>1215</v>
      </c>
      <c r="C220" s="3">
        <v>45714</v>
      </c>
      <c r="D220" t="s">
        <v>1216</v>
      </c>
      <c r="E220" s="3">
        <v>45715</v>
      </c>
      <c r="F220" t="s">
        <v>1217</v>
      </c>
      <c r="G220" t="s">
        <v>182</v>
      </c>
      <c r="H220" t="str">
        <f t="shared" si="45"/>
        <v>Priya Menon</v>
      </c>
      <c r="I220" t="s">
        <v>147</v>
      </c>
      <c r="J220" t="str">
        <f t="shared" si="46"/>
        <v>Corporate</v>
      </c>
      <c r="K220" t="s">
        <v>11</v>
      </c>
      <c r="L220" t="str">
        <f t="shared" si="47"/>
        <v>West</v>
      </c>
      <c r="M220" t="s">
        <v>278</v>
      </c>
      <c r="N220" t="str">
        <f t="shared" si="48"/>
        <v>Gujarat</v>
      </c>
      <c r="O220" t="s">
        <v>279</v>
      </c>
      <c r="P220" t="str">
        <f t="shared" si="49"/>
        <v>Ahmedabad</v>
      </c>
      <c r="Q220" t="s">
        <v>19</v>
      </c>
      <c r="R220" t="str">
        <f t="shared" si="50"/>
        <v>Furniture</v>
      </c>
      <c r="S220" t="s">
        <v>245</v>
      </c>
      <c r="T220" t="str">
        <f t="shared" si="51"/>
        <v>Bookcases</v>
      </c>
      <c r="U220" t="s">
        <v>1218</v>
      </c>
      <c r="V220" t="str">
        <f t="shared" si="52"/>
        <v>Classic Bookcases 139</v>
      </c>
      <c r="W220" t="s">
        <v>108</v>
      </c>
      <c r="X220" t="str">
        <f t="shared" si="53"/>
        <v>Standard Class</v>
      </c>
      <c r="Y220">
        <v>1</v>
      </c>
      <c r="Z220">
        <v>5</v>
      </c>
      <c r="AA220">
        <v>258.28</v>
      </c>
      <c r="AB220">
        <v>0</v>
      </c>
      <c r="AC220">
        <f t="shared" si="54"/>
        <v>0</v>
      </c>
      <c r="AD220">
        <v>1291.4</v>
      </c>
      <c r="AE220">
        <f t="shared" si="55"/>
        <v>1291.4</v>
      </c>
      <c r="AF220">
        <v>756.93</v>
      </c>
      <c r="AG220">
        <v>534.47</v>
      </c>
      <c r="AH220">
        <f t="shared" si="56"/>
        <v>534.47</v>
      </c>
      <c r="AI220">
        <f t="shared" si="57"/>
        <v>0.413868669660833</v>
      </c>
      <c r="AJ220" t="s">
        <v>77</v>
      </c>
      <c r="AK220" t="str">
        <f t="shared" si="58"/>
        <v>Paid</v>
      </c>
      <c r="AL220" t="s">
        <v>78</v>
      </c>
      <c r="AM220" t="str">
        <f t="shared" si="59"/>
        <v>Completed</v>
      </c>
      <c r="AN220">
        <v>2</v>
      </c>
      <c r="AO220">
        <v>2025</v>
      </c>
      <c r="AP220" t="s">
        <v>79</v>
      </c>
    </row>
    <row r="221" spans="1:42">
      <c r="A221" t="s">
        <v>1219</v>
      </c>
      <c r="B221" s="3" t="s">
        <v>732</v>
      </c>
      <c r="C221" s="3">
        <v>45461</v>
      </c>
      <c r="D221" t="s">
        <v>1220</v>
      </c>
      <c r="E221" s="3">
        <v>45462</v>
      </c>
      <c r="F221" t="s">
        <v>1221</v>
      </c>
      <c r="G221" t="s">
        <v>188</v>
      </c>
      <c r="H221" t="str">
        <f t="shared" si="45"/>
        <v>Rahul Verma</v>
      </c>
      <c r="I221" t="s">
        <v>71</v>
      </c>
      <c r="J221" t="str">
        <f t="shared" si="46"/>
        <v>Consumer</v>
      </c>
      <c r="K221" t="s">
        <v>7</v>
      </c>
      <c r="L221" t="str">
        <f t="shared" si="47"/>
        <v>East</v>
      </c>
      <c r="M221" t="s">
        <v>227</v>
      </c>
      <c r="N221" t="str">
        <f t="shared" si="48"/>
        <v>Bihar</v>
      </c>
      <c r="O221" t="s">
        <v>228</v>
      </c>
      <c r="P221" t="str">
        <f t="shared" si="49"/>
        <v>Patna</v>
      </c>
      <c r="Q221" t="s">
        <v>24</v>
      </c>
      <c r="R221" t="str">
        <f t="shared" si="50"/>
        <v>Technology</v>
      </c>
      <c r="S221" t="s">
        <v>427</v>
      </c>
      <c r="T221" t="str">
        <f t="shared" si="51"/>
        <v>Machines</v>
      </c>
      <c r="U221" t="s">
        <v>1222</v>
      </c>
      <c r="V221" t="str">
        <f t="shared" si="52"/>
        <v>Elite Machines 290</v>
      </c>
      <c r="W221" t="s">
        <v>98</v>
      </c>
      <c r="X221" t="str">
        <f t="shared" si="53"/>
        <v>First Class</v>
      </c>
      <c r="Y221">
        <v>1</v>
      </c>
      <c r="Z221">
        <v>2</v>
      </c>
      <c r="AA221">
        <v>121.49</v>
      </c>
      <c r="AB221" t="s">
        <v>1223</v>
      </c>
      <c r="AC221" t="str">
        <f t="shared" si="54"/>
        <v>85%</v>
      </c>
      <c r="AD221">
        <v>242.98</v>
      </c>
      <c r="AE221">
        <f t="shared" si="55"/>
        <v>36.447</v>
      </c>
      <c r="AF221">
        <v>161.42</v>
      </c>
      <c r="AG221">
        <v>81.56</v>
      </c>
      <c r="AH221">
        <f t="shared" si="56"/>
        <v>-124.973</v>
      </c>
      <c r="AI221">
        <f t="shared" si="57"/>
        <v>-3.42889675419102</v>
      </c>
      <c r="AJ221" t="s">
        <v>77</v>
      </c>
      <c r="AK221" t="str">
        <f t="shared" si="58"/>
        <v>Paid</v>
      </c>
      <c r="AL221" t="s">
        <v>78</v>
      </c>
      <c r="AM221" t="str">
        <f t="shared" si="59"/>
        <v>Completed</v>
      </c>
      <c r="AN221">
        <v>6</v>
      </c>
      <c r="AO221">
        <v>2024</v>
      </c>
      <c r="AP221" t="s">
        <v>79</v>
      </c>
    </row>
    <row r="222" spans="1:42">
      <c r="A222" t="s">
        <v>1224</v>
      </c>
      <c r="B222" s="3" t="s">
        <v>1225</v>
      </c>
      <c r="C222" s="3">
        <v>45538</v>
      </c>
      <c r="D222" t="s">
        <v>1225</v>
      </c>
      <c r="E222" s="3">
        <v>45538</v>
      </c>
      <c r="F222" t="s">
        <v>1226</v>
      </c>
      <c r="G222" t="s">
        <v>208</v>
      </c>
      <c r="H222" t="str">
        <f t="shared" si="45"/>
        <v>Sneha Kapoor</v>
      </c>
      <c r="I222" t="s">
        <v>71</v>
      </c>
      <c r="J222" t="str">
        <f t="shared" si="46"/>
        <v>Consumer</v>
      </c>
      <c r="K222" t="s">
        <v>10</v>
      </c>
      <c r="L222" t="str">
        <f t="shared" si="47"/>
        <v>South</v>
      </c>
      <c r="M222" t="s">
        <v>285</v>
      </c>
      <c r="N222" t="str">
        <f t="shared" si="48"/>
        <v>Kerala</v>
      </c>
      <c r="O222" t="s">
        <v>286</v>
      </c>
      <c r="P222" t="str">
        <f t="shared" si="49"/>
        <v>Kochi</v>
      </c>
      <c r="Q222" t="s">
        <v>22</v>
      </c>
      <c r="R222" t="str">
        <f t="shared" si="50"/>
        <v>Office Supplies</v>
      </c>
      <c r="S222" t="s">
        <v>196</v>
      </c>
      <c r="T222" t="str">
        <f t="shared" si="51"/>
        <v>Storage</v>
      </c>
      <c r="U222" t="s">
        <v>1227</v>
      </c>
      <c r="V222" t="str">
        <f t="shared" si="52"/>
        <v>Elite Storage 925</v>
      </c>
      <c r="W222" t="s">
        <v>98</v>
      </c>
      <c r="X222" t="str">
        <f t="shared" si="53"/>
        <v>First Class</v>
      </c>
      <c r="Y222">
        <v>0</v>
      </c>
      <c r="Z222">
        <v>4</v>
      </c>
      <c r="AA222">
        <v>2810.17</v>
      </c>
      <c r="AB222">
        <v>0.15</v>
      </c>
      <c r="AC222">
        <f t="shared" si="54"/>
        <v>0.15</v>
      </c>
      <c r="AD222">
        <v>9554.58</v>
      </c>
      <c r="AE222">
        <f t="shared" si="55"/>
        <v>9554.578</v>
      </c>
      <c r="AF222">
        <v>6068.47</v>
      </c>
      <c r="AG222">
        <v>3486.11</v>
      </c>
      <c r="AH222">
        <f t="shared" si="56"/>
        <v>3486.108</v>
      </c>
      <c r="AI222">
        <f t="shared" si="57"/>
        <v>0.36486258210462</v>
      </c>
      <c r="AJ222" t="s">
        <v>163</v>
      </c>
      <c r="AK222" t="str">
        <f t="shared" si="58"/>
        <v>Refunded</v>
      </c>
      <c r="AL222" t="s">
        <v>118</v>
      </c>
      <c r="AM222" t="str">
        <f t="shared" si="59"/>
        <v>Cancelled</v>
      </c>
      <c r="AN222">
        <v>9</v>
      </c>
      <c r="AO222">
        <v>2024</v>
      </c>
      <c r="AP222" t="s">
        <v>79</v>
      </c>
    </row>
    <row r="223" spans="1:42">
      <c r="A223" t="s">
        <v>1228</v>
      </c>
      <c r="B223" s="3" t="s">
        <v>1229</v>
      </c>
      <c r="C223" s="3">
        <v>45669</v>
      </c>
      <c r="D223" t="s">
        <v>1230</v>
      </c>
      <c r="E223" s="3">
        <v>45672</v>
      </c>
      <c r="F223" t="s">
        <v>1231</v>
      </c>
      <c r="G223" t="s">
        <v>84</v>
      </c>
      <c r="H223" t="str">
        <f t="shared" si="45"/>
        <v>Mira Das</v>
      </c>
      <c r="I223" t="s">
        <v>147</v>
      </c>
      <c r="J223" t="str">
        <f t="shared" si="46"/>
        <v>Corporate</v>
      </c>
      <c r="K223" t="s">
        <v>10</v>
      </c>
      <c r="L223" t="str">
        <f t="shared" si="47"/>
        <v>South</v>
      </c>
      <c r="M223" t="s">
        <v>272</v>
      </c>
      <c r="N223" t="str">
        <f t="shared" si="48"/>
        <v>Karnataka</v>
      </c>
      <c r="O223" t="s">
        <v>273</v>
      </c>
      <c r="P223" t="str">
        <f t="shared" si="49"/>
        <v>Bengaluru</v>
      </c>
      <c r="Q223" t="s">
        <v>19</v>
      </c>
      <c r="R223" t="str">
        <f t="shared" si="50"/>
        <v>Furniture</v>
      </c>
      <c r="S223" t="s">
        <v>116</v>
      </c>
      <c r="T223" t="str">
        <f t="shared" si="51"/>
        <v>Chairs</v>
      </c>
      <c r="U223" t="s">
        <v>1232</v>
      </c>
      <c r="V223" t="str">
        <f t="shared" si="52"/>
        <v>Classic Chairs 231</v>
      </c>
      <c r="W223" t="s">
        <v>90</v>
      </c>
      <c r="X223" t="str">
        <f t="shared" si="53"/>
        <v>Same Day</v>
      </c>
      <c r="Y223">
        <v>3</v>
      </c>
      <c r="Z223">
        <v>4</v>
      </c>
      <c r="AA223">
        <v>1531.53</v>
      </c>
      <c r="AB223">
        <v>0.2</v>
      </c>
      <c r="AC223">
        <f t="shared" si="54"/>
        <v>0.2</v>
      </c>
      <c r="AD223">
        <v>4900.9</v>
      </c>
      <c r="AE223">
        <f t="shared" si="55"/>
        <v>4900.896</v>
      </c>
      <c r="AF223">
        <v>3552.69</v>
      </c>
      <c r="AG223">
        <v>1348.21</v>
      </c>
      <c r="AH223">
        <f t="shared" si="56"/>
        <v>1348.206</v>
      </c>
      <c r="AI223">
        <f t="shared" si="57"/>
        <v>0.275093778770249</v>
      </c>
      <c r="AJ223" t="s">
        <v>77</v>
      </c>
      <c r="AK223" t="str">
        <f t="shared" si="58"/>
        <v>Paid</v>
      </c>
      <c r="AL223" t="s">
        <v>78</v>
      </c>
      <c r="AM223" t="str">
        <f t="shared" si="59"/>
        <v>Completed</v>
      </c>
      <c r="AN223">
        <v>1</v>
      </c>
      <c r="AO223">
        <v>2025</v>
      </c>
      <c r="AP223" t="s">
        <v>79</v>
      </c>
    </row>
    <row r="224" spans="1:42">
      <c r="A224" t="s">
        <v>1233</v>
      </c>
      <c r="B224" s="3" t="s">
        <v>1234</v>
      </c>
      <c r="C224" s="3">
        <v>45776</v>
      </c>
      <c r="D224" t="s">
        <v>1063</v>
      </c>
      <c r="E224" s="3">
        <v>45779</v>
      </c>
      <c r="F224" t="s">
        <v>1235</v>
      </c>
      <c r="G224" t="s">
        <v>123</v>
      </c>
      <c r="H224" t="str">
        <f t="shared" si="45"/>
        <v>Vikram Iyer</v>
      </c>
      <c r="I224" t="s">
        <v>85</v>
      </c>
      <c r="J224" t="str">
        <f t="shared" si="46"/>
        <v>Small Business</v>
      </c>
      <c r="K224" t="s">
        <v>11</v>
      </c>
      <c r="L224" t="str">
        <f t="shared" si="47"/>
        <v>West</v>
      </c>
      <c r="M224" t="s">
        <v>292</v>
      </c>
      <c r="N224" t="str">
        <f t="shared" si="48"/>
        <v>Goa</v>
      </c>
      <c r="O224" t="s">
        <v>293</v>
      </c>
      <c r="P224" t="str">
        <f t="shared" si="49"/>
        <v>Panaji</v>
      </c>
      <c r="Q224" t="s">
        <v>22</v>
      </c>
      <c r="R224" t="str">
        <f t="shared" si="50"/>
        <v>Office Supplies</v>
      </c>
      <c r="S224" t="s">
        <v>196</v>
      </c>
      <c r="T224" t="str">
        <f t="shared" si="51"/>
        <v>Storage</v>
      </c>
      <c r="U224" t="s">
        <v>1236</v>
      </c>
      <c r="V224" t="str">
        <f t="shared" si="52"/>
        <v>Prime Storage 818</v>
      </c>
      <c r="W224" t="s">
        <v>98</v>
      </c>
      <c r="X224" t="str">
        <f t="shared" si="53"/>
        <v>First Class</v>
      </c>
      <c r="Y224">
        <v>3</v>
      </c>
      <c r="Z224">
        <v>6</v>
      </c>
      <c r="AA224">
        <v>4308.09</v>
      </c>
      <c r="AB224">
        <v>0</v>
      </c>
      <c r="AC224">
        <f t="shared" si="54"/>
        <v>0</v>
      </c>
      <c r="AD224">
        <v>25848.54</v>
      </c>
      <c r="AE224">
        <f t="shared" si="55"/>
        <v>25848.54</v>
      </c>
      <c r="AF224">
        <v>17729.09</v>
      </c>
      <c r="AG224">
        <v>8119.45</v>
      </c>
      <c r="AH224">
        <f t="shared" si="56"/>
        <v>8119.45</v>
      </c>
      <c r="AI224">
        <f t="shared" si="57"/>
        <v>0.314116387231155</v>
      </c>
      <c r="AJ224" t="s">
        <v>77</v>
      </c>
      <c r="AK224" t="str">
        <f t="shared" si="58"/>
        <v>Paid</v>
      </c>
      <c r="AL224" t="s">
        <v>78</v>
      </c>
      <c r="AM224" t="str">
        <f t="shared" si="59"/>
        <v>Completed</v>
      </c>
      <c r="AN224">
        <v>4</v>
      </c>
      <c r="AO224">
        <v>2025</v>
      </c>
      <c r="AP224" t="s">
        <v>79</v>
      </c>
    </row>
    <row r="225" spans="1:42">
      <c r="A225" t="s">
        <v>1237</v>
      </c>
      <c r="B225" s="3" t="s">
        <v>1238</v>
      </c>
      <c r="C225" s="3">
        <v>45707</v>
      </c>
      <c r="D225" t="s">
        <v>1239</v>
      </c>
      <c r="E225" s="3">
        <v>45714</v>
      </c>
      <c r="F225" t="s">
        <v>1240</v>
      </c>
      <c r="G225" t="s">
        <v>84</v>
      </c>
      <c r="H225" t="str">
        <f t="shared" si="45"/>
        <v>Mira Das</v>
      </c>
      <c r="I225" t="s">
        <v>147</v>
      </c>
      <c r="J225" t="str">
        <f t="shared" si="46"/>
        <v>Corporate</v>
      </c>
      <c r="K225" t="s">
        <v>11</v>
      </c>
      <c r="L225" t="str">
        <f t="shared" si="47"/>
        <v>West</v>
      </c>
      <c r="M225" t="s">
        <v>114</v>
      </c>
      <c r="N225" t="str">
        <f t="shared" si="48"/>
        <v>Maharashtra</v>
      </c>
      <c r="O225" t="s">
        <v>115</v>
      </c>
      <c r="P225" t="str">
        <f t="shared" si="49"/>
        <v>Mumbai</v>
      </c>
      <c r="Q225" t="s">
        <v>19</v>
      </c>
      <c r="R225" t="str">
        <f t="shared" si="50"/>
        <v>Furniture</v>
      </c>
      <c r="S225" t="s">
        <v>106</v>
      </c>
      <c r="T225" t="str">
        <f t="shared" si="51"/>
        <v>Furnishings</v>
      </c>
      <c r="U225" t="s">
        <v>1241</v>
      </c>
      <c r="V225" t="str">
        <f t="shared" si="52"/>
        <v>Elite Furnishings 449</v>
      </c>
      <c r="W225" t="s">
        <v>98</v>
      </c>
      <c r="X225" t="str">
        <f t="shared" si="53"/>
        <v>First Class</v>
      </c>
      <c r="Y225">
        <v>7</v>
      </c>
      <c r="Z225">
        <v>3</v>
      </c>
      <c r="AA225">
        <v>490.3</v>
      </c>
      <c r="AB225">
        <v>0.2</v>
      </c>
      <c r="AC225">
        <f t="shared" si="54"/>
        <v>0.2</v>
      </c>
      <c r="AD225">
        <v>1176.72</v>
      </c>
      <c r="AE225">
        <f t="shared" si="55"/>
        <v>1176.72</v>
      </c>
      <c r="AF225">
        <v>654.33</v>
      </c>
      <c r="AG225">
        <v>522.39</v>
      </c>
      <c r="AH225">
        <f t="shared" si="56"/>
        <v>522.39</v>
      </c>
      <c r="AI225">
        <f t="shared" si="57"/>
        <v>0.443937385274322</v>
      </c>
      <c r="AJ225" t="s">
        <v>177</v>
      </c>
      <c r="AK225" t="str">
        <f t="shared" si="58"/>
        <v>Pending</v>
      </c>
      <c r="AL225" t="s">
        <v>164</v>
      </c>
      <c r="AM225" t="str">
        <f t="shared" si="59"/>
        <v>Returned</v>
      </c>
      <c r="AN225">
        <v>2</v>
      </c>
      <c r="AO225">
        <v>2025</v>
      </c>
      <c r="AP225" t="s">
        <v>79</v>
      </c>
    </row>
    <row r="226" spans="1:42">
      <c r="A226" t="s">
        <v>1242</v>
      </c>
      <c r="B226" s="3" t="s">
        <v>1243</v>
      </c>
      <c r="C226" s="3">
        <v>45932</v>
      </c>
      <c r="D226" t="s">
        <v>1244</v>
      </c>
      <c r="E226" s="3">
        <v>45938</v>
      </c>
      <c r="F226" t="s">
        <v>1245</v>
      </c>
      <c r="G226" t="s">
        <v>95</v>
      </c>
      <c r="H226" t="str">
        <f t="shared" si="45"/>
        <v>Isha Nair</v>
      </c>
      <c r="I226" t="s">
        <v>85</v>
      </c>
      <c r="J226" t="str">
        <f t="shared" si="46"/>
        <v>Small Business</v>
      </c>
      <c r="K226" t="s">
        <v>8</v>
      </c>
      <c r="L226" t="str">
        <f t="shared" si="47"/>
        <v>North</v>
      </c>
      <c r="M226" t="s">
        <v>194</v>
      </c>
      <c r="N226" t="str">
        <f t="shared" si="48"/>
        <v>Punjab</v>
      </c>
      <c r="O226" t="s">
        <v>195</v>
      </c>
      <c r="P226" t="str">
        <f t="shared" si="49"/>
        <v>Ludhiana</v>
      </c>
      <c r="Q226" t="s">
        <v>19</v>
      </c>
      <c r="R226" t="str">
        <f t="shared" si="50"/>
        <v>Furniture</v>
      </c>
      <c r="S226" t="s">
        <v>106</v>
      </c>
      <c r="T226" t="str">
        <f t="shared" si="51"/>
        <v>Furnishings</v>
      </c>
      <c r="U226" t="s">
        <v>1246</v>
      </c>
      <c r="V226" t="str">
        <f t="shared" si="52"/>
        <v>Classic Furnishings 109</v>
      </c>
      <c r="W226" t="s">
        <v>108</v>
      </c>
      <c r="X226" t="str">
        <f t="shared" si="53"/>
        <v>Standard Class</v>
      </c>
      <c r="Y226">
        <v>6</v>
      </c>
      <c r="Z226">
        <v>4</v>
      </c>
      <c r="AA226">
        <v>3944.64</v>
      </c>
      <c r="AB226">
        <v>0.25</v>
      </c>
      <c r="AC226">
        <f t="shared" si="54"/>
        <v>0.25</v>
      </c>
      <c r="AD226">
        <v>11833.92</v>
      </c>
      <c r="AE226">
        <f t="shared" si="55"/>
        <v>11833.92</v>
      </c>
      <c r="AF226">
        <v>6682.92</v>
      </c>
      <c r="AG226">
        <v>5151</v>
      </c>
      <c r="AH226">
        <f t="shared" si="56"/>
        <v>5151</v>
      </c>
      <c r="AI226">
        <f t="shared" si="57"/>
        <v>0.435274194856818</v>
      </c>
      <c r="AJ226" t="s">
        <v>77</v>
      </c>
      <c r="AK226" t="str">
        <f t="shared" si="58"/>
        <v>Paid</v>
      </c>
      <c r="AL226" t="s">
        <v>118</v>
      </c>
      <c r="AM226" t="str">
        <f t="shared" si="59"/>
        <v>Cancelled</v>
      </c>
      <c r="AN226">
        <v>10</v>
      </c>
      <c r="AO226">
        <v>2025</v>
      </c>
      <c r="AP226" t="s">
        <v>79</v>
      </c>
    </row>
    <row r="227" spans="1:42">
      <c r="A227" t="s">
        <v>1247</v>
      </c>
      <c r="B227" s="3" t="s">
        <v>1248</v>
      </c>
      <c r="C227" s="3">
        <v>45537</v>
      </c>
      <c r="D227" t="s">
        <v>1249</v>
      </c>
      <c r="E227" s="3">
        <v>45545</v>
      </c>
      <c r="F227" t="s">
        <v>1250</v>
      </c>
      <c r="G227" t="s">
        <v>84</v>
      </c>
      <c r="H227" t="str">
        <f t="shared" si="45"/>
        <v>Mira Das</v>
      </c>
      <c r="I227" t="s">
        <v>147</v>
      </c>
      <c r="J227" t="str">
        <f t="shared" si="46"/>
        <v>Corporate</v>
      </c>
      <c r="K227" t="s">
        <v>11</v>
      </c>
      <c r="L227" t="str">
        <f t="shared" si="47"/>
        <v>West</v>
      </c>
      <c r="M227" t="s">
        <v>292</v>
      </c>
      <c r="N227" t="str">
        <f t="shared" si="48"/>
        <v>Goa</v>
      </c>
      <c r="O227" t="s">
        <v>293</v>
      </c>
      <c r="P227" t="str">
        <f t="shared" si="49"/>
        <v>Panaji</v>
      </c>
      <c r="Q227" t="s">
        <v>24</v>
      </c>
      <c r="R227" t="str">
        <f t="shared" si="50"/>
        <v>Technology</v>
      </c>
      <c r="S227" t="s">
        <v>265</v>
      </c>
      <c r="T227" t="str">
        <f t="shared" si="51"/>
        <v>Phones</v>
      </c>
      <c r="U227" t="s">
        <v>1251</v>
      </c>
      <c r="V227" t="str">
        <f t="shared" si="52"/>
        <v>Classic Phones 548</v>
      </c>
      <c r="W227" t="s">
        <v>108</v>
      </c>
      <c r="X227" t="str">
        <f t="shared" si="53"/>
        <v>Standard Class</v>
      </c>
      <c r="Y227">
        <v>8</v>
      </c>
      <c r="Z227">
        <v>6</v>
      </c>
      <c r="AA227">
        <v>1032.47</v>
      </c>
      <c r="AB227">
        <v>0.15</v>
      </c>
      <c r="AC227">
        <f t="shared" si="54"/>
        <v>0.15</v>
      </c>
      <c r="AD227">
        <v>5265.6</v>
      </c>
      <c r="AE227">
        <f t="shared" si="55"/>
        <v>5265.597</v>
      </c>
      <c r="AF227">
        <v>4293.11</v>
      </c>
      <c r="AG227">
        <v>787.57</v>
      </c>
      <c r="AH227">
        <f t="shared" si="56"/>
        <v>972.487</v>
      </c>
      <c r="AI227">
        <f t="shared" si="57"/>
        <v>0.18468694053115</v>
      </c>
      <c r="AJ227" t="s">
        <v>77</v>
      </c>
      <c r="AK227" t="str">
        <f t="shared" si="58"/>
        <v>Paid</v>
      </c>
      <c r="AL227" t="s">
        <v>78</v>
      </c>
      <c r="AM227" t="str">
        <f t="shared" si="59"/>
        <v>Completed</v>
      </c>
      <c r="AN227">
        <v>9</v>
      </c>
      <c r="AO227">
        <v>2024</v>
      </c>
      <c r="AP227" t="s">
        <v>79</v>
      </c>
    </row>
    <row r="228" spans="1:42">
      <c r="A228" t="s">
        <v>1252</v>
      </c>
      <c r="B228" s="3" t="s">
        <v>1253</v>
      </c>
      <c r="C228" s="3">
        <v>45757</v>
      </c>
      <c r="D228" t="s">
        <v>1206</v>
      </c>
      <c r="E228" s="3">
        <v>45762</v>
      </c>
      <c r="F228" t="s">
        <v>1254</v>
      </c>
      <c r="G228" t="s">
        <v>251</v>
      </c>
      <c r="H228" t="str">
        <f t="shared" si="45"/>
        <v>Diya Patel</v>
      </c>
      <c r="I228" t="s">
        <v>154</v>
      </c>
      <c r="J228" t="str">
        <f t="shared" si="46"/>
        <v>Home Office</v>
      </c>
      <c r="L228" t="str">
        <f t="shared" si="47"/>
        <v/>
      </c>
      <c r="M228" t="s">
        <v>285</v>
      </c>
      <c r="N228" t="str">
        <f t="shared" si="48"/>
        <v>Kerala</v>
      </c>
      <c r="O228" t="s">
        <v>286</v>
      </c>
      <c r="P228" t="str">
        <f t="shared" si="49"/>
        <v>Kochi</v>
      </c>
      <c r="Q228" t="s">
        <v>24</v>
      </c>
      <c r="R228" t="str">
        <f t="shared" si="50"/>
        <v>Technology</v>
      </c>
      <c r="S228" t="s">
        <v>133</v>
      </c>
      <c r="T228" t="str">
        <f t="shared" si="51"/>
        <v>Copiers</v>
      </c>
      <c r="U228" t="s">
        <v>1255</v>
      </c>
      <c r="V228" t="str">
        <f t="shared" si="52"/>
        <v>Max Copiers 363</v>
      </c>
      <c r="W228" t="s">
        <v>90</v>
      </c>
      <c r="X228" t="str">
        <f t="shared" si="53"/>
        <v>Same Day</v>
      </c>
      <c r="Y228">
        <v>5</v>
      </c>
      <c r="Z228">
        <v>1</v>
      </c>
      <c r="AA228">
        <v>2208.27</v>
      </c>
      <c r="AB228">
        <v>0.1</v>
      </c>
      <c r="AC228">
        <f t="shared" si="54"/>
        <v>0.1</v>
      </c>
      <c r="AD228">
        <v>1987.44</v>
      </c>
      <c r="AE228">
        <f t="shared" si="55"/>
        <v>1987.443</v>
      </c>
      <c r="AF228">
        <v>1110.23</v>
      </c>
      <c r="AG228">
        <v>877.21</v>
      </c>
      <c r="AH228">
        <f t="shared" si="56"/>
        <v>877.213</v>
      </c>
      <c r="AI228">
        <f t="shared" si="57"/>
        <v>0.44137768982557</v>
      </c>
      <c r="AJ228" t="s">
        <v>77</v>
      </c>
      <c r="AK228" t="str">
        <f t="shared" si="58"/>
        <v>Paid</v>
      </c>
      <c r="AL228" t="s">
        <v>78</v>
      </c>
      <c r="AM228" t="str">
        <f t="shared" si="59"/>
        <v>Completed</v>
      </c>
      <c r="AN228">
        <v>4</v>
      </c>
      <c r="AO228">
        <v>2025</v>
      </c>
      <c r="AP228" t="s">
        <v>79</v>
      </c>
    </row>
    <row r="229" spans="1:42">
      <c r="A229" t="s">
        <v>1256</v>
      </c>
      <c r="B229" s="3" t="s">
        <v>1257</v>
      </c>
      <c r="C229" s="3">
        <v>45478</v>
      </c>
      <c r="D229" t="s">
        <v>1258</v>
      </c>
      <c r="E229" s="3">
        <v>45485</v>
      </c>
      <c r="F229" t="s">
        <v>1259</v>
      </c>
      <c r="G229" t="s">
        <v>113</v>
      </c>
      <c r="H229" t="str">
        <f t="shared" si="45"/>
        <v>Ananya Rao</v>
      </c>
      <c r="I229" t="s">
        <v>1260</v>
      </c>
      <c r="J229" t="str">
        <f t="shared" si="46"/>
        <v>Small Business</v>
      </c>
      <c r="K229" t="s">
        <v>11</v>
      </c>
      <c r="L229" t="str">
        <f t="shared" si="47"/>
        <v>West</v>
      </c>
      <c r="M229" t="s">
        <v>292</v>
      </c>
      <c r="N229" t="str">
        <f t="shared" si="48"/>
        <v>Goa</v>
      </c>
      <c r="O229" t="s">
        <v>293</v>
      </c>
      <c r="P229" t="str">
        <f t="shared" si="49"/>
        <v>Panaji</v>
      </c>
      <c r="Q229" t="s">
        <v>22</v>
      </c>
      <c r="R229" t="str">
        <f t="shared" si="50"/>
        <v>Office Supplies</v>
      </c>
      <c r="S229" t="s">
        <v>239</v>
      </c>
      <c r="T229" t="str">
        <f t="shared" si="51"/>
        <v>Binders</v>
      </c>
      <c r="U229" t="s">
        <v>1261</v>
      </c>
      <c r="V229" t="str">
        <f t="shared" si="52"/>
        <v>Prime Binders 507</v>
      </c>
      <c r="W229" t="s">
        <v>98</v>
      </c>
      <c r="X229" t="str">
        <f t="shared" si="53"/>
        <v>First Class</v>
      </c>
      <c r="Y229">
        <v>7</v>
      </c>
      <c r="Z229">
        <v>3</v>
      </c>
      <c r="AA229">
        <v>577.75</v>
      </c>
      <c r="AB229">
        <v>0.15</v>
      </c>
      <c r="AC229">
        <f t="shared" si="54"/>
        <v>0.15</v>
      </c>
      <c r="AD229">
        <v>1473.26</v>
      </c>
      <c r="AE229">
        <f t="shared" si="55"/>
        <v>1473.2625</v>
      </c>
      <c r="AF229">
        <v>899.86</v>
      </c>
      <c r="AG229">
        <v>573.4</v>
      </c>
      <c r="AH229">
        <f t="shared" si="56"/>
        <v>573.4025</v>
      </c>
      <c r="AI229">
        <f t="shared" si="57"/>
        <v>0.389205929018081</v>
      </c>
      <c r="AJ229" t="s">
        <v>77</v>
      </c>
      <c r="AK229" t="str">
        <f t="shared" si="58"/>
        <v>Paid</v>
      </c>
      <c r="AL229" t="s">
        <v>78</v>
      </c>
      <c r="AM229" t="str">
        <f t="shared" si="59"/>
        <v>Completed</v>
      </c>
      <c r="AN229">
        <v>7</v>
      </c>
      <c r="AO229">
        <v>2024</v>
      </c>
      <c r="AP229" t="s">
        <v>79</v>
      </c>
    </row>
    <row r="230" spans="1:42">
      <c r="A230" t="s">
        <v>1262</v>
      </c>
      <c r="B230" s="3" t="s">
        <v>1263</v>
      </c>
      <c r="C230" s="3">
        <v>45406</v>
      </c>
      <c r="D230" t="s">
        <v>1264</v>
      </c>
      <c r="E230" s="3">
        <v>45410</v>
      </c>
      <c r="F230" t="s">
        <v>1265</v>
      </c>
      <c r="G230" t="s">
        <v>70</v>
      </c>
      <c r="H230" t="str">
        <f t="shared" si="45"/>
        <v>Karan Malhotra</v>
      </c>
      <c r="I230" t="s">
        <v>85</v>
      </c>
      <c r="J230" t="str">
        <f t="shared" si="46"/>
        <v>Small Business</v>
      </c>
      <c r="K230" t="s">
        <v>10</v>
      </c>
      <c r="L230" t="str">
        <f t="shared" si="47"/>
        <v>South</v>
      </c>
      <c r="M230" t="s">
        <v>104</v>
      </c>
      <c r="N230" t="str">
        <f t="shared" si="48"/>
        <v>Telangana</v>
      </c>
      <c r="O230" t="s">
        <v>105</v>
      </c>
      <c r="P230" t="str">
        <f t="shared" si="49"/>
        <v>Hyderabad</v>
      </c>
      <c r="Q230" t="s">
        <v>22</v>
      </c>
      <c r="R230" t="str">
        <f t="shared" si="50"/>
        <v>Office Supplies</v>
      </c>
      <c r="S230" t="s">
        <v>148</v>
      </c>
      <c r="T230" t="str">
        <f t="shared" si="51"/>
        <v>Labels</v>
      </c>
      <c r="U230" t="s">
        <v>1266</v>
      </c>
      <c r="V230" t="str">
        <f t="shared" si="52"/>
        <v>Smart Labels 914</v>
      </c>
      <c r="W230" t="s">
        <v>76</v>
      </c>
      <c r="X230" t="str">
        <f t="shared" si="53"/>
        <v>Second Class</v>
      </c>
      <c r="Y230">
        <v>4</v>
      </c>
      <c r="Z230">
        <v>1</v>
      </c>
      <c r="AA230">
        <v>3194.37</v>
      </c>
      <c r="AB230">
        <v>0.15</v>
      </c>
      <c r="AC230">
        <f t="shared" si="54"/>
        <v>0.15</v>
      </c>
      <c r="AD230">
        <v>2715.21</v>
      </c>
      <c r="AE230">
        <f t="shared" si="55"/>
        <v>2715.2145</v>
      </c>
      <c r="AF230">
        <v>1551.55</v>
      </c>
      <c r="AG230">
        <v>1163.66</v>
      </c>
      <c r="AH230">
        <f t="shared" si="56"/>
        <v>1163.6645</v>
      </c>
      <c r="AI230">
        <f t="shared" si="57"/>
        <v>0.428571849480032</v>
      </c>
      <c r="AJ230" t="s">
        <v>77</v>
      </c>
      <c r="AK230" t="str">
        <f t="shared" si="58"/>
        <v>Paid</v>
      </c>
      <c r="AL230" t="s">
        <v>78</v>
      </c>
      <c r="AM230" t="str">
        <f t="shared" si="59"/>
        <v>Completed</v>
      </c>
      <c r="AN230">
        <v>4</v>
      </c>
      <c r="AO230">
        <v>2024</v>
      </c>
      <c r="AP230" t="s">
        <v>79</v>
      </c>
    </row>
    <row r="231" spans="1:42">
      <c r="A231" t="s">
        <v>1267</v>
      </c>
      <c r="B231" s="3" t="s">
        <v>1268</v>
      </c>
      <c r="C231" s="3">
        <v>45836</v>
      </c>
      <c r="D231" t="s">
        <v>1269</v>
      </c>
      <c r="E231" s="3">
        <v>45842</v>
      </c>
      <c r="F231" t="s">
        <v>1270</v>
      </c>
      <c r="G231" t="s">
        <v>220</v>
      </c>
      <c r="H231" t="str">
        <f t="shared" si="45"/>
        <v>Rohan Mehta</v>
      </c>
      <c r="I231" t="s">
        <v>71</v>
      </c>
      <c r="J231" t="str">
        <f t="shared" si="46"/>
        <v>Consumer</v>
      </c>
      <c r="K231" t="s">
        <v>10</v>
      </c>
      <c r="L231" t="str">
        <f t="shared" si="47"/>
        <v>South</v>
      </c>
      <c r="M231" t="s">
        <v>104</v>
      </c>
      <c r="N231" t="str">
        <f t="shared" si="48"/>
        <v>Telangana</v>
      </c>
      <c r="O231" t="s">
        <v>105</v>
      </c>
      <c r="P231" t="str">
        <f t="shared" si="49"/>
        <v>Hyderabad</v>
      </c>
      <c r="Q231" t="s">
        <v>19</v>
      </c>
      <c r="R231" t="str">
        <f t="shared" si="50"/>
        <v>Furniture</v>
      </c>
      <c r="S231" t="s">
        <v>245</v>
      </c>
      <c r="T231" t="str">
        <f t="shared" si="51"/>
        <v>Bookcases</v>
      </c>
      <c r="U231" t="s">
        <v>1271</v>
      </c>
      <c r="V231" t="str">
        <f t="shared" si="52"/>
        <v>Smart Bookcases 662</v>
      </c>
      <c r="W231" t="s">
        <v>98</v>
      </c>
      <c r="X231" t="str">
        <f t="shared" si="53"/>
        <v>First Class</v>
      </c>
      <c r="Y231">
        <v>6</v>
      </c>
      <c r="Z231">
        <v>3</v>
      </c>
      <c r="AA231">
        <v>2886.23</v>
      </c>
      <c r="AB231">
        <v>0</v>
      </c>
      <c r="AC231">
        <f t="shared" si="54"/>
        <v>0</v>
      </c>
      <c r="AD231">
        <v>8658.69</v>
      </c>
      <c r="AE231">
        <f t="shared" si="55"/>
        <v>8658.69</v>
      </c>
      <c r="AF231">
        <v>5535.94</v>
      </c>
      <c r="AG231">
        <v>3122.75</v>
      </c>
      <c r="AH231">
        <f t="shared" si="56"/>
        <v>3122.75</v>
      </c>
      <c r="AI231">
        <f t="shared" si="57"/>
        <v>0.360649243707767</v>
      </c>
      <c r="AJ231" t="s">
        <v>163</v>
      </c>
      <c r="AK231" t="str">
        <f t="shared" si="58"/>
        <v>Refunded</v>
      </c>
      <c r="AL231" t="s">
        <v>164</v>
      </c>
      <c r="AM231" t="str">
        <f t="shared" si="59"/>
        <v>Returned</v>
      </c>
      <c r="AN231">
        <v>6</v>
      </c>
      <c r="AO231">
        <v>2025</v>
      </c>
      <c r="AP231" t="s">
        <v>79</v>
      </c>
    </row>
    <row r="232" spans="1:42">
      <c r="A232" t="s">
        <v>1272</v>
      </c>
      <c r="B232" s="3" t="s">
        <v>121</v>
      </c>
      <c r="C232" s="3">
        <v>45440</v>
      </c>
      <c r="D232" t="s">
        <v>1273</v>
      </c>
      <c r="E232" s="3">
        <v>45446</v>
      </c>
      <c r="F232" t="s">
        <v>1274</v>
      </c>
      <c r="G232" t="s">
        <v>132</v>
      </c>
      <c r="H232" t="str">
        <f t="shared" si="45"/>
        <v>Neha Gupta</v>
      </c>
      <c r="I232" t="s">
        <v>85</v>
      </c>
      <c r="J232" t="str">
        <f t="shared" si="46"/>
        <v>Small Business</v>
      </c>
      <c r="K232" t="s">
        <v>8</v>
      </c>
      <c r="L232" t="str">
        <f t="shared" si="47"/>
        <v>North</v>
      </c>
      <c r="M232" t="s">
        <v>72</v>
      </c>
      <c r="N232" t="str">
        <f t="shared" si="48"/>
        <v>Rajasthan</v>
      </c>
      <c r="O232" t="s">
        <v>73</v>
      </c>
      <c r="P232" t="str">
        <f t="shared" si="49"/>
        <v>Jaipur</v>
      </c>
      <c r="Q232" t="s">
        <v>22</v>
      </c>
      <c r="R232" t="str">
        <f t="shared" si="50"/>
        <v>Office Supplies</v>
      </c>
      <c r="S232" t="s">
        <v>74</v>
      </c>
      <c r="T232" t="str">
        <f t="shared" si="51"/>
        <v>Paper</v>
      </c>
      <c r="U232" t="s">
        <v>1275</v>
      </c>
      <c r="V232" t="str">
        <f t="shared" si="52"/>
        <v>Eco Paper 937</v>
      </c>
      <c r="W232" t="s">
        <v>108</v>
      </c>
      <c r="X232" t="str">
        <f t="shared" si="53"/>
        <v>Standard Class</v>
      </c>
      <c r="Y232">
        <v>6</v>
      </c>
      <c r="Z232">
        <v>8</v>
      </c>
      <c r="AA232">
        <v>1540.33</v>
      </c>
      <c r="AB232">
        <v>0.1</v>
      </c>
      <c r="AC232">
        <f t="shared" si="54"/>
        <v>0.1</v>
      </c>
      <c r="AD232">
        <v>11090.38</v>
      </c>
      <c r="AE232">
        <f t="shared" si="55"/>
        <v>11090.376</v>
      </c>
      <c r="AF232">
        <v>8840.95</v>
      </c>
      <c r="AG232">
        <v>2249.43</v>
      </c>
      <c r="AH232">
        <f t="shared" si="56"/>
        <v>2249.426</v>
      </c>
      <c r="AI232">
        <f t="shared" si="57"/>
        <v>0.20282684734945</v>
      </c>
      <c r="AJ232" t="s">
        <v>77</v>
      </c>
      <c r="AK232" t="str">
        <f t="shared" si="58"/>
        <v>Paid</v>
      </c>
      <c r="AL232" t="s">
        <v>78</v>
      </c>
      <c r="AM232" t="str">
        <f t="shared" si="59"/>
        <v>Completed</v>
      </c>
      <c r="AN232">
        <v>5</v>
      </c>
      <c r="AO232">
        <v>2024</v>
      </c>
      <c r="AP232" t="s">
        <v>79</v>
      </c>
    </row>
    <row r="233" spans="1:42">
      <c r="A233" t="s">
        <v>1276</v>
      </c>
      <c r="B233" s="3" t="s">
        <v>1277</v>
      </c>
      <c r="C233" s="3">
        <v>45414</v>
      </c>
      <c r="D233" t="s">
        <v>1278</v>
      </c>
      <c r="E233" s="3">
        <v>45414</v>
      </c>
      <c r="F233" t="s">
        <v>1279</v>
      </c>
      <c r="G233" t="s">
        <v>113</v>
      </c>
      <c r="H233" t="str">
        <f t="shared" si="45"/>
        <v>Ananya Rao</v>
      </c>
      <c r="I233" t="s">
        <v>147</v>
      </c>
      <c r="J233" t="str">
        <f t="shared" si="46"/>
        <v>Corporate</v>
      </c>
      <c r="K233" t="s">
        <v>8</v>
      </c>
      <c r="L233" t="str">
        <f t="shared" si="47"/>
        <v>North</v>
      </c>
      <c r="M233" t="s">
        <v>72</v>
      </c>
      <c r="N233" t="str">
        <f t="shared" si="48"/>
        <v>Rajasthan</v>
      </c>
      <c r="O233" t="s">
        <v>73</v>
      </c>
      <c r="P233" t="str">
        <f t="shared" si="49"/>
        <v>Jaipur</v>
      </c>
      <c r="Q233" t="s">
        <v>21</v>
      </c>
      <c r="R233" t="str">
        <f t="shared" si="50"/>
        <v>Office Supplies</v>
      </c>
      <c r="S233" t="s">
        <v>148</v>
      </c>
      <c r="T233" t="str">
        <f t="shared" si="51"/>
        <v>Labels</v>
      </c>
      <c r="U233" t="s">
        <v>1280</v>
      </c>
      <c r="V233" t="str">
        <f t="shared" si="52"/>
        <v>Max Labels 370</v>
      </c>
      <c r="W233" t="s">
        <v>98</v>
      </c>
      <c r="X233" t="str">
        <f t="shared" si="53"/>
        <v>First Class</v>
      </c>
      <c r="Y233">
        <v>0</v>
      </c>
      <c r="Z233">
        <v>7</v>
      </c>
      <c r="AA233">
        <v>2183.38</v>
      </c>
      <c r="AB233">
        <v>0.25</v>
      </c>
      <c r="AC233">
        <f t="shared" si="54"/>
        <v>0.25</v>
      </c>
      <c r="AD233">
        <v>11462.74</v>
      </c>
      <c r="AE233">
        <f t="shared" si="55"/>
        <v>11462.745</v>
      </c>
      <c r="AF233">
        <v>7163.54</v>
      </c>
      <c r="AG233">
        <v>4299.2</v>
      </c>
      <c r="AH233">
        <f t="shared" si="56"/>
        <v>4299.205</v>
      </c>
      <c r="AI233">
        <f t="shared" si="57"/>
        <v>0.375058940943029</v>
      </c>
      <c r="AJ233" t="s">
        <v>163</v>
      </c>
      <c r="AK233" t="str">
        <f t="shared" si="58"/>
        <v>Refunded</v>
      </c>
      <c r="AL233" t="s">
        <v>118</v>
      </c>
      <c r="AM233" t="str">
        <f t="shared" si="59"/>
        <v>Cancelled</v>
      </c>
      <c r="AN233">
        <v>5</v>
      </c>
      <c r="AO233">
        <v>2024</v>
      </c>
      <c r="AP233" t="s">
        <v>79</v>
      </c>
    </row>
    <row r="234" spans="1:42">
      <c r="A234" t="s">
        <v>1281</v>
      </c>
      <c r="B234" s="3" t="s">
        <v>1282</v>
      </c>
      <c r="C234" s="3">
        <v>45812</v>
      </c>
      <c r="D234" t="s">
        <v>1283</v>
      </c>
      <c r="E234" s="3">
        <v>45818</v>
      </c>
      <c r="F234" t="s">
        <v>1284</v>
      </c>
      <c r="G234" t="s">
        <v>188</v>
      </c>
      <c r="H234" t="str">
        <f t="shared" si="45"/>
        <v>Rahul Verma</v>
      </c>
      <c r="I234" t="s">
        <v>71</v>
      </c>
      <c r="J234" t="str">
        <f t="shared" si="46"/>
        <v>Consumer</v>
      </c>
      <c r="K234" t="s">
        <v>10</v>
      </c>
      <c r="L234" t="str">
        <f t="shared" si="47"/>
        <v>South</v>
      </c>
      <c r="M234" t="s">
        <v>139</v>
      </c>
      <c r="N234" t="str">
        <f t="shared" si="48"/>
        <v>Andhra Pradesh</v>
      </c>
      <c r="O234" t="s">
        <v>140</v>
      </c>
      <c r="P234" t="str">
        <f t="shared" si="49"/>
        <v>Vijayawada</v>
      </c>
      <c r="Q234" t="s">
        <v>24</v>
      </c>
      <c r="R234" t="str">
        <f t="shared" si="50"/>
        <v>Technology</v>
      </c>
      <c r="S234" t="s">
        <v>265</v>
      </c>
      <c r="T234" t="str">
        <f t="shared" si="51"/>
        <v>Phones</v>
      </c>
      <c r="U234" t="s">
        <v>1285</v>
      </c>
      <c r="V234" t="str">
        <f t="shared" si="52"/>
        <v>Classic Phones 530</v>
      </c>
      <c r="W234" t="s">
        <v>108</v>
      </c>
      <c r="X234" t="str">
        <f t="shared" si="53"/>
        <v>Standard Class</v>
      </c>
      <c r="Y234">
        <v>6</v>
      </c>
      <c r="Z234">
        <v>4</v>
      </c>
      <c r="AA234">
        <v>223.37</v>
      </c>
      <c r="AB234">
        <v>0.25</v>
      </c>
      <c r="AC234">
        <f t="shared" si="54"/>
        <v>0.25</v>
      </c>
      <c r="AD234">
        <v>670.11</v>
      </c>
      <c r="AE234">
        <f t="shared" si="55"/>
        <v>670.11</v>
      </c>
      <c r="AF234">
        <v>559.57</v>
      </c>
      <c r="AG234">
        <v>110.54</v>
      </c>
      <c r="AH234">
        <f t="shared" si="56"/>
        <v>110.54</v>
      </c>
      <c r="AI234">
        <f t="shared" si="57"/>
        <v>0.164957991971467</v>
      </c>
      <c r="AJ234" t="s">
        <v>77</v>
      </c>
      <c r="AK234" t="str">
        <f t="shared" si="58"/>
        <v>Paid</v>
      </c>
      <c r="AL234" t="s">
        <v>78</v>
      </c>
      <c r="AM234" t="str">
        <f t="shared" si="59"/>
        <v>Completed</v>
      </c>
      <c r="AN234">
        <v>6</v>
      </c>
      <c r="AO234">
        <v>2025</v>
      </c>
      <c r="AP234" t="s">
        <v>79</v>
      </c>
    </row>
    <row r="235" spans="1:42">
      <c r="A235" t="s">
        <v>1286</v>
      </c>
      <c r="B235" s="3" t="s">
        <v>1287</v>
      </c>
      <c r="C235" s="3">
        <v>45579</v>
      </c>
      <c r="D235" t="s">
        <v>1288</v>
      </c>
      <c r="E235" s="3">
        <v>45579</v>
      </c>
      <c r="F235" t="s">
        <v>1289</v>
      </c>
      <c r="G235" t="s">
        <v>123</v>
      </c>
      <c r="H235" t="str">
        <f t="shared" si="45"/>
        <v>Vikram Iyer</v>
      </c>
      <c r="I235" t="s">
        <v>147</v>
      </c>
      <c r="J235" t="str">
        <f t="shared" si="46"/>
        <v>Corporate</v>
      </c>
      <c r="K235" t="s">
        <v>10</v>
      </c>
      <c r="L235" t="str">
        <f t="shared" si="47"/>
        <v>South</v>
      </c>
      <c r="M235" t="s">
        <v>272</v>
      </c>
      <c r="N235" t="str">
        <f t="shared" si="48"/>
        <v>Karnataka</v>
      </c>
      <c r="O235" t="s">
        <v>273</v>
      </c>
      <c r="P235" t="str">
        <f t="shared" si="49"/>
        <v>Bengaluru</v>
      </c>
      <c r="Q235" t="s">
        <v>19</v>
      </c>
      <c r="R235" t="str">
        <f t="shared" si="50"/>
        <v>Furniture</v>
      </c>
      <c r="S235" t="s">
        <v>245</v>
      </c>
      <c r="T235" t="str">
        <f t="shared" si="51"/>
        <v>Bookcases</v>
      </c>
      <c r="U235" t="s">
        <v>1290</v>
      </c>
      <c r="V235" t="str">
        <f t="shared" si="52"/>
        <v>Smart Bookcases 328</v>
      </c>
      <c r="X235" t="str">
        <f t="shared" si="53"/>
        <v/>
      </c>
      <c r="Y235">
        <v>0</v>
      </c>
      <c r="Z235">
        <v>8</v>
      </c>
      <c r="AA235">
        <v>3904.59</v>
      </c>
      <c r="AB235">
        <v>0</v>
      </c>
      <c r="AC235">
        <f t="shared" si="54"/>
        <v>0</v>
      </c>
      <c r="AD235">
        <v>31236.72</v>
      </c>
      <c r="AE235">
        <f t="shared" si="55"/>
        <v>31236.72</v>
      </c>
      <c r="AF235">
        <v>26377.7</v>
      </c>
      <c r="AG235">
        <v>4859.02</v>
      </c>
      <c r="AH235">
        <f t="shared" si="56"/>
        <v>4859.02</v>
      </c>
      <c r="AI235">
        <f t="shared" si="57"/>
        <v>0.155554744544242</v>
      </c>
      <c r="AJ235" t="s">
        <v>77</v>
      </c>
      <c r="AK235" t="str">
        <f t="shared" si="58"/>
        <v>Paid</v>
      </c>
      <c r="AL235" t="s">
        <v>78</v>
      </c>
      <c r="AM235" t="str">
        <f t="shared" si="59"/>
        <v>Completed</v>
      </c>
      <c r="AN235">
        <v>10</v>
      </c>
      <c r="AO235">
        <v>2024</v>
      </c>
      <c r="AP235" t="s">
        <v>79</v>
      </c>
    </row>
    <row r="236" spans="1:42">
      <c r="A236" t="s">
        <v>1291</v>
      </c>
      <c r="B236" s="3" t="s">
        <v>1292</v>
      </c>
      <c r="C236" s="3">
        <v>45537</v>
      </c>
      <c r="D236" t="s">
        <v>1293</v>
      </c>
      <c r="E236" s="3">
        <v>45538</v>
      </c>
      <c r="F236" t="s">
        <v>1294</v>
      </c>
      <c r="G236" t="s">
        <v>411</v>
      </c>
      <c r="H236" t="str">
        <f t="shared" si="45"/>
        <v>Kabir Singh</v>
      </c>
      <c r="I236" t="s">
        <v>154</v>
      </c>
      <c r="J236" t="str">
        <f t="shared" si="46"/>
        <v>Home Office</v>
      </c>
      <c r="K236" t="s">
        <v>8</v>
      </c>
      <c r="L236" t="str">
        <f t="shared" si="47"/>
        <v>North</v>
      </c>
      <c r="M236" t="s">
        <v>552</v>
      </c>
      <c r="N236" t="str">
        <f t="shared" si="48"/>
        <v>Delhi</v>
      </c>
      <c r="O236" t="s">
        <v>553</v>
      </c>
      <c r="P236" t="str">
        <f t="shared" si="49"/>
        <v>New Delhi</v>
      </c>
      <c r="Q236" t="s">
        <v>19</v>
      </c>
      <c r="R236" t="str">
        <f t="shared" si="50"/>
        <v>Furniture</v>
      </c>
      <c r="S236" t="s">
        <v>106</v>
      </c>
      <c r="T236" t="str">
        <f t="shared" si="51"/>
        <v>Furnishings</v>
      </c>
      <c r="U236" t="s">
        <v>1295</v>
      </c>
      <c r="V236" t="str">
        <f t="shared" si="52"/>
        <v>Eco Furnishings 981</v>
      </c>
      <c r="W236" t="s">
        <v>98</v>
      </c>
      <c r="X236" t="str">
        <f t="shared" si="53"/>
        <v>First Class</v>
      </c>
      <c r="Y236">
        <v>1</v>
      </c>
      <c r="Z236">
        <v>9</v>
      </c>
      <c r="AA236">
        <v>1353.61</v>
      </c>
      <c r="AB236">
        <v>0.1</v>
      </c>
      <c r="AC236">
        <f t="shared" si="54"/>
        <v>0.1</v>
      </c>
      <c r="AD236">
        <v>10964.24</v>
      </c>
      <c r="AE236">
        <f t="shared" si="55"/>
        <v>10964.241</v>
      </c>
      <c r="AF236">
        <v>9262.47</v>
      </c>
      <c r="AG236">
        <v>1701.77</v>
      </c>
      <c r="AH236">
        <f t="shared" si="56"/>
        <v>1701.771</v>
      </c>
      <c r="AI236">
        <f t="shared" si="57"/>
        <v>0.155211017342651</v>
      </c>
      <c r="AJ236" t="s">
        <v>77</v>
      </c>
      <c r="AK236" t="str">
        <f t="shared" si="58"/>
        <v>Paid</v>
      </c>
      <c r="AL236" t="s">
        <v>78</v>
      </c>
      <c r="AM236" t="str">
        <f t="shared" si="59"/>
        <v>Completed</v>
      </c>
      <c r="AN236">
        <v>9</v>
      </c>
      <c r="AO236">
        <v>2024</v>
      </c>
      <c r="AP236" t="s">
        <v>79</v>
      </c>
    </row>
    <row r="237" spans="1:42">
      <c r="A237" t="s">
        <v>1296</v>
      </c>
      <c r="B237" s="3" t="s">
        <v>1297</v>
      </c>
      <c r="C237" s="3">
        <v>45598</v>
      </c>
      <c r="D237" t="s">
        <v>1298</v>
      </c>
      <c r="E237" s="3">
        <v>45599</v>
      </c>
      <c r="F237" t="s">
        <v>1299</v>
      </c>
      <c r="G237" t="s">
        <v>188</v>
      </c>
      <c r="H237" t="str">
        <f t="shared" si="45"/>
        <v>Rahul Verma</v>
      </c>
      <c r="I237" t="s">
        <v>85</v>
      </c>
      <c r="J237" t="str">
        <f t="shared" si="46"/>
        <v>Small Business</v>
      </c>
      <c r="K237" t="s">
        <v>11</v>
      </c>
      <c r="L237" t="str">
        <f t="shared" si="47"/>
        <v>West</v>
      </c>
      <c r="M237" t="s">
        <v>72</v>
      </c>
      <c r="N237" t="str">
        <f t="shared" si="48"/>
        <v>Rajasthan</v>
      </c>
      <c r="O237" t="s">
        <v>175</v>
      </c>
      <c r="P237" t="str">
        <f t="shared" si="49"/>
        <v>Udaipur</v>
      </c>
      <c r="Q237" t="s">
        <v>22</v>
      </c>
      <c r="R237" t="str">
        <f t="shared" si="50"/>
        <v>Office Supplies</v>
      </c>
      <c r="S237" t="s">
        <v>196</v>
      </c>
      <c r="T237" t="str">
        <f t="shared" si="51"/>
        <v>Storage</v>
      </c>
      <c r="U237" t="s">
        <v>1300</v>
      </c>
      <c r="V237" t="str">
        <f t="shared" si="52"/>
        <v>Basic Storage 195</v>
      </c>
      <c r="W237" t="s">
        <v>108</v>
      </c>
      <c r="X237" t="str">
        <f t="shared" si="53"/>
        <v>Standard Class</v>
      </c>
      <c r="Y237">
        <v>1</v>
      </c>
      <c r="Z237">
        <v>6</v>
      </c>
      <c r="AA237">
        <v>2671.29</v>
      </c>
      <c r="AB237">
        <v>0.05</v>
      </c>
      <c r="AC237">
        <f t="shared" si="54"/>
        <v>0.05</v>
      </c>
      <c r="AD237">
        <v>15226.35</v>
      </c>
      <c r="AE237">
        <f t="shared" si="55"/>
        <v>15226.353</v>
      </c>
      <c r="AF237">
        <v>11145.28</v>
      </c>
      <c r="AG237">
        <v>4081.07</v>
      </c>
      <c r="AH237">
        <f t="shared" si="56"/>
        <v>4081.073</v>
      </c>
      <c r="AI237">
        <f t="shared" si="57"/>
        <v>0.268026953007066</v>
      </c>
      <c r="AJ237" t="s">
        <v>77</v>
      </c>
      <c r="AK237" t="str">
        <f t="shared" si="58"/>
        <v>Paid</v>
      </c>
      <c r="AL237" t="s">
        <v>78</v>
      </c>
      <c r="AM237" t="str">
        <f t="shared" si="59"/>
        <v>Completed</v>
      </c>
      <c r="AN237">
        <v>11</v>
      </c>
      <c r="AO237">
        <v>2024</v>
      </c>
      <c r="AP237" t="s">
        <v>79</v>
      </c>
    </row>
    <row r="238" spans="1:42">
      <c r="A238" t="s">
        <v>1301</v>
      </c>
      <c r="B238" s="3" t="s">
        <v>1288</v>
      </c>
      <c r="C238" s="3">
        <v>45579</v>
      </c>
      <c r="D238" t="s">
        <v>1302</v>
      </c>
      <c r="E238" s="3">
        <v>45586</v>
      </c>
      <c r="F238" t="s">
        <v>1303</v>
      </c>
      <c r="G238" t="s">
        <v>182</v>
      </c>
      <c r="H238" t="str">
        <f t="shared" si="45"/>
        <v>Priya Menon</v>
      </c>
      <c r="I238" t="s">
        <v>147</v>
      </c>
      <c r="J238" t="str">
        <f t="shared" si="46"/>
        <v>Corporate</v>
      </c>
      <c r="K238" t="s">
        <v>8</v>
      </c>
      <c r="L238" t="str">
        <f t="shared" si="47"/>
        <v>North</v>
      </c>
      <c r="M238" t="s">
        <v>214</v>
      </c>
      <c r="N238" t="str">
        <f t="shared" si="48"/>
        <v>Uttar Pradesh</v>
      </c>
      <c r="O238" t="s">
        <v>215</v>
      </c>
      <c r="P238" t="str">
        <f t="shared" si="49"/>
        <v>Noida</v>
      </c>
      <c r="Q238" t="s">
        <v>19</v>
      </c>
      <c r="R238" t="str">
        <f t="shared" si="50"/>
        <v>Furniture</v>
      </c>
      <c r="S238" t="s">
        <v>245</v>
      </c>
      <c r="T238" t="str">
        <f t="shared" si="51"/>
        <v>Bookcases</v>
      </c>
      <c r="U238" t="s">
        <v>1304</v>
      </c>
      <c r="V238" t="str">
        <f t="shared" si="52"/>
        <v>Elite Bookcases 907</v>
      </c>
      <c r="W238" t="s">
        <v>98</v>
      </c>
      <c r="X238" t="str">
        <f t="shared" si="53"/>
        <v>First Class</v>
      </c>
      <c r="Y238">
        <v>7</v>
      </c>
      <c r="Z238">
        <v>6</v>
      </c>
      <c r="AA238">
        <v>4062.78</v>
      </c>
      <c r="AB238">
        <v>0</v>
      </c>
      <c r="AC238">
        <f t="shared" si="54"/>
        <v>0</v>
      </c>
      <c r="AD238">
        <v>24376.68</v>
      </c>
      <c r="AE238">
        <f t="shared" si="55"/>
        <v>24376.68</v>
      </c>
      <c r="AF238">
        <v>18533.39</v>
      </c>
      <c r="AG238">
        <v>5843.29</v>
      </c>
      <c r="AH238">
        <f t="shared" si="56"/>
        <v>5843.29</v>
      </c>
      <c r="AI238">
        <f t="shared" si="57"/>
        <v>0.23970819652225</v>
      </c>
      <c r="AJ238" t="s">
        <v>77</v>
      </c>
      <c r="AK238" t="str">
        <f t="shared" si="58"/>
        <v>Paid</v>
      </c>
      <c r="AL238" t="s">
        <v>78</v>
      </c>
      <c r="AM238" t="str">
        <f t="shared" si="59"/>
        <v>Completed</v>
      </c>
      <c r="AN238">
        <v>10</v>
      </c>
      <c r="AO238">
        <v>2024</v>
      </c>
      <c r="AP238" t="s">
        <v>79</v>
      </c>
    </row>
    <row r="239" spans="1:42">
      <c r="A239" t="s">
        <v>1305</v>
      </c>
      <c r="B239" s="3" t="s">
        <v>1306</v>
      </c>
      <c r="C239" s="3">
        <v>45531</v>
      </c>
      <c r="D239" t="s">
        <v>1306</v>
      </c>
      <c r="E239" s="3">
        <v>45531</v>
      </c>
      <c r="F239" t="s">
        <v>1307</v>
      </c>
      <c r="G239" t="s">
        <v>84</v>
      </c>
      <c r="H239" t="str">
        <f t="shared" si="45"/>
        <v>Mira Das</v>
      </c>
      <c r="I239" t="s">
        <v>71</v>
      </c>
      <c r="J239" t="str">
        <f t="shared" si="46"/>
        <v>Consumer</v>
      </c>
      <c r="K239" t="s">
        <v>8</v>
      </c>
      <c r="L239" t="str">
        <f t="shared" si="47"/>
        <v>North</v>
      </c>
      <c r="M239" t="s">
        <v>366</v>
      </c>
      <c r="N239" t="str">
        <f t="shared" si="48"/>
        <v>Haryana</v>
      </c>
      <c r="O239" t="s">
        <v>367</v>
      </c>
      <c r="P239" t="str">
        <f t="shared" si="49"/>
        <v>Gurugram</v>
      </c>
      <c r="Q239" t="s">
        <v>24</v>
      </c>
      <c r="R239" t="str">
        <f t="shared" si="50"/>
        <v>Technology</v>
      </c>
      <c r="S239" t="s">
        <v>133</v>
      </c>
      <c r="T239" t="str">
        <f t="shared" si="51"/>
        <v>Copiers</v>
      </c>
      <c r="U239" t="s">
        <v>1308</v>
      </c>
      <c r="V239" t="str">
        <f t="shared" si="52"/>
        <v>Smart Copiers 471</v>
      </c>
      <c r="W239" t="s">
        <v>108</v>
      </c>
      <c r="X239" t="str">
        <f t="shared" si="53"/>
        <v>Standard Class</v>
      </c>
      <c r="Y239">
        <v>0</v>
      </c>
      <c r="Z239">
        <v>9</v>
      </c>
      <c r="AA239">
        <v>2330.3</v>
      </c>
      <c r="AB239">
        <v>0</v>
      </c>
      <c r="AC239">
        <f t="shared" si="54"/>
        <v>0</v>
      </c>
      <c r="AD239">
        <v>20972.7</v>
      </c>
      <c r="AE239">
        <f t="shared" si="55"/>
        <v>20972.7</v>
      </c>
      <c r="AF239">
        <v>13504.88</v>
      </c>
      <c r="AG239">
        <v>7467.82</v>
      </c>
      <c r="AH239">
        <f t="shared" si="56"/>
        <v>7467.82</v>
      </c>
      <c r="AI239">
        <f t="shared" si="57"/>
        <v>0.356073371573522</v>
      </c>
      <c r="AJ239" t="s">
        <v>77</v>
      </c>
      <c r="AK239" t="str">
        <f t="shared" si="58"/>
        <v>Paid</v>
      </c>
      <c r="AL239" t="s">
        <v>78</v>
      </c>
      <c r="AM239" t="str">
        <f t="shared" si="59"/>
        <v>Completed</v>
      </c>
      <c r="AN239">
        <v>8</v>
      </c>
      <c r="AO239">
        <v>2024</v>
      </c>
      <c r="AP239" t="s">
        <v>79</v>
      </c>
    </row>
    <row r="240" spans="1:42">
      <c r="A240" t="s">
        <v>1309</v>
      </c>
      <c r="B240" s="3" t="s">
        <v>1310</v>
      </c>
      <c r="C240" s="3">
        <v>45303</v>
      </c>
      <c r="D240" t="s">
        <v>1311</v>
      </c>
      <c r="E240" s="3">
        <v>45308</v>
      </c>
      <c r="F240" t="s">
        <v>1312</v>
      </c>
      <c r="G240" t="s">
        <v>103</v>
      </c>
      <c r="H240" t="str">
        <f t="shared" si="45"/>
        <v>Arjun Bose</v>
      </c>
      <c r="I240" t="s">
        <v>71</v>
      </c>
      <c r="J240" t="str">
        <f t="shared" si="46"/>
        <v>Consumer</v>
      </c>
      <c r="K240" t="s">
        <v>10</v>
      </c>
      <c r="L240" t="str">
        <f t="shared" si="47"/>
        <v>South</v>
      </c>
      <c r="M240" t="s">
        <v>139</v>
      </c>
      <c r="N240" t="str">
        <f t="shared" si="48"/>
        <v>Andhra Pradesh</v>
      </c>
      <c r="O240" t="s">
        <v>140</v>
      </c>
      <c r="P240" t="str">
        <f t="shared" si="49"/>
        <v>Vijayawada</v>
      </c>
      <c r="Q240" t="s">
        <v>22</v>
      </c>
      <c r="R240" t="str">
        <f t="shared" si="50"/>
        <v>Office Supplies</v>
      </c>
      <c r="S240" t="s">
        <v>196</v>
      </c>
      <c r="T240" t="str">
        <f t="shared" si="51"/>
        <v>Storage</v>
      </c>
      <c r="U240" t="s">
        <v>1313</v>
      </c>
      <c r="V240" t="str">
        <f t="shared" si="52"/>
        <v>Prime Storage 625</v>
      </c>
      <c r="W240" t="s">
        <v>98</v>
      </c>
      <c r="X240" t="str">
        <f t="shared" si="53"/>
        <v>First Class</v>
      </c>
      <c r="Y240">
        <v>5</v>
      </c>
      <c r="Z240">
        <v>7</v>
      </c>
      <c r="AA240">
        <v>4005.05</v>
      </c>
      <c r="AB240">
        <v>0.55</v>
      </c>
      <c r="AC240">
        <f t="shared" si="54"/>
        <v>0.55</v>
      </c>
      <c r="AD240">
        <v>26633.58</v>
      </c>
      <c r="AE240">
        <f t="shared" si="55"/>
        <v>12615.9075</v>
      </c>
      <c r="AF240">
        <v>18838.75</v>
      </c>
      <c r="AG240">
        <v>7794.83</v>
      </c>
      <c r="AH240">
        <f t="shared" si="56"/>
        <v>-6222.8425</v>
      </c>
      <c r="AI240">
        <f t="shared" si="57"/>
        <v>-0.493253656148002</v>
      </c>
      <c r="AJ240" t="s">
        <v>77</v>
      </c>
      <c r="AK240" t="str">
        <f t="shared" si="58"/>
        <v>Paid</v>
      </c>
      <c r="AL240" t="s">
        <v>78</v>
      </c>
      <c r="AM240" t="str">
        <f t="shared" si="59"/>
        <v>Completed</v>
      </c>
      <c r="AN240">
        <v>1</v>
      </c>
      <c r="AO240">
        <v>2024</v>
      </c>
      <c r="AP240" t="s">
        <v>79</v>
      </c>
    </row>
    <row r="241" spans="1:42">
      <c r="A241" t="s">
        <v>1314</v>
      </c>
      <c r="B241" s="3" t="s">
        <v>1315</v>
      </c>
      <c r="C241" s="3">
        <v>45556</v>
      </c>
      <c r="D241" t="s">
        <v>1185</v>
      </c>
      <c r="E241" s="3">
        <v>45556</v>
      </c>
      <c r="F241" t="s">
        <v>1316</v>
      </c>
      <c r="G241" t="s">
        <v>411</v>
      </c>
      <c r="H241" t="str">
        <f t="shared" si="45"/>
        <v>Kabir Singh</v>
      </c>
      <c r="I241" t="s">
        <v>147</v>
      </c>
      <c r="J241" t="str">
        <f t="shared" si="46"/>
        <v>Corporate</v>
      </c>
      <c r="K241" t="s">
        <v>10</v>
      </c>
      <c r="L241" t="str">
        <f t="shared" si="47"/>
        <v>South</v>
      </c>
      <c r="M241" t="s">
        <v>272</v>
      </c>
      <c r="N241" t="str">
        <f t="shared" si="48"/>
        <v>Karnataka</v>
      </c>
      <c r="O241" t="s">
        <v>273</v>
      </c>
      <c r="P241" t="str">
        <f t="shared" si="49"/>
        <v>Bengaluru</v>
      </c>
      <c r="Q241" t="s">
        <v>24</v>
      </c>
      <c r="R241" t="str">
        <f t="shared" si="50"/>
        <v>Technology</v>
      </c>
      <c r="S241" t="s">
        <v>427</v>
      </c>
      <c r="T241" t="str">
        <f t="shared" si="51"/>
        <v>Machines</v>
      </c>
      <c r="U241" t="s">
        <v>1317</v>
      </c>
      <c r="V241" t="str">
        <f t="shared" si="52"/>
        <v>Smart Machines 801</v>
      </c>
      <c r="W241" t="s">
        <v>98</v>
      </c>
      <c r="X241" t="str">
        <f t="shared" si="53"/>
        <v>First Class</v>
      </c>
      <c r="Y241">
        <v>0</v>
      </c>
      <c r="Z241">
        <v>2</v>
      </c>
      <c r="AA241">
        <v>1960.06</v>
      </c>
      <c r="AB241">
        <v>0.2</v>
      </c>
      <c r="AC241">
        <f t="shared" si="54"/>
        <v>0.2</v>
      </c>
      <c r="AD241">
        <v>3136.1</v>
      </c>
      <c r="AE241">
        <f t="shared" si="55"/>
        <v>3136.096</v>
      </c>
      <c r="AF241">
        <v>2279.49</v>
      </c>
      <c r="AG241">
        <v>856.61</v>
      </c>
      <c r="AH241">
        <f t="shared" si="56"/>
        <v>856.606</v>
      </c>
      <c r="AI241">
        <f t="shared" si="57"/>
        <v>0.273144061916472</v>
      </c>
      <c r="AJ241" t="s">
        <v>77</v>
      </c>
      <c r="AK241" t="str">
        <f t="shared" si="58"/>
        <v>Paid</v>
      </c>
      <c r="AL241" t="s">
        <v>78</v>
      </c>
      <c r="AM241" t="str">
        <f t="shared" si="59"/>
        <v>Completed</v>
      </c>
      <c r="AN241">
        <v>9</v>
      </c>
      <c r="AO241">
        <v>2024</v>
      </c>
      <c r="AP241" t="s">
        <v>79</v>
      </c>
    </row>
    <row r="242" spans="1:42">
      <c r="A242" t="s">
        <v>1318</v>
      </c>
      <c r="B242" s="3" t="s">
        <v>1319</v>
      </c>
      <c r="C242" s="3">
        <v>45643</v>
      </c>
      <c r="D242" t="s">
        <v>874</v>
      </c>
      <c r="E242" s="3">
        <v>45649</v>
      </c>
      <c r="F242" t="s">
        <v>1320</v>
      </c>
      <c r="G242" t="s">
        <v>202</v>
      </c>
      <c r="H242" t="str">
        <f t="shared" si="45"/>
        <v>Aarav Sharma</v>
      </c>
      <c r="I242" t="s">
        <v>147</v>
      </c>
      <c r="J242" t="str">
        <f t="shared" si="46"/>
        <v>Corporate</v>
      </c>
      <c r="K242" t="s">
        <v>10</v>
      </c>
      <c r="L242" t="str">
        <f t="shared" si="47"/>
        <v>South</v>
      </c>
      <c r="M242" t="s">
        <v>104</v>
      </c>
      <c r="N242" t="str">
        <f t="shared" si="48"/>
        <v>Telangana</v>
      </c>
      <c r="O242" t="s">
        <v>105</v>
      </c>
      <c r="P242" t="str">
        <f t="shared" si="49"/>
        <v>Hyderabad</v>
      </c>
      <c r="Q242" t="s">
        <v>22</v>
      </c>
      <c r="R242" t="str">
        <f t="shared" si="50"/>
        <v>Office Supplies</v>
      </c>
      <c r="S242" t="s">
        <v>239</v>
      </c>
      <c r="T242" t="str">
        <f t="shared" si="51"/>
        <v>Binders</v>
      </c>
      <c r="U242" t="s">
        <v>1321</v>
      </c>
      <c r="V242" t="str">
        <f t="shared" si="52"/>
        <v>Max Binders 170</v>
      </c>
      <c r="W242" t="s">
        <v>98</v>
      </c>
      <c r="X242" t="str">
        <f t="shared" si="53"/>
        <v>First Class</v>
      </c>
      <c r="Y242">
        <v>6</v>
      </c>
      <c r="Z242">
        <v>9</v>
      </c>
      <c r="AA242">
        <v>2315.1</v>
      </c>
      <c r="AB242">
        <v>0</v>
      </c>
      <c r="AC242">
        <f t="shared" si="54"/>
        <v>0</v>
      </c>
      <c r="AD242">
        <v>20835.9</v>
      </c>
      <c r="AE242">
        <f t="shared" si="55"/>
        <v>20835.9</v>
      </c>
      <c r="AF242">
        <v>13928.19</v>
      </c>
      <c r="AG242">
        <v>6907.71</v>
      </c>
      <c r="AH242">
        <f t="shared" si="56"/>
        <v>6907.71</v>
      </c>
      <c r="AI242">
        <f t="shared" si="57"/>
        <v>0.331529235598174</v>
      </c>
      <c r="AJ242" t="s">
        <v>77</v>
      </c>
      <c r="AK242" t="str">
        <f t="shared" si="58"/>
        <v>Paid</v>
      </c>
      <c r="AL242" t="s">
        <v>78</v>
      </c>
      <c r="AM242" t="str">
        <f t="shared" si="59"/>
        <v>Completed</v>
      </c>
      <c r="AN242">
        <v>12</v>
      </c>
      <c r="AO242">
        <v>2024</v>
      </c>
      <c r="AP242" t="s">
        <v>79</v>
      </c>
    </row>
    <row r="243" spans="1:42">
      <c r="A243" t="s">
        <v>1322</v>
      </c>
      <c r="B243" s="3" t="s">
        <v>1323</v>
      </c>
      <c r="C243" s="3">
        <v>45844</v>
      </c>
      <c r="D243" t="s">
        <v>1324</v>
      </c>
      <c r="E243" s="3">
        <v>45844</v>
      </c>
      <c r="F243" t="s">
        <v>1325</v>
      </c>
      <c r="G243" t="s">
        <v>208</v>
      </c>
      <c r="H243" t="str">
        <f t="shared" si="45"/>
        <v>Sneha Kapoor</v>
      </c>
      <c r="I243" t="s">
        <v>147</v>
      </c>
      <c r="J243" t="str">
        <f t="shared" si="46"/>
        <v>Corporate</v>
      </c>
      <c r="K243" t="s">
        <v>8</v>
      </c>
      <c r="L243" t="str">
        <f t="shared" si="47"/>
        <v>North</v>
      </c>
      <c r="M243" t="s">
        <v>366</v>
      </c>
      <c r="N243" t="str">
        <f t="shared" si="48"/>
        <v>Haryana</v>
      </c>
      <c r="O243" t="s">
        <v>367</v>
      </c>
      <c r="P243" t="str">
        <f t="shared" si="49"/>
        <v>Gurugram</v>
      </c>
      <c r="Q243" t="s">
        <v>22</v>
      </c>
      <c r="R243" t="str">
        <f t="shared" si="50"/>
        <v>Office Supplies</v>
      </c>
      <c r="S243" t="s">
        <v>196</v>
      </c>
      <c r="T243" t="str">
        <f t="shared" si="51"/>
        <v>Storage</v>
      </c>
      <c r="U243" t="s">
        <v>1326</v>
      </c>
      <c r="V243" t="str">
        <f t="shared" si="52"/>
        <v>Basic Storage 737</v>
      </c>
      <c r="W243" t="s">
        <v>108</v>
      </c>
      <c r="X243" t="str">
        <f t="shared" si="53"/>
        <v>Standard Class</v>
      </c>
      <c r="Y243">
        <v>0</v>
      </c>
      <c r="Z243">
        <v>1</v>
      </c>
      <c r="AA243">
        <v>1617.2</v>
      </c>
      <c r="AB243">
        <v>0.25</v>
      </c>
      <c r="AC243">
        <f t="shared" si="54"/>
        <v>0.25</v>
      </c>
      <c r="AD243">
        <v>1212.9</v>
      </c>
      <c r="AE243">
        <f t="shared" si="55"/>
        <v>1212.9</v>
      </c>
      <c r="AF243">
        <v>690.52</v>
      </c>
      <c r="AG243">
        <v>522.38</v>
      </c>
      <c r="AH243">
        <f t="shared" si="56"/>
        <v>522.38</v>
      </c>
      <c r="AI243">
        <f t="shared" si="57"/>
        <v>0.430686783741446</v>
      </c>
      <c r="AJ243" t="s">
        <v>177</v>
      </c>
      <c r="AK243" t="str">
        <f t="shared" si="58"/>
        <v>Pending</v>
      </c>
      <c r="AL243" t="s">
        <v>164</v>
      </c>
      <c r="AM243" t="str">
        <f t="shared" si="59"/>
        <v>Returned</v>
      </c>
      <c r="AN243">
        <v>7</v>
      </c>
      <c r="AO243">
        <v>2025</v>
      </c>
      <c r="AP243" t="s">
        <v>79</v>
      </c>
    </row>
    <row r="244" spans="1:42">
      <c r="A244" t="s">
        <v>1327</v>
      </c>
      <c r="B244" s="3" t="s">
        <v>1328</v>
      </c>
      <c r="C244" s="3">
        <v>45695</v>
      </c>
      <c r="D244" t="s">
        <v>1329</v>
      </c>
      <c r="E244" s="3">
        <v>45695</v>
      </c>
      <c r="F244" t="s">
        <v>1330</v>
      </c>
      <c r="G244" t="s">
        <v>103</v>
      </c>
      <c r="H244" t="str">
        <f t="shared" si="45"/>
        <v>Arjun Bose</v>
      </c>
      <c r="I244" t="s">
        <v>71</v>
      </c>
      <c r="J244" t="str">
        <f t="shared" si="46"/>
        <v>Consumer</v>
      </c>
      <c r="K244" t="s">
        <v>8</v>
      </c>
      <c r="L244" t="str">
        <f t="shared" si="47"/>
        <v>North</v>
      </c>
      <c r="M244" t="s">
        <v>214</v>
      </c>
      <c r="N244" t="str">
        <f t="shared" si="48"/>
        <v>Uttar Pradesh</v>
      </c>
      <c r="O244" t="s">
        <v>215</v>
      </c>
      <c r="P244" t="str">
        <f t="shared" si="49"/>
        <v>Noida</v>
      </c>
      <c r="Q244" t="s">
        <v>22</v>
      </c>
      <c r="R244" t="str">
        <f t="shared" si="50"/>
        <v>Office Supplies</v>
      </c>
      <c r="S244" t="s">
        <v>96</v>
      </c>
      <c r="T244" t="str">
        <f t="shared" si="51"/>
        <v>Art</v>
      </c>
      <c r="U244" t="s">
        <v>1331</v>
      </c>
      <c r="V244" t="str">
        <f t="shared" si="52"/>
        <v>Classic Art 126</v>
      </c>
      <c r="W244" t="s">
        <v>76</v>
      </c>
      <c r="X244" t="str">
        <f t="shared" si="53"/>
        <v>Second Class</v>
      </c>
      <c r="Y244">
        <v>0</v>
      </c>
      <c r="Z244">
        <v>3</v>
      </c>
      <c r="AA244">
        <v>1999.24</v>
      </c>
      <c r="AB244">
        <v>0.05</v>
      </c>
      <c r="AC244">
        <f t="shared" si="54"/>
        <v>0.05</v>
      </c>
      <c r="AD244">
        <v>5697.83</v>
      </c>
      <c r="AE244">
        <f t="shared" si="55"/>
        <v>5697.834</v>
      </c>
      <c r="AF244">
        <v>4251.5</v>
      </c>
      <c r="AG244">
        <v>1446.33</v>
      </c>
      <c r="AH244">
        <f t="shared" si="56"/>
        <v>1446.334</v>
      </c>
      <c r="AI244">
        <f t="shared" si="57"/>
        <v>0.253839265938601</v>
      </c>
      <c r="AJ244" t="s">
        <v>77</v>
      </c>
      <c r="AK244" t="str">
        <f t="shared" si="58"/>
        <v>Paid</v>
      </c>
      <c r="AL244" t="s">
        <v>78</v>
      </c>
      <c r="AM244" t="str">
        <f t="shared" si="59"/>
        <v>Completed</v>
      </c>
      <c r="AN244">
        <v>2</v>
      </c>
      <c r="AO244">
        <v>2025</v>
      </c>
      <c r="AP244" t="s">
        <v>79</v>
      </c>
    </row>
    <row r="245" spans="1:42">
      <c r="A245" t="s">
        <v>1332</v>
      </c>
      <c r="B245" s="3" t="s">
        <v>326</v>
      </c>
      <c r="C245" s="3">
        <v>45867</v>
      </c>
      <c r="D245" t="s">
        <v>1333</v>
      </c>
      <c r="E245" s="3">
        <v>45871</v>
      </c>
      <c r="F245" t="s">
        <v>1334</v>
      </c>
      <c r="G245" t="s">
        <v>208</v>
      </c>
      <c r="H245" t="str">
        <f t="shared" si="45"/>
        <v>Sneha Kapoor</v>
      </c>
      <c r="I245" t="s">
        <v>85</v>
      </c>
      <c r="J245" t="str">
        <f t="shared" si="46"/>
        <v>Small Business</v>
      </c>
      <c r="L245" t="str">
        <f t="shared" si="47"/>
        <v/>
      </c>
      <c r="M245" t="s">
        <v>124</v>
      </c>
      <c r="N245" t="str">
        <f t="shared" si="48"/>
        <v>Madhya Pradesh</v>
      </c>
      <c r="O245" t="s">
        <v>125</v>
      </c>
      <c r="P245" t="str">
        <f t="shared" si="49"/>
        <v>Indore</v>
      </c>
      <c r="Q245" t="s">
        <v>24</v>
      </c>
      <c r="R245" t="str">
        <f t="shared" si="50"/>
        <v>Technology</v>
      </c>
      <c r="S245" t="s">
        <v>126</v>
      </c>
      <c r="T245" t="str">
        <f t="shared" si="51"/>
        <v>Accessories</v>
      </c>
      <c r="U245" t="s">
        <v>1335</v>
      </c>
      <c r="V245" t="str">
        <f t="shared" si="52"/>
        <v>Prime Accessories 243</v>
      </c>
      <c r="W245" t="s">
        <v>98</v>
      </c>
      <c r="X245" t="str">
        <f t="shared" si="53"/>
        <v>First Class</v>
      </c>
      <c r="Y245">
        <v>4</v>
      </c>
      <c r="Z245">
        <v>1</v>
      </c>
      <c r="AA245">
        <v>4499.46</v>
      </c>
      <c r="AB245">
        <v>0.1</v>
      </c>
      <c r="AC245">
        <f t="shared" si="54"/>
        <v>0.1</v>
      </c>
      <c r="AD245">
        <v>4049.51</v>
      </c>
      <c r="AE245">
        <f t="shared" si="55"/>
        <v>4049.514</v>
      </c>
      <c r="AF245">
        <v>2509.2</v>
      </c>
      <c r="AG245">
        <v>1540.31</v>
      </c>
      <c r="AH245">
        <f t="shared" si="56"/>
        <v>1540.314</v>
      </c>
      <c r="AI245">
        <f t="shared" si="57"/>
        <v>0.380370088855107</v>
      </c>
      <c r="AJ245" t="s">
        <v>77</v>
      </c>
      <c r="AK245" t="str">
        <f t="shared" si="58"/>
        <v>Paid</v>
      </c>
      <c r="AL245" t="s">
        <v>1076</v>
      </c>
      <c r="AM245" t="str">
        <f t="shared" si="59"/>
        <v>Completed</v>
      </c>
      <c r="AN245">
        <v>7</v>
      </c>
      <c r="AO245">
        <v>2025</v>
      </c>
      <c r="AP245" t="s">
        <v>79</v>
      </c>
    </row>
    <row r="246" spans="1:42">
      <c r="A246" t="s">
        <v>1336</v>
      </c>
      <c r="B246" s="3" t="s">
        <v>683</v>
      </c>
      <c r="C246" s="3">
        <v>45527</v>
      </c>
      <c r="D246" t="s">
        <v>1337</v>
      </c>
      <c r="E246" s="3">
        <v>45528</v>
      </c>
      <c r="F246" t="s">
        <v>1338</v>
      </c>
      <c r="G246" t="s">
        <v>132</v>
      </c>
      <c r="H246" t="str">
        <f t="shared" si="45"/>
        <v>Neha Gupta</v>
      </c>
      <c r="I246" t="s">
        <v>71</v>
      </c>
      <c r="J246" t="str">
        <f t="shared" si="46"/>
        <v>Consumer</v>
      </c>
      <c r="K246" t="s">
        <v>10</v>
      </c>
      <c r="L246" t="str">
        <f t="shared" si="47"/>
        <v>South</v>
      </c>
      <c r="M246" t="s">
        <v>104</v>
      </c>
      <c r="N246" t="str">
        <f t="shared" si="48"/>
        <v>Telangana</v>
      </c>
      <c r="O246" t="s">
        <v>105</v>
      </c>
      <c r="P246" t="str">
        <f t="shared" si="49"/>
        <v>Hyderabad</v>
      </c>
      <c r="Q246" t="s">
        <v>19</v>
      </c>
      <c r="R246" t="str">
        <f t="shared" si="50"/>
        <v>Furniture</v>
      </c>
      <c r="S246" t="s">
        <v>245</v>
      </c>
      <c r="T246" t="str">
        <f t="shared" si="51"/>
        <v>Bookcases</v>
      </c>
      <c r="U246" t="s">
        <v>1339</v>
      </c>
      <c r="V246" t="str">
        <f t="shared" si="52"/>
        <v>Eco Bookcases 768</v>
      </c>
      <c r="W246" t="s">
        <v>90</v>
      </c>
      <c r="X246" t="str">
        <f t="shared" si="53"/>
        <v>Same Day</v>
      </c>
      <c r="Y246">
        <v>1</v>
      </c>
      <c r="Z246">
        <v>6</v>
      </c>
      <c r="AA246">
        <v>1021.89</v>
      </c>
      <c r="AB246">
        <v>0</v>
      </c>
      <c r="AC246">
        <f t="shared" si="54"/>
        <v>0</v>
      </c>
      <c r="AD246">
        <v>6131.34</v>
      </c>
      <c r="AE246">
        <f t="shared" si="55"/>
        <v>6131.34</v>
      </c>
      <c r="AF246">
        <v>4060.88</v>
      </c>
      <c r="AG246">
        <v>2070.46</v>
      </c>
      <c r="AH246">
        <f t="shared" si="56"/>
        <v>2070.46</v>
      </c>
      <c r="AI246">
        <f t="shared" si="57"/>
        <v>0.337684747542951</v>
      </c>
      <c r="AJ246" t="s">
        <v>77</v>
      </c>
      <c r="AK246" t="str">
        <f t="shared" si="58"/>
        <v>Paid</v>
      </c>
      <c r="AL246" t="s">
        <v>78</v>
      </c>
      <c r="AM246" t="str">
        <f t="shared" si="59"/>
        <v>Completed</v>
      </c>
      <c r="AN246">
        <v>8</v>
      </c>
      <c r="AO246">
        <v>2024</v>
      </c>
      <c r="AP246" t="s">
        <v>79</v>
      </c>
    </row>
    <row r="247" spans="1:42">
      <c r="A247" t="s">
        <v>1340</v>
      </c>
      <c r="B247" s="3" t="s">
        <v>691</v>
      </c>
      <c r="C247" s="3">
        <v>45583</v>
      </c>
      <c r="D247" t="s">
        <v>922</v>
      </c>
      <c r="E247" s="3">
        <v>45589</v>
      </c>
      <c r="F247" t="s">
        <v>1341</v>
      </c>
      <c r="G247" t="s">
        <v>132</v>
      </c>
      <c r="H247" t="str">
        <f t="shared" si="45"/>
        <v>Neha Gupta</v>
      </c>
      <c r="I247" t="s">
        <v>154</v>
      </c>
      <c r="J247" t="str">
        <f t="shared" si="46"/>
        <v>Home Office</v>
      </c>
      <c r="K247" t="s">
        <v>10</v>
      </c>
      <c r="L247" t="str">
        <f t="shared" si="47"/>
        <v>South</v>
      </c>
      <c r="M247" t="s">
        <v>285</v>
      </c>
      <c r="N247" t="str">
        <f t="shared" si="48"/>
        <v>Kerala</v>
      </c>
      <c r="O247" t="s">
        <v>286</v>
      </c>
      <c r="P247" t="str">
        <f t="shared" si="49"/>
        <v>Kochi</v>
      </c>
      <c r="Q247" t="s">
        <v>1342</v>
      </c>
      <c r="R247" t="str">
        <f t="shared" si="50"/>
        <v>Furniture</v>
      </c>
      <c r="S247" t="s">
        <v>116</v>
      </c>
      <c r="T247" t="str">
        <f t="shared" si="51"/>
        <v>Chairs</v>
      </c>
      <c r="U247" t="s">
        <v>1343</v>
      </c>
      <c r="V247" t="str">
        <f t="shared" si="52"/>
        <v>Pro Chairs 316</v>
      </c>
      <c r="W247" t="s">
        <v>76</v>
      </c>
      <c r="X247" t="str">
        <f t="shared" si="53"/>
        <v>Second Class</v>
      </c>
      <c r="Y247">
        <v>6</v>
      </c>
      <c r="Z247">
        <v>3</v>
      </c>
      <c r="AA247">
        <v>3275.93</v>
      </c>
      <c r="AB247">
        <v>0</v>
      </c>
      <c r="AC247">
        <f t="shared" si="54"/>
        <v>0</v>
      </c>
      <c r="AD247">
        <v>9827.79</v>
      </c>
      <c r="AE247">
        <f t="shared" si="55"/>
        <v>9827.79</v>
      </c>
      <c r="AF247">
        <v>5478.28</v>
      </c>
      <c r="AG247">
        <v>4349.51</v>
      </c>
      <c r="AH247">
        <f t="shared" si="56"/>
        <v>4349.51</v>
      </c>
      <c r="AI247">
        <f t="shared" si="57"/>
        <v>0.442572541741327</v>
      </c>
      <c r="AJ247" t="s">
        <v>77</v>
      </c>
      <c r="AK247" t="str">
        <f t="shared" si="58"/>
        <v>Paid</v>
      </c>
      <c r="AL247" t="s">
        <v>78</v>
      </c>
      <c r="AM247" t="str">
        <f t="shared" si="59"/>
        <v>Completed</v>
      </c>
      <c r="AN247">
        <v>10</v>
      </c>
      <c r="AO247">
        <v>2024</v>
      </c>
      <c r="AP247" t="s">
        <v>79</v>
      </c>
    </row>
    <row r="248" spans="1:42">
      <c r="A248" t="s">
        <v>1344</v>
      </c>
      <c r="B248" s="3" t="s">
        <v>1345</v>
      </c>
      <c r="C248" s="3">
        <v>45416</v>
      </c>
      <c r="D248" t="s">
        <v>1346</v>
      </c>
      <c r="E248" s="3">
        <v>45421</v>
      </c>
      <c r="F248" t="s">
        <v>1347</v>
      </c>
      <c r="G248" t="s">
        <v>113</v>
      </c>
      <c r="H248" t="str">
        <f t="shared" si="45"/>
        <v>Ananya Rao</v>
      </c>
      <c r="I248" t="s">
        <v>147</v>
      </c>
      <c r="J248" t="str">
        <f t="shared" si="46"/>
        <v>Corporate</v>
      </c>
      <c r="K248" t="s">
        <v>8</v>
      </c>
      <c r="L248" t="str">
        <f t="shared" si="47"/>
        <v>North</v>
      </c>
      <c r="M248" t="s">
        <v>194</v>
      </c>
      <c r="N248" t="str">
        <f t="shared" si="48"/>
        <v>Punjab</v>
      </c>
      <c r="O248" t="s">
        <v>195</v>
      </c>
      <c r="P248" t="str">
        <f t="shared" si="49"/>
        <v>Ludhiana</v>
      </c>
      <c r="Q248" t="s">
        <v>24</v>
      </c>
      <c r="R248" t="str">
        <f t="shared" si="50"/>
        <v>Technology</v>
      </c>
      <c r="S248" t="s">
        <v>427</v>
      </c>
      <c r="T248" t="str">
        <f t="shared" si="51"/>
        <v>Machines</v>
      </c>
      <c r="U248" t="s">
        <v>1348</v>
      </c>
      <c r="V248" t="str">
        <f t="shared" si="52"/>
        <v>Classic Machines 819</v>
      </c>
      <c r="W248" t="s">
        <v>90</v>
      </c>
      <c r="X248" t="str">
        <f t="shared" si="53"/>
        <v>Same Day</v>
      </c>
      <c r="Y248">
        <v>5</v>
      </c>
      <c r="Z248">
        <v>3</v>
      </c>
      <c r="AA248">
        <v>231.95</v>
      </c>
      <c r="AB248">
        <v>0.25</v>
      </c>
      <c r="AC248">
        <f t="shared" si="54"/>
        <v>0.25</v>
      </c>
      <c r="AD248">
        <v>521.89</v>
      </c>
      <c r="AE248">
        <f t="shared" si="55"/>
        <v>521.8875</v>
      </c>
      <c r="AF248">
        <v>444.52</v>
      </c>
      <c r="AG248">
        <v>77.37</v>
      </c>
      <c r="AH248">
        <f t="shared" si="56"/>
        <v>77.3674999999999</v>
      </c>
      <c r="AI248">
        <f t="shared" si="57"/>
        <v>0.148245551004766</v>
      </c>
      <c r="AJ248" t="s">
        <v>163</v>
      </c>
      <c r="AK248" t="str">
        <f t="shared" si="58"/>
        <v>Refunded</v>
      </c>
      <c r="AL248" t="s">
        <v>118</v>
      </c>
      <c r="AM248" t="str">
        <f t="shared" si="59"/>
        <v>Cancelled</v>
      </c>
      <c r="AN248">
        <v>5</v>
      </c>
      <c r="AO248">
        <v>2024</v>
      </c>
      <c r="AP248" t="s">
        <v>79</v>
      </c>
    </row>
    <row r="249" spans="1:42">
      <c r="A249" t="s">
        <v>1349</v>
      </c>
      <c r="B249" s="3" t="s">
        <v>1350</v>
      </c>
      <c r="C249" s="3">
        <v>45498</v>
      </c>
      <c r="D249" t="s">
        <v>1351</v>
      </c>
      <c r="E249" s="3">
        <v>45505</v>
      </c>
      <c r="F249" t="s">
        <v>1352</v>
      </c>
      <c r="G249" t="s">
        <v>188</v>
      </c>
      <c r="H249" t="str">
        <f t="shared" si="45"/>
        <v>Rahul Verma</v>
      </c>
      <c r="I249" t="s">
        <v>147</v>
      </c>
      <c r="J249" t="str">
        <f t="shared" si="46"/>
        <v>Corporate</v>
      </c>
      <c r="K249" t="s">
        <v>8</v>
      </c>
      <c r="L249" t="str">
        <f t="shared" si="47"/>
        <v>North</v>
      </c>
      <c r="M249" t="s">
        <v>72</v>
      </c>
      <c r="N249" t="str">
        <f t="shared" si="48"/>
        <v>Rajasthan</v>
      </c>
      <c r="O249" t="s">
        <v>73</v>
      </c>
      <c r="P249" t="str">
        <f t="shared" si="49"/>
        <v>Jaipur</v>
      </c>
      <c r="Q249" t="s">
        <v>24</v>
      </c>
      <c r="R249" t="str">
        <f t="shared" si="50"/>
        <v>Technology</v>
      </c>
      <c r="S249" t="s">
        <v>126</v>
      </c>
      <c r="T249" t="str">
        <f t="shared" si="51"/>
        <v>Accessories</v>
      </c>
      <c r="U249" t="s">
        <v>1353</v>
      </c>
      <c r="V249" t="str">
        <f t="shared" si="52"/>
        <v>Smart Accessories 572</v>
      </c>
      <c r="W249" t="s">
        <v>76</v>
      </c>
      <c r="X249" t="str">
        <f t="shared" si="53"/>
        <v>Second Class</v>
      </c>
      <c r="Y249">
        <v>7</v>
      </c>
      <c r="Z249">
        <v>8</v>
      </c>
      <c r="AA249">
        <v>2493.4</v>
      </c>
      <c r="AB249">
        <v>0.25</v>
      </c>
      <c r="AC249">
        <f t="shared" si="54"/>
        <v>0.25</v>
      </c>
      <c r="AD249">
        <v>14960.4</v>
      </c>
      <c r="AE249">
        <f t="shared" si="55"/>
        <v>14960.4</v>
      </c>
      <c r="AF249">
        <v>12500.84</v>
      </c>
      <c r="AG249">
        <v>2459.56</v>
      </c>
      <c r="AH249">
        <f t="shared" si="56"/>
        <v>2459.56</v>
      </c>
      <c r="AI249">
        <f t="shared" si="57"/>
        <v>0.164404695061629</v>
      </c>
      <c r="AJ249" t="s">
        <v>77</v>
      </c>
      <c r="AK249" t="str">
        <f t="shared" si="58"/>
        <v>Paid</v>
      </c>
      <c r="AL249" t="s">
        <v>78</v>
      </c>
      <c r="AM249" t="str">
        <f t="shared" si="59"/>
        <v>Completed</v>
      </c>
      <c r="AN249">
        <v>7</v>
      </c>
      <c r="AO249">
        <v>2024</v>
      </c>
      <c r="AP249" t="s">
        <v>79</v>
      </c>
    </row>
    <row r="250" spans="1:42">
      <c r="A250" t="s">
        <v>1354</v>
      </c>
      <c r="B250" s="3" t="s">
        <v>1355</v>
      </c>
      <c r="C250" s="3">
        <v>45445</v>
      </c>
      <c r="D250" t="s">
        <v>624</v>
      </c>
      <c r="E250" s="3">
        <v>45450</v>
      </c>
      <c r="F250" t="s">
        <v>1356</v>
      </c>
      <c r="G250" t="s">
        <v>220</v>
      </c>
      <c r="H250" t="str">
        <f t="shared" si="45"/>
        <v>Rohan Mehta</v>
      </c>
      <c r="I250" t="s">
        <v>154</v>
      </c>
      <c r="J250" t="str">
        <f t="shared" si="46"/>
        <v>Home Office</v>
      </c>
      <c r="K250" t="s">
        <v>7</v>
      </c>
      <c r="L250" t="str">
        <f t="shared" si="47"/>
        <v>East</v>
      </c>
      <c r="M250" t="s">
        <v>86</v>
      </c>
      <c r="N250" t="str">
        <f t="shared" si="48"/>
        <v>Odisha</v>
      </c>
      <c r="O250" t="s">
        <v>87</v>
      </c>
      <c r="P250" t="str">
        <f t="shared" si="49"/>
        <v>Bhubaneswar</v>
      </c>
      <c r="Q250" t="s">
        <v>22</v>
      </c>
      <c r="R250" t="str">
        <f t="shared" si="50"/>
        <v>Office Supplies</v>
      </c>
      <c r="S250" t="s">
        <v>148</v>
      </c>
      <c r="T250" t="str">
        <f t="shared" si="51"/>
        <v>Labels</v>
      </c>
      <c r="U250" t="s">
        <v>1357</v>
      </c>
      <c r="V250" t="str">
        <f t="shared" si="52"/>
        <v>Basic Labels 432</v>
      </c>
      <c r="W250" t="s">
        <v>76</v>
      </c>
      <c r="X250" t="str">
        <f t="shared" si="53"/>
        <v>Second Class</v>
      </c>
      <c r="Y250">
        <v>5</v>
      </c>
      <c r="Z250">
        <v>9</v>
      </c>
      <c r="AA250">
        <v>787.91</v>
      </c>
      <c r="AB250">
        <v>0.15</v>
      </c>
      <c r="AC250">
        <f t="shared" si="54"/>
        <v>0.15</v>
      </c>
      <c r="AD250">
        <v>6027.51</v>
      </c>
      <c r="AE250">
        <f t="shared" si="55"/>
        <v>6027.5115</v>
      </c>
      <c r="AF250">
        <v>4883.82</v>
      </c>
      <c r="AG250">
        <v>1143.69</v>
      </c>
      <c r="AH250">
        <f t="shared" si="56"/>
        <v>1143.6915</v>
      </c>
      <c r="AI250">
        <f t="shared" si="57"/>
        <v>0.189745220726663</v>
      </c>
      <c r="AJ250" t="s">
        <v>77</v>
      </c>
      <c r="AK250" t="str">
        <f t="shared" si="58"/>
        <v>Paid</v>
      </c>
      <c r="AL250" t="s">
        <v>78</v>
      </c>
      <c r="AM250" t="str">
        <f t="shared" si="59"/>
        <v>Completed</v>
      </c>
      <c r="AN250">
        <v>6</v>
      </c>
      <c r="AO250">
        <v>2024</v>
      </c>
      <c r="AP250" t="s">
        <v>79</v>
      </c>
    </row>
    <row r="251" spans="1:42">
      <c r="A251" t="s">
        <v>1358</v>
      </c>
      <c r="B251" s="3" t="s">
        <v>870</v>
      </c>
      <c r="C251" s="3">
        <v>45870</v>
      </c>
      <c r="D251" t="s">
        <v>1359</v>
      </c>
      <c r="E251" s="3">
        <v>45871</v>
      </c>
      <c r="F251" t="s">
        <v>1360</v>
      </c>
      <c r="G251" t="s">
        <v>84</v>
      </c>
      <c r="H251" t="str">
        <f t="shared" si="45"/>
        <v>Mira Das</v>
      </c>
      <c r="I251" t="s">
        <v>147</v>
      </c>
      <c r="J251" t="str">
        <f t="shared" si="46"/>
        <v>Corporate</v>
      </c>
      <c r="K251" t="s">
        <v>8</v>
      </c>
      <c r="L251" t="str">
        <f t="shared" si="47"/>
        <v>North</v>
      </c>
      <c r="M251" t="s">
        <v>72</v>
      </c>
      <c r="N251" t="str">
        <f t="shared" si="48"/>
        <v>Rajasthan</v>
      </c>
      <c r="O251" t="s">
        <v>73</v>
      </c>
      <c r="P251" t="str">
        <f t="shared" si="49"/>
        <v>Jaipur</v>
      </c>
      <c r="Q251" t="s">
        <v>19</v>
      </c>
      <c r="R251" t="str">
        <f t="shared" si="50"/>
        <v>Furniture</v>
      </c>
      <c r="S251" t="s">
        <v>106</v>
      </c>
      <c r="T251" t="str">
        <f t="shared" si="51"/>
        <v>Furnishings</v>
      </c>
      <c r="U251" t="s">
        <v>1361</v>
      </c>
      <c r="V251" t="str">
        <f t="shared" si="52"/>
        <v>Classic Furnishings 378</v>
      </c>
      <c r="W251" t="s">
        <v>98</v>
      </c>
      <c r="X251" t="str">
        <f t="shared" si="53"/>
        <v>First Class</v>
      </c>
      <c r="Y251">
        <v>1</v>
      </c>
      <c r="Z251">
        <v>4</v>
      </c>
      <c r="AA251">
        <v>2790.29</v>
      </c>
      <c r="AB251">
        <v>0.2</v>
      </c>
      <c r="AC251">
        <f t="shared" si="54"/>
        <v>0.2</v>
      </c>
      <c r="AD251">
        <v>8928.93</v>
      </c>
      <c r="AE251">
        <f t="shared" si="55"/>
        <v>8928.928</v>
      </c>
      <c r="AF251">
        <v>5634.38</v>
      </c>
      <c r="AG251">
        <v>3294.55</v>
      </c>
      <c r="AH251">
        <f t="shared" si="56"/>
        <v>3294.548</v>
      </c>
      <c r="AI251">
        <f t="shared" si="57"/>
        <v>0.368974640628752</v>
      </c>
      <c r="AJ251" t="s">
        <v>77</v>
      </c>
      <c r="AK251" t="str">
        <f t="shared" si="58"/>
        <v>Paid</v>
      </c>
      <c r="AL251" t="s">
        <v>78</v>
      </c>
      <c r="AM251" t="str">
        <f t="shared" si="59"/>
        <v>Completed</v>
      </c>
      <c r="AN251">
        <v>8</v>
      </c>
      <c r="AO251">
        <v>2025</v>
      </c>
      <c r="AP251" t="s">
        <v>79</v>
      </c>
    </row>
    <row r="252" spans="1:42">
      <c r="A252" t="s">
        <v>1362</v>
      </c>
      <c r="B252" s="3" t="s">
        <v>1363</v>
      </c>
      <c r="C252" s="3">
        <v>45343</v>
      </c>
      <c r="D252" t="s">
        <v>1364</v>
      </c>
      <c r="E252" s="3">
        <v>45349</v>
      </c>
      <c r="F252" t="s">
        <v>1365</v>
      </c>
      <c r="G252" t="s">
        <v>103</v>
      </c>
      <c r="H252" t="str">
        <f t="shared" si="45"/>
        <v>Arjun Bose</v>
      </c>
      <c r="I252" t="s">
        <v>85</v>
      </c>
      <c r="J252" t="str">
        <f t="shared" si="46"/>
        <v>Small Business</v>
      </c>
      <c r="K252" t="s">
        <v>7</v>
      </c>
      <c r="L252" t="str">
        <f t="shared" si="47"/>
        <v>East</v>
      </c>
      <c r="M252" t="s">
        <v>160</v>
      </c>
      <c r="N252" t="str">
        <f t="shared" si="48"/>
        <v>West Bengal</v>
      </c>
      <c r="O252" t="s">
        <v>161</v>
      </c>
      <c r="P252" t="str">
        <f t="shared" si="49"/>
        <v>Kolkata</v>
      </c>
      <c r="Q252" t="s">
        <v>19</v>
      </c>
      <c r="R252" t="str">
        <f t="shared" si="50"/>
        <v>Furniture</v>
      </c>
      <c r="S252" t="s">
        <v>106</v>
      </c>
      <c r="T252" t="str">
        <f t="shared" si="51"/>
        <v>Furnishings</v>
      </c>
      <c r="U252" t="s">
        <v>1366</v>
      </c>
      <c r="V252" t="str">
        <f t="shared" si="52"/>
        <v>Prime Furnishings 781</v>
      </c>
      <c r="W252" t="s">
        <v>108</v>
      </c>
      <c r="X252" t="str">
        <f t="shared" si="53"/>
        <v>Standard Class</v>
      </c>
      <c r="Y252">
        <v>6</v>
      </c>
      <c r="Z252">
        <v>5</v>
      </c>
      <c r="AA252">
        <v>3373.86</v>
      </c>
      <c r="AB252">
        <v>0.15</v>
      </c>
      <c r="AC252">
        <f t="shared" si="54"/>
        <v>0.15</v>
      </c>
      <c r="AD252">
        <v>14338.9</v>
      </c>
      <c r="AE252">
        <f t="shared" si="55"/>
        <v>14338.905</v>
      </c>
      <c r="AF252">
        <v>11897.65</v>
      </c>
      <c r="AG252">
        <v>2441.25</v>
      </c>
      <c r="AH252">
        <f t="shared" si="56"/>
        <v>2441.255</v>
      </c>
      <c r="AI252">
        <f t="shared" si="57"/>
        <v>0.170253935011076</v>
      </c>
      <c r="AJ252" t="s">
        <v>177</v>
      </c>
      <c r="AK252" t="str">
        <f t="shared" si="58"/>
        <v>Pending</v>
      </c>
      <c r="AL252" t="s">
        <v>164</v>
      </c>
      <c r="AM252" t="str">
        <f t="shared" si="59"/>
        <v>Returned</v>
      </c>
      <c r="AN252">
        <v>2</v>
      </c>
      <c r="AO252">
        <v>2024</v>
      </c>
      <c r="AP252" t="s">
        <v>79</v>
      </c>
    </row>
    <row r="253" spans="1:42">
      <c r="A253" t="s">
        <v>1367</v>
      </c>
      <c r="B253" s="3" t="s">
        <v>1368</v>
      </c>
      <c r="C253" s="3">
        <v>45753</v>
      </c>
      <c r="D253" t="s">
        <v>129</v>
      </c>
      <c r="E253" s="3">
        <v>45757</v>
      </c>
      <c r="F253" t="s">
        <v>1369</v>
      </c>
      <c r="G253" t="s">
        <v>113</v>
      </c>
      <c r="H253" t="str">
        <f t="shared" si="45"/>
        <v>Ananya Rao</v>
      </c>
      <c r="I253" t="s">
        <v>147</v>
      </c>
      <c r="J253" t="str">
        <f t="shared" si="46"/>
        <v>Corporate</v>
      </c>
      <c r="K253" t="s">
        <v>11</v>
      </c>
      <c r="L253" t="str">
        <f t="shared" si="47"/>
        <v>West</v>
      </c>
      <c r="M253" t="s">
        <v>278</v>
      </c>
      <c r="N253" t="str">
        <f t="shared" si="48"/>
        <v>Gujarat</v>
      </c>
      <c r="O253" t="s">
        <v>279</v>
      </c>
      <c r="P253" t="str">
        <f t="shared" si="49"/>
        <v>Ahmedabad</v>
      </c>
      <c r="Q253" t="s">
        <v>19</v>
      </c>
      <c r="R253" t="str">
        <f t="shared" si="50"/>
        <v>Furniture</v>
      </c>
      <c r="S253" t="s">
        <v>88</v>
      </c>
      <c r="T253" t="str">
        <f t="shared" si="51"/>
        <v>Tables</v>
      </c>
      <c r="U253" t="s">
        <v>1370</v>
      </c>
      <c r="V253" t="str">
        <f t="shared" si="52"/>
        <v>Prime Tables 263</v>
      </c>
      <c r="W253" t="s">
        <v>76</v>
      </c>
      <c r="X253" t="str">
        <f t="shared" si="53"/>
        <v>Second Class</v>
      </c>
      <c r="Y253">
        <v>4</v>
      </c>
      <c r="Z253">
        <v>6</v>
      </c>
      <c r="AA253">
        <v>1022.16</v>
      </c>
      <c r="AB253">
        <v>0</v>
      </c>
      <c r="AC253">
        <f t="shared" si="54"/>
        <v>0</v>
      </c>
      <c r="AD253">
        <v>6132.96</v>
      </c>
      <c r="AE253">
        <f t="shared" si="55"/>
        <v>6132.96</v>
      </c>
      <c r="AF253">
        <v>4881.1</v>
      </c>
      <c r="AG253">
        <v>1251.86</v>
      </c>
      <c r="AH253">
        <f t="shared" si="56"/>
        <v>1251.86</v>
      </c>
      <c r="AI253">
        <f t="shared" si="57"/>
        <v>0.204120033393337</v>
      </c>
      <c r="AJ253" t="s">
        <v>77</v>
      </c>
      <c r="AK253" t="str">
        <f t="shared" si="58"/>
        <v>Paid</v>
      </c>
      <c r="AL253" t="s">
        <v>78</v>
      </c>
      <c r="AM253" t="str">
        <f t="shared" si="59"/>
        <v>Completed</v>
      </c>
      <c r="AN253">
        <v>4</v>
      </c>
      <c r="AO253">
        <v>2025</v>
      </c>
      <c r="AP253" t="s">
        <v>79</v>
      </c>
    </row>
    <row r="254" spans="1:42">
      <c r="A254" t="s">
        <v>1371</v>
      </c>
      <c r="B254" s="3" t="s">
        <v>1372</v>
      </c>
      <c r="C254" s="3">
        <v>45833</v>
      </c>
      <c r="D254" t="s">
        <v>1268</v>
      </c>
      <c r="E254" s="3">
        <v>45836</v>
      </c>
      <c r="F254" t="s">
        <v>1373</v>
      </c>
      <c r="G254" t="s">
        <v>103</v>
      </c>
      <c r="H254" t="str">
        <f t="shared" si="45"/>
        <v>Arjun Bose</v>
      </c>
      <c r="I254" t="s">
        <v>147</v>
      </c>
      <c r="J254" t="str">
        <f t="shared" si="46"/>
        <v>Corporate</v>
      </c>
      <c r="K254" t="s">
        <v>8</v>
      </c>
      <c r="L254" t="str">
        <f t="shared" si="47"/>
        <v>North</v>
      </c>
      <c r="M254" t="s">
        <v>366</v>
      </c>
      <c r="N254" t="str">
        <f t="shared" si="48"/>
        <v>Haryana</v>
      </c>
      <c r="O254" t="s">
        <v>367</v>
      </c>
      <c r="P254" t="str">
        <f t="shared" si="49"/>
        <v>Gurugram</v>
      </c>
      <c r="Q254" t="s">
        <v>22</v>
      </c>
      <c r="R254" t="str">
        <f t="shared" si="50"/>
        <v>Office Supplies</v>
      </c>
      <c r="S254" t="s">
        <v>196</v>
      </c>
      <c r="T254" t="str">
        <f t="shared" si="51"/>
        <v>Storage</v>
      </c>
      <c r="U254" t="s">
        <v>1374</v>
      </c>
      <c r="V254" t="str">
        <f t="shared" si="52"/>
        <v>Basic Storage 269</v>
      </c>
      <c r="W254" t="s">
        <v>98</v>
      </c>
      <c r="X254" t="str">
        <f t="shared" si="53"/>
        <v>First Class</v>
      </c>
      <c r="Y254">
        <v>3</v>
      </c>
      <c r="Z254">
        <v>2</v>
      </c>
      <c r="AA254">
        <v>1455.92</v>
      </c>
      <c r="AB254">
        <v>0.2</v>
      </c>
      <c r="AC254">
        <f t="shared" si="54"/>
        <v>0.2</v>
      </c>
      <c r="AD254">
        <v>2329.47</v>
      </c>
      <c r="AE254">
        <f t="shared" si="55"/>
        <v>2329.472</v>
      </c>
      <c r="AF254">
        <v>1603.62</v>
      </c>
      <c r="AG254">
        <v>725.85</v>
      </c>
      <c r="AH254">
        <f t="shared" si="56"/>
        <v>725.852</v>
      </c>
      <c r="AI254">
        <f t="shared" si="57"/>
        <v>0.31159507390516</v>
      </c>
      <c r="AJ254" t="s">
        <v>177</v>
      </c>
      <c r="AK254" t="str">
        <f t="shared" si="58"/>
        <v>Pending</v>
      </c>
      <c r="AL254" t="s">
        <v>164</v>
      </c>
      <c r="AM254" t="str">
        <f t="shared" si="59"/>
        <v>Returned</v>
      </c>
      <c r="AN254">
        <v>6</v>
      </c>
      <c r="AO254">
        <v>2025</v>
      </c>
      <c r="AP254" t="s">
        <v>79</v>
      </c>
    </row>
    <row r="255" spans="1:42">
      <c r="A255" t="s">
        <v>1375</v>
      </c>
      <c r="B255" s="3" t="s">
        <v>1376</v>
      </c>
      <c r="C255" s="3">
        <v>45547</v>
      </c>
      <c r="D255" t="s">
        <v>1377</v>
      </c>
      <c r="E255" s="3">
        <v>45548</v>
      </c>
      <c r="F255" t="s">
        <v>1378</v>
      </c>
      <c r="G255" t="s">
        <v>182</v>
      </c>
      <c r="H255" t="str">
        <f t="shared" si="45"/>
        <v>Priya Menon</v>
      </c>
      <c r="I255" t="s">
        <v>85</v>
      </c>
      <c r="J255" t="str">
        <f t="shared" si="46"/>
        <v>Small Business</v>
      </c>
      <c r="K255" t="s">
        <v>8</v>
      </c>
      <c r="L255" t="str">
        <f t="shared" si="47"/>
        <v>North</v>
      </c>
      <c r="M255" t="s">
        <v>72</v>
      </c>
      <c r="N255" t="str">
        <f t="shared" si="48"/>
        <v>Rajasthan</v>
      </c>
      <c r="O255" t="s">
        <v>73</v>
      </c>
      <c r="P255" t="str">
        <f t="shared" si="49"/>
        <v>Jaipur</v>
      </c>
      <c r="Q255" t="s">
        <v>24</v>
      </c>
      <c r="R255" t="str">
        <f t="shared" si="50"/>
        <v>Technology</v>
      </c>
      <c r="S255" t="s">
        <v>265</v>
      </c>
      <c r="T255" t="str">
        <f t="shared" si="51"/>
        <v>Phones</v>
      </c>
      <c r="U255" t="s">
        <v>1379</v>
      </c>
      <c r="V255" t="str">
        <f t="shared" si="52"/>
        <v>Classic Phones 442</v>
      </c>
      <c r="W255" t="s">
        <v>90</v>
      </c>
      <c r="X255" t="str">
        <f t="shared" si="53"/>
        <v>Same Day</v>
      </c>
      <c r="Y255">
        <v>1</v>
      </c>
      <c r="Z255">
        <v>6</v>
      </c>
      <c r="AA255">
        <v>832.79</v>
      </c>
      <c r="AB255">
        <v>0.05</v>
      </c>
      <c r="AC255">
        <f t="shared" si="54"/>
        <v>0.05</v>
      </c>
      <c r="AD255">
        <v>4746.9</v>
      </c>
      <c r="AE255">
        <f t="shared" si="55"/>
        <v>4746.903</v>
      </c>
      <c r="AF255">
        <v>2825.38</v>
      </c>
      <c r="AG255">
        <v>1472.89</v>
      </c>
      <c r="AH255">
        <f t="shared" si="56"/>
        <v>1921.523</v>
      </c>
      <c r="AI255">
        <f t="shared" si="57"/>
        <v>0.404795084289694</v>
      </c>
      <c r="AJ255" t="s">
        <v>163</v>
      </c>
      <c r="AK255" t="str">
        <f t="shared" si="58"/>
        <v>Refunded</v>
      </c>
      <c r="AL255" t="s">
        <v>118</v>
      </c>
      <c r="AM255" t="str">
        <f t="shared" si="59"/>
        <v>Cancelled</v>
      </c>
      <c r="AN255">
        <v>9</v>
      </c>
      <c r="AO255">
        <v>2024</v>
      </c>
      <c r="AP255" t="s">
        <v>79</v>
      </c>
    </row>
    <row r="256" spans="1:42">
      <c r="A256" t="s">
        <v>1380</v>
      </c>
      <c r="B256" s="3" t="s">
        <v>1381</v>
      </c>
      <c r="C256" s="3">
        <v>45658</v>
      </c>
      <c r="D256" t="s">
        <v>1382</v>
      </c>
      <c r="E256" s="3">
        <v>45660</v>
      </c>
      <c r="F256" t="s">
        <v>1383</v>
      </c>
      <c r="G256" t="s">
        <v>113</v>
      </c>
      <c r="H256" t="str">
        <f t="shared" si="45"/>
        <v>Ananya Rao</v>
      </c>
      <c r="I256" t="s">
        <v>71</v>
      </c>
      <c r="J256" t="str">
        <f t="shared" si="46"/>
        <v>Consumer</v>
      </c>
      <c r="K256" t="s">
        <v>11</v>
      </c>
      <c r="L256" t="str">
        <f t="shared" si="47"/>
        <v>West</v>
      </c>
      <c r="M256" t="s">
        <v>124</v>
      </c>
      <c r="N256" t="str">
        <f t="shared" si="48"/>
        <v>Madhya Pradesh</v>
      </c>
      <c r="O256" t="s">
        <v>125</v>
      </c>
      <c r="P256" t="str">
        <f t="shared" si="49"/>
        <v>Indore</v>
      </c>
      <c r="Q256" t="s">
        <v>24</v>
      </c>
      <c r="R256" t="str">
        <f t="shared" si="50"/>
        <v>Technology</v>
      </c>
      <c r="S256" t="s">
        <v>126</v>
      </c>
      <c r="T256" t="str">
        <f t="shared" si="51"/>
        <v>Accessories</v>
      </c>
      <c r="U256" t="s">
        <v>1384</v>
      </c>
      <c r="V256" t="str">
        <f t="shared" si="52"/>
        <v>Elite Accessories 978</v>
      </c>
      <c r="W256" t="s">
        <v>90</v>
      </c>
      <c r="X256" t="str">
        <f t="shared" si="53"/>
        <v>Same Day</v>
      </c>
      <c r="Y256">
        <v>2</v>
      </c>
      <c r="Z256">
        <v>7</v>
      </c>
      <c r="AA256">
        <v>1000.55</v>
      </c>
      <c r="AB256">
        <v>0.2</v>
      </c>
      <c r="AC256">
        <f t="shared" si="54"/>
        <v>0.2</v>
      </c>
      <c r="AD256">
        <v>5603.08</v>
      </c>
      <c r="AE256">
        <f t="shared" si="55"/>
        <v>5603.08</v>
      </c>
      <c r="AF256">
        <v>3132.52</v>
      </c>
      <c r="AG256">
        <v>2470.56</v>
      </c>
      <c r="AH256">
        <f t="shared" si="56"/>
        <v>2470.56</v>
      </c>
      <c r="AI256">
        <f t="shared" si="57"/>
        <v>0.440928917666712</v>
      </c>
      <c r="AJ256" t="s">
        <v>77</v>
      </c>
      <c r="AK256" t="str">
        <f t="shared" si="58"/>
        <v>Paid</v>
      </c>
      <c r="AL256" t="s">
        <v>164</v>
      </c>
      <c r="AM256" t="str">
        <f t="shared" si="59"/>
        <v>Returned</v>
      </c>
      <c r="AN256">
        <v>1</v>
      </c>
      <c r="AO256">
        <v>2025</v>
      </c>
      <c r="AP256" t="s">
        <v>79</v>
      </c>
    </row>
    <row r="257" spans="1:42">
      <c r="A257" t="s">
        <v>1385</v>
      </c>
      <c r="B257" s="3" t="s">
        <v>1386</v>
      </c>
      <c r="C257" s="3">
        <v>45692</v>
      </c>
      <c r="D257" t="s">
        <v>1387</v>
      </c>
      <c r="E257" s="3">
        <v>45698</v>
      </c>
      <c r="F257" t="s">
        <v>1388</v>
      </c>
      <c r="G257" t="s">
        <v>95</v>
      </c>
      <c r="H257" t="str">
        <f t="shared" si="45"/>
        <v>Isha Nair</v>
      </c>
      <c r="I257" t="s">
        <v>147</v>
      </c>
      <c r="J257" t="str">
        <f t="shared" si="46"/>
        <v>Corporate</v>
      </c>
      <c r="K257" t="s">
        <v>11</v>
      </c>
      <c r="L257" t="str">
        <f t="shared" si="47"/>
        <v>West</v>
      </c>
      <c r="M257" t="s">
        <v>114</v>
      </c>
      <c r="N257" t="str">
        <f t="shared" si="48"/>
        <v>Maharashtra</v>
      </c>
      <c r="O257" t="s">
        <v>115</v>
      </c>
      <c r="P257" t="str">
        <f t="shared" si="49"/>
        <v>Mumbai</v>
      </c>
      <c r="Q257" t="s">
        <v>24</v>
      </c>
      <c r="R257" t="str">
        <f t="shared" si="50"/>
        <v>Technology</v>
      </c>
      <c r="S257" t="s">
        <v>265</v>
      </c>
      <c r="T257" t="str">
        <f t="shared" si="51"/>
        <v>Phones</v>
      </c>
      <c r="U257" t="s">
        <v>1389</v>
      </c>
      <c r="V257" t="str">
        <f t="shared" si="52"/>
        <v>Eco Phones 132</v>
      </c>
      <c r="W257" t="s">
        <v>98</v>
      </c>
      <c r="X257" t="str">
        <f t="shared" si="53"/>
        <v>First Class</v>
      </c>
      <c r="Y257">
        <v>6</v>
      </c>
      <c r="Z257">
        <v>7</v>
      </c>
      <c r="AA257">
        <v>1830</v>
      </c>
      <c r="AB257">
        <v>0</v>
      </c>
      <c r="AC257">
        <f t="shared" si="54"/>
        <v>0</v>
      </c>
      <c r="AD257">
        <v>12810</v>
      </c>
      <c r="AE257">
        <f t="shared" si="55"/>
        <v>12810</v>
      </c>
      <c r="AF257">
        <v>9334.12</v>
      </c>
      <c r="AG257">
        <v>3475.88</v>
      </c>
      <c r="AH257">
        <f t="shared" si="56"/>
        <v>3475.88</v>
      </c>
      <c r="AI257">
        <f t="shared" si="57"/>
        <v>0.271341139734582</v>
      </c>
      <c r="AJ257" t="s">
        <v>77</v>
      </c>
      <c r="AK257" t="str">
        <f t="shared" si="58"/>
        <v>Paid</v>
      </c>
      <c r="AL257" t="s">
        <v>78</v>
      </c>
      <c r="AM257" t="str">
        <f t="shared" si="59"/>
        <v>Completed</v>
      </c>
      <c r="AN257">
        <v>2</v>
      </c>
      <c r="AO257">
        <v>2025</v>
      </c>
      <c r="AP257" t="s">
        <v>79</v>
      </c>
    </row>
    <row r="258" spans="1:42">
      <c r="A258" t="s">
        <v>1390</v>
      </c>
      <c r="B258" s="3" t="s">
        <v>1391</v>
      </c>
      <c r="C258" s="3">
        <v>45601</v>
      </c>
      <c r="D258" t="s">
        <v>529</v>
      </c>
      <c r="E258" s="3">
        <v>45599</v>
      </c>
      <c r="F258" t="s">
        <v>1392</v>
      </c>
      <c r="G258" t="s">
        <v>113</v>
      </c>
      <c r="H258" t="str">
        <f t="shared" ref="H258:H321" si="60">PROPER(TRIM(G258))</f>
        <v>Ananya Rao</v>
      </c>
      <c r="I258" t="s">
        <v>71</v>
      </c>
      <c r="J258" t="str">
        <f t="shared" ref="J258:J321" si="61">PROPER(TRIM(I258))</f>
        <v>Consumer</v>
      </c>
      <c r="K258" t="s">
        <v>7</v>
      </c>
      <c r="L258" t="str">
        <f t="shared" ref="L258:L321" si="62">PROPER(TRIM(K258))</f>
        <v>East</v>
      </c>
      <c r="M258" t="s">
        <v>160</v>
      </c>
      <c r="N258" t="str">
        <f t="shared" ref="N258:N321" si="63">PROPER(TRIM(M258))</f>
        <v>West Bengal</v>
      </c>
      <c r="O258" t="s">
        <v>161</v>
      </c>
      <c r="P258" t="str">
        <f t="shared" ref="P258:P321" si="64">PROPER(TRIM(O258))</f>
        <v>Kolkata</v>
      </c>
      <c r="Q258" t="s">
        <v>19</v>
      </c>
      <c r="R258" t="str">
        <f t="shared" ref="R258:R321" si="65">PROPER(TRIM(Q258))</f>
        <v>Furniture</v>
      </c>
      <c r="S258" t="s">
        <v>88</v>
      </c>
      <c r="T258" t="str">
        <f t="shared" ref="T258:T321" si="66">PROPER(TRIM(S258))</f>
        <v>Tables</v>
      </c>
      <c r="U258" t="s">
        <v>1393</v>
      </c>
      <c r="V258" t="str">
        <f t="shared" ref="V258:V321" si="67">PROPER(TRIM(U258))</f>
        <v>Prime Tables 481</v>
      </c>
      <c r="W258" t="s">
        <v>98</v>
      </c>
      <c r="X258" t="str">
        <f t="shared" ref="X258:X321" si="68">PROPER(TRIM(W258))</f>
        <v>First Class</v>
      </c>
      <c r="Y258">
        <v>-2</v>
      </c>
      <c r="Z258">
        <v>9</v>
      </c>
      <c r="AA258">
        <v>2260.61</v>
      </c>
      <c r="AB258">
        <v>0.05</v>
      </c>
      <c r="AC258">
        <f t="shared" ref="AC258:AC321" si="69">IF(OR(AB258="",AB258&lt;0),0,AB258)</f>
        <v>0.05</v>
      </c>
      <c r="AD258">
        <v>19328.22</v>
      </c>
      <c r="AE258">
        <f t="shared" ref="AE258:AE321" si="70">Z258*AA258*(1-AC258)</f>
        <v>19328.2155</v>
      </c>
      <c r="AF258">
        <v>12039.5</v>
      </c>
      <c r="AG258">
        <v>7288.72</v>
      </c>
      <c r="AH258">
        <f t="shared" ref="AH258:AH321" si="71">AE258-AF258</f>
        <v>7288.7155</v>
      </c>
      <c r="AI258">
        <f t="shared" ref="AI258:AI321" si="72">AH258/AE258</f>
        <v>0.377102350705889</v>
      </c>
      <c r="AJ258" t="s">
        <v>77</v>
      </c>
      <c r="AK258" t="str">
        <f t="shared" ref="AK258:AK321" si="73">PROPER(TRIM(AJ258))</f>
        <v>Paid</v>
      </c>
      <c r="AL258" t="s">
        <v>78</v>
      </c>
      <c r="AM258" t="str">
        <f t="shared" ref="AM258:AM321" si="74">PROPER(TRIM(AL258))</f>
        <v>Completed</v>
      </c>
      <c r="AN258">
        <v>11</v>
      </c>
      <c r="AO258">
        <v>2024</v>
      </c>
      <c r="AP258" t="s">
        <v>253</v>
      </c>
    </row>
    <row r="259" spans="1:42">
      <c r="A259" t="s">
        <v>1394</v>
      </c>
      <c r="B259" s="3" t="s">
        <v>1395</v>
      </c>
      <c r="C259" s="3">
        <v>45878</v>
      </c>
      <c r="D259" t="s">
        <v>1396</v>
      </c>
      <c r="E259" s="3">
        <v>45881</v>
      </c>
      <c r="F259" t="s">
        <v>1397</v>
      </c>
      <c r="G259" t="s">
        <v>251</v>
      </c>
      <c r="H259" t="str">
        <f t="shared" si="60"/>
        <v>Diya Patel</v>
      </c>
      <c r="I259" t="s">
        <v>147</v>
      </c>
      <c r="J259" t="str">
        <f t="shared" si="61"/>
        <v>Corporate</v>
      </c>
      <c r="K259" t="s">
        <v>10</v>
      </c>
      <c r="L259" t="str">
        <f t="shared" si="62"/>
        <v>South</v>
      </c>
      <c r="M259" t="s">
        <v>272</v>
      </c>
      <c r="N259" t="str">
        <f t="shared" si="63"/>
        <v>Karnataka</v>
      </c>
      <c r="O259" t="s">
        <v>273</v>
      </c>
      <c r="P259" t="str">
        <f t="shared" si="64"/>
        <v>Bengaluru</v>
      </c>
      <c r="Q259" t="s">
        <v>24</v>
      </c>
      <c r="R259" t="str">
        <f t="shared" si="65"/>
        <v>Technology</v>
      </c>
      <c r="S259" t="s">
        <v>126</v>
      </c>
      <c r="T259" t="str">
        <f t="shared" si="66"/>
        <v>Accessories</v>
      </c>
      <c r="U259" t="s">
        <v>1398</v>
      </c>
      <c r="V259" t="str">
        <f t="shared" si="67"/>
        <v>Smart Accessories 180</v>
      </c>
      <c r="W259" t="s">
        <v>76</v>
      </c>
      <c r="X259" t="str">
        <f t="shared" si="68"/>
        <v>Second Class</v>
      </c>
      <c r="Y259">
        <v>3</v>
      </c>
      <c r="Z259">
        <v>2</v>
      </c>
      <c r="AA259">
        <v>3237.27</v>
      </c>
      <c r="AB259">
        <v>0</v>
      </c>
      <c r="AC259">
        <f t="shared" si="69"/>
        <v>0</v>
      </c>
      <c r="AD259">
        <v>6474.54</v>
      </c>
      <c r="AE259">
        <f t="shared" si="70"/>
        <v>6474.54</v>
      </c>
      <c r="AF259">
        <v>5095.91</v>
      </c>
      <c r="AG259">
        <v>1378.63</v>
      </c>
      <c r="AH259">
        <f t="shared" si="71"/>
        <v>1378.63</v>
      </c>
      <c r="AI259">
        <f t="shared" si="72"/>
        <v>0.212930957257195</v>
      </c>
      <c r="AJ259" t="s">
        <v>77</v>
      </c>
      <c r="AK259" t="str">
        <f t="shared" si="73"/>
        <v>Paid</v>
      </c>
      <c r="AL259" t="s">
        <v>118</v>
      </c>
      <c r="AM259" t="str">
        <f t="shared" si="74"/>
        <v>Cancelled</v>
      </c>
      <c r="AN259">
        <v>8</v>
      </c>
      <c r="AO259">
        <v>2025</v>
      </c>
      <c r="AP259" t="s">
        <v>79</v>
      </c>
    </row>
    <row r="260" spans="1:42">
      <c r="A260" t="s">
        <v>1399</v>
      </c>
      <c r="B260" s="3" t="s">
        <v>875</v>
      </c>
      <c r="C260" s="3">
        <v>45656</v>
      </c>
      <c r="D260" t="s">
        <v>1400</v>
      </c>
      <c r="E260" s="3">
        <v>45661</v>
      </c>
      <c r="F260" t="s">
        <v>1401</v>
      </c>
      <c r="G260" t="s">
        <v>208</v>
      </c>
      <c r="H260" t="str">
        <f t="shared" si="60"/>
        <v>Sneha Kapoor</v>
      </c>
      <c r="I260" t="s">
        <v>147</v>
      </c>
      <c r="J260" t="str">
        <f t="shared" si="61"/>
        <v>Corporate</v>
      </c>
      <c r="K260" t="s">
        <v>10</v>
      </c>
      <c r="L260" t="str">
        <f t="shared" si="62"/>
        <v>South</v>
      </c>
      <c r="M260" t="s">
        <v>382</v>
      </c>
      <c r="N260" t="str">
        <f t="shared" si="63"/>
        <v>Tamil Nadu</v>
      </c>
      <c r="O260" t="s">
        <v>383</v>
      </c>
      <c r="P260" t="str">
        <f t="shared" si="64"/>
        <v>Chennai</v>
      </c>
      <c r="Q260" t="s">
        <v>19</v>
      </c>
      <c r="R260" t="str">
        <f t="shared" si="65"/>
        <v>Furniture</v>
      </c>
      <c r="S260" t="s">
        <v>88</v>
      </c>
      <c r="T260" t="str">
        <f t="shared" si="66"/>
        <v>Tables</v>
      </c>
      <c r="U260" t="s">
        <v>1402</v>
      </c>
      <c r="V260" t="str">
        <f t="shared" si="67"/>
        <v>Smart Tables 774</v>
      </c>
      <c r="W260" t="s">
        <v>90</v>
      </c>
      <c r="X260" t="str">
        <f t="shared" si="68"/>
        <v>Same Day</v>
      </c>
      <c r="Y260">
        <v>5</v>
      </c>
      <c r="Z260">
        <v>2</v>
      </c>
      <c r="AA260">
        <v>3720.07</v>
      </c>
      <c r="AB260">
        <v>0.25</v>
      </c>
      <c r="AC260">
        <f t="shared" si="69"/>
        <v>0.25</v>
      </c>
      <c r="AD260">
        <v>5580.11</v>
      </c>
      <c r="AE260">
        <f t="shared" si="70"/>
        <v>5580.105</v>
      </c>
      <c r="AF260">
        <v>4307.01</v>
      </c>
      <c r="AG260">
        <v>1273.1</v>
      </c>
      <c r="AH260">
        <f t="shared" si="71"/>
        <v>1273.095</v>
      </c>
      <c r="AI260">
        <f t="shared" si="72"/>
        <v>0.228148932681374</v>
      </c>
      <c r="AJ260" t="s">
        <v>77</v>
      </c>
      <c r="AK260" t="str">
        <f t="shared" si="73"/>
        <v>Paid</v>
      </c>
      <c r="AL260" t="s">
        <v>78</v>
      </c>
      <c r="AM260" t="str">
        <f t="shared" si="74"/>
        <v>Completed</v>
      </c>
      <c r="AN260">
        <v>12</v>
      </c>
      <c r="AO260">
        <v>2024</v>
      </c>
      <c r="AP260" t="s">
        <v>79</v>
      </c>
    </row>
    <row r="261" spans="1:42">
      <c r="A261" t="s">
        <v>1403</v>
      </c>
      <c r="B261" s="3" t="s">
        <v>1404</v>
      </c>
      <c r="C261" s="3">
        <v>45464</v>
      </c>
      <c r="D261" t="s">
        <v>1405</v>
      </c>
      <c r="E261" s="3">
        <v>45472</v>
      </c>
      <c r="F261" t="s">
        <v>1406</v>
      </c>
      <c r="G261" t="s">
        <v>132</v>
      </c>
      <c r="H261" t="str">
        <f t="shared" si="60"/>
        <v>Neha Gupta</v>
      </c>
      <c r="I261" t="s">
        <v>71</v>
      </c>
      <c r="J261" t="str">
        <f t="shared" si="61"/>
        <v>Consumer</v>
      </c>
      <c r="K261" t="s">
        <v>10</v>
      </c>
      <c r="L261" t="str">
        <f t="shared" si="62"/>
        <v>South</v>
      </c>
      <c r="M261" t="s">
        <v>382</v>
      </c>
      <c r="N261" t="str">
        <f t="shared" si="63"/>
        <v>Tamil Nadu</v>
      </c>
      <c r="O261" t="s">
        <v>383</v>
      </c>
      <c r="P261" t="str">
        <f t="shared" si="64"/>
        <v>Chennai</v>
      </c>
      <c r="Q261" t="s">
        <v>24</v>
      </c>
      <c r="R261" t="str">
        <f t="shared" si="65"/>
        <v>Technology</v>
      </c>
      <c r="S261" t="s">
        <v>427</v>
      </c>
      <c r="T261" t="str">
        <f t="shared" si="66"/>
        <v>Machines</v>
      </c>
      <c r="U261" t="s">
        <v>1407</v>
      </c>
      <c r="V261" t="str">
        <f t="shared" si="67"/>
        <v>Prime Machines 793</v>
      </c>
      <c r="W261" t="s">
        <v>108</v>
      </c>
      <c r="X261" t="str">
        <f t="shared" si="68"/>
        <v>Standard Class</v>
      </c>
      <c r="Y261">
        <v>8</v>
      </c>
      <c r="Z261">
        <v>8</v>
      </c>
      <c r="AA261">
        <v>2853.92</v>
      </c>
      <c r="AB261">
        <v>0.2</v>
      </c>
      <c r="AC261">
        <f t="shared" si="69"/>
        <v>0.2</v>
      </c>
      <c r="AD261">
        <v>18265.09</v>
      </c>
      <c r="AE261">
        <f t="shared" si="70"/>
        <v>18265.088</v>
      </c>
      <c r="AF261">
        <v>10437.14</v>
      </c>
      <c r="AG261">
        <v>7827.95</v>
      </c>
      <c r="AH261">
        <f t="shared" si="71"/>
        <v>7827.948</v>
      </c>
      <c r="AI261">
        <f t="shared" si="72"/>
        <v>0.428574338103381</v>
      </c>
      <c r="AJ261" t="s">
        <v>77</v>
      </c>
      <c r="AK261" t="str">
        <f t="shared" si="73"/>
        <v>Paid</v>
      </c>
      <c r="AL261" t="s">
        <v>78</v>
      </c>
      <c r="AM261" t="str">
        <f t="shared" si="74"/>
        <v>Completed</v>
      </c>
      <c r="AN261">
        <v>6</v>
      </c>
      <c r="AO261">
        <v>2024</v>
      </c>
      <c r="AP261" t="s">
        <v>79</v>
      </c>
    </row>
    <row r="262" spans="1:42">
      <c r="A262" t="s">
        <v>1408</v>
      </c>
      <c r="B262" s="3" t="s">
        <v>1409</v>
      </c>
      <c r="C262" s="3">
        <v>45923</v>
      </c>
      <c r="D262" t="s">
        <v>1410</v>
      </c>
      <c r="E262" s="3">
        <v>45927</v>
      </c>
      <c r="F262" t="s">
        <v>1411</v>
      </c>
      <c r="G262" t="s">
        <v>146</v>
      </c>
      <c r="H262" t="str">
        <f t="shared" si="60"/>
        <v>Aditi Sen</v>
      </c>
      <c r="I262" t="s">
        <v>147</v>
      </c>
      <c r="J262" t="str">
        <f t="shared" si="61"/>
        <v>Corporate</v>
      </c>
      <c r="K262" t="s">
        <v>7</v>
      </c>
      <c r="L262" t="str">
        <f t="shared" si="62"/>
        <v>East</v>
      </c>
      <c r="M262" t="s">
        <v>160</v>
      </c>
      <c r="N262" t="str">
        <f t="shared" si="63"/>
        <v>West Bengal</v>
      </c>
      <c r="O262" t="s">
        <v>161</v>
      </c>
      <c r="P262" t="str">
        <f t="shared" si="64"/>
        <v>Kolkata</v>
      </c>
      <c r="Q262" t="s">
        <v>22</v>
      </c>
      <c r="R262" t="str">
        <f t="shared" si="65"/>
        <v>Office Supplies</v>
      </c>
      <c r="S262" t="s">
        <v>239</v>
      </c>
      <c r="T262" t="str">
        <f t="shared" si="66"/>
        <v>Binders</v>
      </c>
      <c r="U262" t="s">
        <v>1412</v>
      </c>
      <c r="V262" t="str">
        <f t="shared" si="67"/>
        <v>Elite Binders 827</v>
      </c>
      <c r="W262" t="s">
        <v>90</v>
      </c>
      <c r="X262" t="str">
        <f t="shared" si="68"/>
        <v>Same Day</v>
      </c>
      <c r="Y262">
        <v>4</v>
      </c>
      <c r="Z262">
        <v>7</v>
      </c>
      <c r="AA262">
        <v>2897.12</v>
      </c>
      <c r="AB262">
        <v>0.25</v>
      </c>
      <c r="AC262">
        <f t="shared" si="69"/>
        <v>0.25</v>
      </c>
      <c r="AD262">
        <v>15209.88</v>
      </c>
      <c r="AE262">
        <f t="shared" si="70"/>
        <v>15209.88</v>
      </c>
      <c r="AF262">
        <v>10891.15</v>
      </c>
      <c r="AG262">
        <v>4318.73</v>
      </c>
      <c r="AH262">
        <f t="shared" si="71"/>
        <v>4318.73</v>
      </c>
      <c r="AI262">
        <f t="shared" si="72"/>
        <v>0.283942411116985</v>
      </c>
      <c r="AJ262" t="s">
        <v>241</v>
      </c>
      <c r="AK262" t="str">
        <f t="shared" si="73"/>
        <v>Failed</v>
      </c>
      <c r="AL262" t="s">
        <v>164</v>
      </c>
      <c r="AM262" t="str">
        <f t="shared" si="74"/>
        <v>Returned</v>
      </c>
      <c r="AN262">
        <v>9</v>
      </c>
      <c r="AO262">
        <v>2025</v>
      </c>
      <c r="AP262" t="s">
        <v>79</v>
      </c>
    </row>
    <row r="263" spans="1:42">
      <c r="A263" t="s">
        <v>1413</v>
      </c>
      <c r="B263" s="3" t="s">
        <v>1414</v>
      </c>
      <c r="C263" s="3">
        <v>45826</v>
      </c>
      <c r="D263" t="s">
        <v>1415</v>
      </c>
      <c r="E263" s="3">
        <v>45832</v>
      </c>
      <c r="F263" t="s">
        <v>1416</v>
      </c>
      <c r="G263" t="s">
        <v>208</v>
      </c>
      <c r="H263" t="str">
        <f t="shared" si="60"/>
        <v>Sneha Kapoor</v>
      </c>
      <c r="I263" t="s">
        <v>147</v>
      </c>
      <c r="J263" t="str">
        <f t="shared" si="61"/>
        <v>Corporate</v>
      </c>
      <c r="K263" t="s">
        <v>8</v>
      </c>
      <c r="L263" t="str">
        <f t="shared" si="62"/>
        <v>North</v>
      </c>
      <c r="M263" t="s">
        <v>72</v>
      </c>
      <c r="N263" t="str">
        <f t="shared" si="63"/>
        <v>Rajasthan</v>
      </c>
      <c r="O263" t="s">
        <v>73</v>
      </c>
      <c r="P263" t="str">
        <f t="shared" si="64"/>
        <v>Jaipur</v>
      </c>
      <c r="Q263" t="s">
        <v>22</v>
      </c>
      <c r="R263" t="str">
        <f t="shared" si="65"/>
        <v>Office Supplies</v>
      </c>
      <c r="S263" t="s">
        <v>148</v>
      </c>
      <c r="T263" t="str">
        <f t="shared" si="66"/>
        <v>Labels</v>
      </c>
      <c r="U263" t="s">
        <v>1417</v>
      </c>
      <c r="V263" t="str">
        <f t="shared" si="67"/>
        <v>Prime Labels 326</v>
      </c>
      <c r="W263" t="s">
        <v>108</v>
      </c>
      <c r="X263" t="str">
        <f t="shared" si="68"/>
        <v>Standard Class</v>
      </c>
      <c r="Y263">
        <v>6</v>
      </c>
      <c r="Z263">
        <v>3</v>
      </c>
      <c r="AA263">
        <v>686.74</v>
      </c>
      <c r="AB263">
        <v>0.2</v>
      </c>
      <c r="AC263">
        <f t="shared" si="69"/>
        <v>0.2</v>
      </c>
      <c r="AD263">
        <v>1648.18</v>
      </c>
      <c r="AE263">
        <f t="shared" si="70"/>
        <v>1648.176</v>
      </c>
      <c r="AF263">
        <v>987.91</v>
      </c>
      <c r="AG263">
        <v>660.27</v>
      </c>
      <c r="AH263">
        <f t="shared" si="71"/>
        <v>660.266</v>
      </c>
      <c r="AI263">
        <f t="shared" si="72"/>
        <v>0.400604061702148</v>
      </c>
      <c r="AJ263" t="s">
        <v>241</v>
      </c>
      <c r="AK263" t="str">
        <f t="shared" si="73"/>
        <v>Failed</v>
      </c>
      <c r="AL263" t="s">
        <v>118</v>
      </c>
      <c r="AM263" t="str">
        <f t="shared" si="74"/>
        <v>Cancelled</v>
      </c>
      <c r="AN263">
        <v>6</v>
      </c>
      <c r="AO263">
        <v>2025</v>
      </c>
      <c r="AP263" t="s">
        <v>79</v>
      </c>
    </row>
    <row r="264" spans="1:42">
      <c r="A264" t="s">
        <v>1418</v>
      </c>
      <c r="B264" s="3" t="s">
        <v>1419</v>
      </c>
      <c r="C264" s="3">
        <v>45803</v>
      </c>
      <c r="D264" t="s">
        <v>1420</v>
      </c>
      <c r="E264" s="3">
        <v>45809</v>
      </c>
      <c r="F264" t="s">
        <v>1000</v>
      </c>
      <c r="G264" t="s">
        <v>103</v>
      </c>
      <c r="H264" t="str">
        <f t="shared" si="60"/>
        <v>Arjun Bose</v>
      </c>
      <c r="I264" t="s">
        <v>85</v>
      </c>
      <c r="J264" t="str">
        <f t="shared" si="61"/>
        <v>Small Business</v>
      </c>
      <c r="K264" t="s">
        <v>8</v>
      </c>
      <c r="L264" t="str">
        <f t="shared" si="62"/>
        <v>North</v>
      </c>
      <c r="M264" t="s">
        <v>552</v>
      </c>
      <c r="N264" t="str">
        <f t="shared" si="63"/>
        <v>Delhi</v>
      </c>
      <c r="O264" t="s">
        <v>553</v>
      </c>
      <c r="P264" t="str">
        <f t="shared" si="64"/>
        <v>New Delhi</v>
      </c>
      <c r="Q264" t="s">
        <v>24</v>
      </c>
      <c r="R264" t="str">
        <f t="shared" si="65"/>
        <v>Technology</v>
      </c>
      <c r="S264" t="s">
        <v>265</v>
      </c>
      <c r="T264" t="str">
        <f t="shared" si="66"/>
        <v>Phones</v>
      </c>
      <c r="U264" t="s">
        <v>1421</v>
      </c>
      <c r="V264" t="str">
        <f t="shared" si="67"/>
        <v>Eco Phones 245</v>
      </c>
      <c r="W264" t="s">
        <v>90</v>
      </c>
      <c r="X264" t="str">
        <f t="shared" si="68"/>
        <v>Same Day</v>
      </c>
      <c r="Y264">
        <v>6</v>
      </c>
      <c r="Z264">
        <v>4</v>
      </c>
      <c r="AA264">
        <v>3349.86</v>
      </c>
      <c r="AB264">
        <v>0</v>
      </c>
      <c r="AC264">
        <f t="shared" si="69"/>
        <v>0</v>
      </c>
      <c r="AD264">
        <v>13399.44</v>
      </c>
      <c r="AE264">
        <f t="shared" si="70"/>
        <v>13399.44</v>
      </c>
      <c r="AF264">
        <v>8581.35</v>
      </c>
      <c r="AG264">
        <v>4818.09</v>
      </c>
      <c r="AH264">
        <f t="shared" si="71"/>
        <v>4818.09</v>
      </c>
      <c r="AI264">
        <f t="shared" si="72"/>
        <v>0.359573982196271</v>
      </c>
      <c r="AJ264" t="s">
        <v>177</v>
      </c>
      <c r="AK264" t="str">
        <f t="shared" si="73"/>
        <v>Pending</v>
      </c>
      <c r="AL264" t="s">
        <v>164</v>
      </c>
      <c r="AM264" t="str">
        <f t="shared" si="74"/>
        <v>Returned</v>
      </c>
      <c r="AN264">
        <v>5</v>
      </c>
      <c r="AO264">
        <v>2025</v>
      </c>
      <c r="AP264" t="s">
        <v>79</v>
      </c>
    </row>
    <row r="265" spans="1:42">
      <c r="A265" t="s">
        <v>1422</v>
      </c>
      <c r="B265" s="3" t="s">
        <v>1423</v>
      </c>
      <c r="C265" s="3">
        <v>45875</v>
      </c>
      <c r="D265" t="s">
        <v>994</v>
      </c>
      <c r="E265" s="3">
        <v>45879</v>
      </c>
      <c r="F265" t="s">
        <v>1424</v>
      </c>
      <c r="G265" t="s">
        <v>220</v>
      </c>
      <c r="H265" t="str">
        <f t="shared" si="60"/>
        <v>Rohan Mehta</v>
      </c>
      <c r="I265" t="s">
        <v>85</v>
      </c>
      <c r="J265" t="str">
        <f t="shared" si="61"/>
        <v>Small Business</v>
      </c>
      <c r="K265" t="s">
        <v>8</v>
      </c>
      <c r="L265" t="str">
        <f t="shared" si="62"/>
        <v>North</v>
      </c>
      <c r="M265" t="s">
        <v>552</v>
      </c>
      <c r="N265" t="str">
        <f t="shared" si="63"/>
        <v>Delhi</v>
      </c>
      <c r="O265" t="s">
        <v>553</v>
      </c>
      <c r="P265" t="str">
        <f t="shared" si="64"/>
        <v>New Delhi</v>
      </c>
      <c r="Q265" t="s">
        <v>22</v>
      </c>
      <c r="R265" t="str">
        <f t="shared" si="65"/>
        <v>Office Supplies</v>
      </c>
      <c r="S265" t="s">
        <v>239</v>
      </c>
      <c r="T265" t="str">
        <f t="shared" si="66"/>
        <v>Binders</v>
      </c>
      <c r="U265" t="s">
        <v>1425</v>
      </c>
      <c r="V265" t="str">
        <f t="shared" si="67"/>
        <v>Smart Binders 905</v>
      </c>
      <c r="W265" t="s">
        <v>76</v>
      </c>
      <c r="X265" t="str">
        <f t="shared" si="68"/>
        <v>Second Class</v>
      </c>
      <c r="Y265">
        <v>4</v>
      </c>
      <c r="Z265">
        <v>9</v>
      </c>
      <c r="AA265">
        <v>4042.45</v>
      </c>
      <c r="AB265">
        <v>0.1</v>
      </c>
      <c r="AC265">
        <f t="shared" si="69"/>
        <v>0.1</v>
      </c>
      <c r="AD265">
        <v>32743.84</v>
      </c>
      <c r="AE265">
        <f t="shared" si="70"/>
        <v>32743.845</v>
      </c>
      <c r="AF265">
        <v>22452.05</v>
      </c>
      <c r="AG265">
        <v>10291.79</v>
      </c>
      <c r="AH265">
        <f t="shared" si="71"/>
        <v>10291.795</v>
      </c>
      <c r="AI265">
        <f t="shared" si="72"/>
        <v>0.314312353970647</v>
      </c>
      <c r="AJ265" t="s">
        <v>177</v>
      </c>
      <c r="AK265" t="str">
        <f t="shared" si="73"/>
        <v>Pending</v>
      </c>
      <c r="AL265" t="s">
        <v>164</v>
      </c>
      <c r="AM265" t="str">
        <f t="shared" si="74"/>
        <v>Returned</v>
      </c>
      <c r="AN265">
        <v>8</v>
      </c>
      <c r="AO265">
        <v>2025</v>
      </c>
      <c r="AP265" t="s">
        <v>79</v>
      </c>
    </row>
    <row r="266" spans="1:42">
      <c r="A266" t="s">
        <v>1426</v>
      </c>
      <c r="B266" s="3" t="s">
        <v>1427</v>
      </c>
      <c r="C266" s="3">
        <v>45428</v>
      </c>
      <c r="D266" t="s">
        <v>1428</v>
      </c>
      <c r="E266" s="3">
        <v>45433</v>
      </c>
      <c r="F266" t="s">
        <v>1429</v>
      </c>
      <c r="G266" t="s">
        <v>251</v>
      </c>
      <c r="H266" t="str">
        <f t="shared" si="60"/>
        <v>Diya Patel</v>
      </c>
      <c r="I266" t="s">
        <v>85</v>
      </c>
      <c r="J266" t="str">
        <f t="shared" si="61"/>
        <v>Small Business</v>
      </c>
      <c r="K266" t="s">
        <v>7</v>
      </c>
      <c r="L266" t="str">
        <f t="shared" si="62"/>
        <v>East</v>
      </c>
      <c r="M266" t="s">
        <v>227</v>
      </c>
      <c r="N266" t="str">
        <f t="shared" si="63"/>
        <v>Bihar</v>
      </c>
      <c r="O266" t="s">
        <v>228</v>
      </c>
      <c r="P266" t="str">
        <f t="shared" si="64"/>
        <v>Patna</v>
      </c>
      <c r="Q266" t="s">
        <v>24</v>
      </c>
      <c r="R266" t="str">
        <f t="shared" si="65"/>
        <v>Technology</v>
      </c>
      <c r="S266" t="s">
        <v>133</v>
      </c>
      <c r="T266" t="str">
        <f t="shared" si="66"/>
        <v>Copiers</v>
      </c>
      <c r="U266" t="s">
        <v>1430</v>
      </c>
      <c r="V266" t="str">
        <f t="shared" si="67"/>
        <v>Pro Copiers 599</v>
      </c>
      <c r="W266" t="s">
        <v>108</v>
      </c>
      <c r="X266" t="str">
        <f t="shared" si="68"/>
        <v>Standard Class</v>
      </c>
      <c r="Y266">
        <v>5</v>
      </c>
      <c r="Z266">
        <v>4</v>
      </c>
      <c r="AA266">
        <v>1503.07</v>
      </c>
      <c r="AB266">
        <v>0</v>
      </c>
      <c r="AC266">
        <f t="shared" si="69"/>
        <v>0</v>
      </c>
      <c r="AD266">
        <v>6012.28</v>
      </c>
      <c r="AE266">
        <f t="shared" si="70"/>
        <v>6012.28</v>
      </c>
      <c r="AF266">
        <v>3927.64</v>
      </c>
      <c r="AG266">
        <v>2084.64</v>
      </c>
      <c r="AH266">
        <f t="shared" si="71"/>
        <v>2084.64</v>
      </c>
      <c r="AI266">
        <f t="shared" si="72"/>
        <v>0.346730358532869</v>
      </c>
      <c r="AJ266" t="s">
        <v>77</v>
      </c>
      <c r="AK266" t="str">
        <f t="shared" si="73"/>
        <v>Paid</v>
      </c>
      <c r="AL266" t="s">
        <v>78</v>
      </c>
      <c r="AM266" t="str">
        <f t="shared" si="74"/>
        <v>Completed</v>
      </c>
      <c r="AN266">
        <v>5</v>
      </c>
      <c r="AO266">
        <v>2024</v>
      </c>
      <c r="AP266" t="s">
        <v>79</v>
      </c>
    </row>
    <row r="267" spans="1:42">
      <c r="A267" t="s">
        <v>1431</v>
      </c>
      <c r="B267" s="3" t="s">
        <v>1432</v>
      </c>
      <c r="C267" s="3">
        <v>45610</v>
      </c>
      <c r="D267" t="s">
        <v>961</v>
      </c>
      <c r="E267" s="3">
        <v>45618</v>
      </c>
      <c r="F267" t="s">
        <v>1433</v>
      </c>
      <c r="G267" t="s">
        <v>182</v>
      </c>
      <c r="H267" t="str">
        <f t="shared" si="60"/>
        <v>Priya Menon</v>
      </c>
      <c r="I267" t="s">
        <v>147</v>
      </c>
      <c r="J267" t="str">
        <f t="shared" si="61"/>
        <v>Corporate</v>
      </c>
      <c r="K267" t="s">
        <v>7</v>
      </c>
      <c r="L267" t="str">
        <f t="shared" si="62"/>
        <v>East</v>
      </c>
      <c r="M267" t="s">
        <v>227</v>
      </c>
      <c r="N267" t="str">
        <f t="shared" si="63"/>
        <v>Bihar</v>
      </c>
      <c r="O267" t="s">
        <v>228</v>
      </c>
      <c r="P267" t="str">
        <f t="shared" si="64"/>
        <v>Patna</v>
      </c>
      <c r="Q267" t="s">
        <v>19</v>
      </c>
      <c r="R267" t="str">
        <f t="shared" si="65"/>
        <v>Furniture</v>
      </c>
      <c r="S267" t="s">
        <v>245</v>
      </c>
      <c r="T267" t="str">
        <f t="shared" si="66"/>
        <v>Bookcases</v>
      </c>
      <c r="U267" t="s">
        <v>1434</v>
      </c>
      <c r="V267" t="str">
        <f t="shared" si="67"/>
        <v>Basic Bookcases 570</v>
      </c>
      <c r="W267" t="s">
        <v>90</v>
      </c>
      <c r="X267" t="str">
        <f t="shared" si="68"/>
        <v>Same Day</v>
      </c>
      <c r="Y267">
        <v>8</v>
      </c>
      <c r="Z267">
        <v>1</v>
      </c>
      <c r="AA267">
        <v>582.37</v>
      </c>
      <c r="AB267">
        <v>0.15</v>
      </c>
      <c r="AC267">
        <f t="shared" si="69"/>
        <v>0.15</v>
      </c>
      <c r="AD267">
        <v>495.01</v>
      </c>
      <c r="AE267">
        <f t="shared" si="70"/>
        <v>495.0145</v>
      </c>
      <c r="AF267">
        <v>285.13</v>
      </c>
      <c r="AG267">
        <v>209.88</v>
      </c>
      <c r="AH267">
        <f t="shared" si="71"/>
        <v>209.8845</v>
      </c>
      <c r="AI267">
        <f t="shared" si="72"/>
        <v>0.423996670804593</v>
      </c>
      <c r="AJ267" t="s">
        <v>163</v>
      </c>
      <c r="AK267" t="str">
        <f t="shared" si="73"/>
        <v>Refunded</v>
      </c>
      <c r="AL267" t="s">
        <v>1435</v>
      </c>
      <c r="AM267" t="str">
        <f t="shared" si="74"/>
        <v>Cancelled</v>
      </c>
      <c r="AN267">
        <v>11</v>
      </c>
      <c r="AO267">
        <v>2024</v>
      </c>
      <c r="AP267" t="s">
        <v>79</v>
      </c>
    </row>
    <row r="268" spans="1:42">
      <c r="A268" t="s">
        <v>1436</v>
      </c>
      <c r="B268" s="3" t="s">
        <v>1437</v>
      </c>
      <c r="C268" s="3">
        <v>45780</v>
      </c>
      <c r="D268" t="s">
        <v>1438</v>
      </c>
      <c r="E268" s="3">
        <v>45787</v>
      </c>
      <c r="F268" t="s">
        <v>1439</v>
      </c>
      <c r="G268" t="s">
        <v>132</v>
      </c>
      <c r="H268" t="str">
        <f t="shared" si="60"/>
        <v>Neha Gupta</v>
      </c>
      <c r="I268" t="s">
        <v>154</v>
      </c>
      <c r="J268" t="str">
        <f t="shared" si="61"/>
        <v>Home Office</v>
      </c>
      <c r="K268" t="s">
        <v>11</v>
      </c>
      <c r="L268" t="str">
        <f t="shared" si="62"/>
        <v>West</v>
      </c>
      <c r="M268" t="s">
        <v>114</v>
      </c>
      <c r="N268" t="str">
        <f t="shared" si="63"/>
        <v>Maharashtra</v>
      </c>
      <c r="O268" t="s">
        <v>115</v>
      </c>
      <c r="P268" t="str">
        <f t="shared" si="64"/>
        <v>Mumbai</v>
      </c>
      <c r="Q268" t="s">
        <v>22</v>
      </c>
      <c r="R268" t="str">
        <f t="shared" si="65"/>
        <v>Office Supplies</v>
      </c>
      <c r="S268" t="s">
        <v>196</v>
      </c>
      <c r="T268" t="str">
        <f t="shared" si="66"/>
        <v>Storage</v>
      </c>
      <c r="U268" t="s">
        <v>1440</v>
      </c>
      <c r="V268" t="str">
        <f t="shared" si="67"/>
        <v>Classic Storage 926</v>
      </c>
      <c r="W268" t="s">
        <v>76</v>
      </c>
      <c r="X268" t="str">
        <f t="shared" si="68"/>
        <v>Second Class</v>
      </c>
      <c r="Y268">
        <v>7</v>
      </c>
      <c r="Z268">
        <v>3</v>
      </c>
      <c r="AA268">
        <v>4339.24</v>
      </c>
      <c r="AB268">
        <v>0</v>
      </c>
      <c r="AC268">
        <f t="shared" si="69"/>
        <v>0</v>
      </c>
      <c r="AD268">
        <v>13017.72</v>
      </c>
      <c r="AE268">
        <f t="shared" si="70"/>
        <v>13017.72</v>
      </c>
      <c r="AF268">
        <v>10170.57</v>
      </c>
      <c r="AG268">
        <v>2847.15</v>
      </c>
      <c r="AH268">
        <f t="shared" si="71"/>
        <v>2847.15</v>
      </c>
      <c r="AI268">
        <f t="shared" si="72"/>
        <v>0.218713415252441</v>
      </c>
      <c r="AJ268" t="s">
        <v>77</v>
      </c>
      <c r="AK268" t="str">
        <f t="shared" si="73"/>
        <v>Paid</v>
      </c>
      <c r="AL268" t="s">
        <v>78</v>
      </c>
      <c r="AM268" t="str">
        <f t="shared" si="74"/>
        <v>Completed</v>
      </c>
      <c r="AN268">
        <v>5</v>
      </c>
      <c r="AO268">
        <v>2025</v>
      </c>
      <c r="AP268" t="s">
        <v>79</v>
      </c>
    </row>
    <row r="269" spans="1:42">
      <c r="A269" t="s">
        <v>1441</v>
      </c>
      <c r="B269" s="3" t="s">
        <v>1068</v>
      </c>
      <c r="C269" s="3">
        <v>45805</v>
      </c>
      <c r="D269" t="s">
        <v>1442</v>
      </c>
      <c r="E269" s="3">
        <v>45812</v>
      </c>
      <c r="F269" t="s">
        <v>1443</v>
      </c>
      <c r="G269" t="s">
        <v>251</v>
      </c>
      <c r="H269" t="str">
        <f t="shared" si="60"/>
        <v>Diya Patel</v>
      </c>
      <c r="I269" t="s">
        <v>147</v>
      </c>
      <c r="J269" t="str">
        <f t="shared" si="61"/>
        <v>Corporate</v>
      </c>
      <c r="K269" t="s">
        <v>7</v>
      </c>
      <c r="L269" t="str">
        <f t="shared" si="62"/>
        <v>East</v>
      </c>
      <c r="M269" t="s">
        <v>354</v>
      </c>
      <c r="N269" t="str">
        <f t="shared" si="63"/>
        <v>Jharkhand</v>
      </c>
      <c r="O269" t="s">
        <v>355</v>
      </c>
      <c r="P269" t="str">
        <f t="shared" si="64"/>
        <v>Ranchi</v>
      </c>
      <c r="Q269" t="s">
        <v>19</v>
      </c>
      <c r="R269" t="str">
        <f t="shared" si="65"/>
        <v>Furniture</v>
      </c>
      <c r="S269" t="s">
        <v>106</v>
      </c>
      <c r="T269" t="str">
        <f t="shared" si="66"/>
        <v>Furnishings</v>
      </c>
      <c r="U269" t="s">
        <v>1444</v>
      </c>
      <c r="V269" t="str">
        <f t="shared" si="67"/>
        <v>Basic Furnishings 372</v>
      </c>
      <c r="W269" t="s">
        <v>98</v>
      </c>
      <c r="X269" t="str">
        <f t="shared" si="68"/>
        <v>First Class</v>
      </c>
      <c r="Y269">
        <v>7</v>
      </c>
      <c r="Z269">
        <v>4</v>
      </c>
      <c r="AA269">
        <v>261.8</v>
      </c>
      <c r="AB269">
        <v>0.25</v>
      </c>
      <c r="AC269">
        <f t="shared" si="69"/>
        <v>0.25</v>
      </c>
      <c r="AD269">
        <v>785.4</v>
      </c>
      <c r="AE269">
        <f t="shared" si="70"/>
        <v>785.4</v>
      </c>
      <c r="AF269">
        <v>557.22</v>
      </c>
      <c r="AG269">
        <v>228.18</v>
      </c>
      <c r="AH269">
        <f t="shared" si="71"/>
        <v>228.18</v>
      </c>
      <c r="AI269">
        <f t="shared" si="72"/>
        <v>0.290527119938885</v>
      </c>
      <c r="AJ269" t="s">
        <v>77</v>
      </c>
      <c r="AK269" t="str">
        <f t="shared" si="73"/>
        <v>Paid</v>
      </c>
      <c r="AL269" t="s">
        <v>78</v>
      </c>
      <c r="AM269" t="str">
        <f t="shared" si="74"/>
        <v>Completed</v>
      </c>
      <c r="AN269">
        <v>5</v>
      </c>
      <c r="AO269">
        <v>2025</v>
      </c>
      <c r="AP269" t="s">
        <v>79</v>
      </c>
    </row>
    <row r="270" spans="1:42">
      <c r="A270" t="s">
        <v>1445</v>
      </c>
      <c r="B270" s="3" t="s">
        <v>1446</v>
      </c>
      <c r="C270" s="3">
        <v>45886</v>
      </c>
      <c r="D270" t="s">
        <v>1446</v>
      </c>
      <c r="E270" s="3">
        <v>45886</v>
      </c>
      <c r="F270" t="s">
        <v>1447</v>
      </c>
      <c r="G270" t="s">
        <v>202</v>
      </c>
      <c r="H270" t="str">
        <f t="shared" si="60"/>
        <v>Aarav Sharma</v>
      </c>
      <c r="I270" t="s">
        <v>154</v>
      </c>
      <c r="J270" t="str">
        <f t="shared" si="61"/>
        <v>Home Office</v>
      </c>
      <c r="K270" t="s">
        <v>8</v>
      </c>
      <c r="L270" t="str">
        <f t="shared" si="62"/>
        <v>North</v>
      </c>
      <c r="M270" t="s">
        <v>194</v>
      </c>
      <c r="N270" t="str">
        <f t="shared" si="63"/>
        <v>Punjab</v>
      </c>
      <c r="O270" t="s">
        <v>195</v>
      </c>
      <c r="P270" t="str">
        <f t="shared" si="64"/>
        <v>Ludhiana</v>
      </c>
      <c r="Q270" t="s">
        <v>24</v>
      </c>
      <c r="R270" t="str">
        <f t="shared" si="65"/>
        <v>Technology</v>
      </c>
      <c r="S270" t="s">
        <v>126</v>
      </c>
      <c r="T270" t="str">
        <f t="shared" si="66"/>
        <v>Accessories</v>
      </c>
      <c r="U270" t="s">
        <v>1448</v>
      </c>
      <c r="V270" t="str">
        <f t="shared" si="67"/>
        <v>Prime Accessories 367</v>
      </c>
      <c r="W270" t="s">
        <v>98</v>
      </c>
      <c r="X270" t="str">
        <f t="shared" si="68"/>
        <v>First Class</v>
      </c>
      <c r="Y270">
        <v>0</v>
      </c>
      <c r="Z270">
        <v>7</v>
      </c>
      <c r="AA270">
        <v>632.2</v>
      </c>
      <c r="AB270">
        <v>0.25</v>
      </c>
      <c r="AC270">
        <f t="shared" si="69"/>
        <v>0.25</v>
      </c>
      <c r="AD270">
        <v>3319.05</v>
      </c>
      <c r="AE270">
        <f t="shared" si="70"/>
        <v>3319.05</v>
      </c>
      <c r="AF270">
        <v>2124.6</v>
      </c>
      <c r="AG270">
        <v>1194.45</v>
      </c>
      <c r="AH270">
        <f t="shared" si="71"/>
        <v>1194.45</v>
      </c>
      <c r="AI270">
        <f t="shared" si="72"/>
        <v>0.359877073258914</v>
      </c>
      <c r="AJ270" t="s">
        <v>77</v>
      </c>
      <c r="AK270" t="str">
        <f t="shared" si="73"/>
        <v>Paid</v>
      </c>
      <c r="AL270" t="s">
        <v>78</v>
      </c>
      <c r="AM270" t="str">
        <f t="shared" si="74"/>
        <v>Completed</v>
      </c>
      <c r="AN270">
        <v>8</v>
      </c>
      <c r="AO270">
        <v>2025</v>
      </c>
      <c r="AP270" t="s">
        <v>79</v>
      </c>
    </row>
    <row r="271" spans="1:42">
      <c r="A271" t="s">
        <v>1449</v>
      </c>
      <c r="B271" s="3" t="s">
        <v>1387</v>
      </c>
      <c r="C271" s="3">
        <v>45698</v>
      </c>
      <c r="D271" t="s">
        <v>1450</v>
      </c>
      <c r="E271" s="3">
        <v>45700</v>
      </c>
      <c r="F271" t="s">
        <v>1451</v>
      </c>
      <c r="G271" t="s">
        <v>188</v>
      </c>
      <c r="H271" t="str">
        <f t="shared" si="60"/>
        <v>Rahul Verma</v>
      </c>
      <c r="I271" t="s">
        <v>85</v>
      </c>
      <c r="J271" t="str">
        <f t="shared" si="61"/>
        <v>Small Business</v>
      </c>
      <c r="K271" t="s">
        <v>11</v>
      </c>
      <c r="L271" t="str">
        <f t="shared" si="62"/>
        <v>West</v>
      </c>
      <c r="M271" t="s">
        <v>72</v>
      </c>
      <c r="N271" t="str">
        <f t="shared" si="63"/>
        <v>Rajasthan</v>
      </c>
      <c r="O271" t="s">
        <v>175</v>
      </c>
      <c r="P271" t="str">
        <f t="shared" si="64"/>
        <v>Udaipur</v>
      </c>
      <c r="Q271" t="s">
        <v>17</v>
      </c>
      <c r="R271" t="str">
        <f t="shared" si="65"/>
        <v>Furniture</v>
      </c>
      <c r="S271" t="s">
        <v>88</v>
      </c>
      <c r="T271" t="str">
        <f t="shared" si="66"/>
        <v>Tables</v>
      </c>
      <c r="U271" t="s">
        <v>1452</v>
      </c>
      <c r="V271" t="str">
        <f t="shared" si="67"/>
        <v>Max Tables 526</v>
      </c>
      <c r="W271" t="s">
        <v>90</v>
      </c>
      <c r="X271" t="str">
        <f t="shared" si="68"/>
        <v>Same Day</v>
      </c>
      <c r="Y271">
        <v>2</v>
      </c>
      <c r="Z271">
        <v>1</v>
      </c>
      <c r="AA271">
        <v>1925.86</v>
      </c>
      <c r="AB271">
        <v>0</v>
      </c>
      <c r="AC271">
        <f t="shared" si="69"/>
        <v>0</v>
      </c>
      <c r="AD271">
        <v>1925.86</v>
      </c>
      <c r="AE271">
        <f t="shared" si="70"/>
        <v>1925.86</v>
      </c>
      <c r="AF271">
        <v>1321.89</v>
      </c>
      <c r="AG271">
        <v>603.97</v>
      </c>
      <c r="AH271">
        <f t="shared" si="71"/>
        <v>603.97</v>
      </c>
      <c r="AI271">
        <f t="shared" si="72"/>
        <v>0.313610542822427</v>
      </c>
      <c r="AJ271" t="s">
        <v>77</v>
      </c>
      <c r="AK271" t="str">
        <f t="shared" si="73"/>
        <v>Paid</v>
      </c>
      <c r="AL271" t="s">
        <v>78</v>
      </c>
      <c r="AM271" t="str">
        <f t="shared" si="74"/>
        <v>Completed</v>
      </c>
      <c r="AN271">
        <v>2</v>
      </c>
      <c r="AO271">
        <v>2025</v>
      </c>
      <c r="AP271" t="s">
        <v>79</v>
      </c>
    </row>
    <row r="272" spans="1:42">
      <c r="A272" t="s">
        <v>1453</v>
      </c>
      <c r="B272" s="3" t="s">
        <v>1310</v>
      </c>
      <c r="C272" s="3">
        <v>45303</v>
      </c>
      <c r="D272" t="s">
        <v>609</v>
      </c>
      <c r="E272" s="3">
        <v>45304</v>
      </c>
      <c r="F272" t="s">
        <v>1454</v>
      </c>
      <c r="G272" t="s">
        <v>146</v>
      </c>
      <c r="H272" t="str">
        <f t="shared" si="60"/>
        <v>Aditi Sen</v>
      </c>
      <c r="I272" t="s">
        <v>147</v>
      </c>
      <c r="J272" t="str">
        <f t="shared" si="61"/>
        <v>Corporate</v>
      </c>
      <c r="K272" t="s">
        <v>8</v>
      </c>
      <c r="L272" t="str">
        <f t="shared" si="62"/>
        <v>North</v>
      </c>
      <c r="M272" t="s">
        <v>214</v>
      </c>
      <c r="N272" t="str">
        <f t="shared" si="63"/>
        <v>Uttar Pradesh</v>
      </c>
      <c r="O272" t="s">
        <v>215</v>
      </c>
      <c r="P272" t="str">
        <f t="shared" si="64"/>
        <v>Noida</v>
      </c>
      <c r="Q272" t="s">
        <v>24</v>
      </c>
      <c r="R272" t="str">
        <f t="shared" si="65"/>
        <v>Technology</v>
      </c>
      <c r="S272" t="s">
        <v>427</v>
      </c>
      <c r="T272" t="str">
        <f t="shared" si="66"/>
        <v>Machines</v>
      </c>
      <c r="U272" t="s">
        <v>1455</v>
      </c>
      <c r="V272" t="str">
        <f t="shared" si="67"/>
        <v>Prime Machines 794</v>
      </c>
      <c r="W272" t="s">
        <v>90</v>
      </c>
      <c r="X272" t="str">
        <f t="shared" si="68"/>
        <v>Same Day</v>
      </c>
      <c r="Y272">
        <v>1</v>
      </c>
      <c r="Z272">
        <v>3</v>
      </c>
      <c r="AA272">
        <v>827.44</v>
      </c>
      <c r="AB272">
        <v>0</v>
      </c>
      <c r="AC272">
        <f t="shared" si="69"/>
        <v>0</v>
      </c>
      <c r="AD272">
        <v>2482.32</v>
      </c>
      <c r="AE272">
        <f t="shared" si="70"/>
        <v>2482.32</v>
      </c>
      <c r="AF272">
        <v>1520.21</v>
      </c>
      <c r="AG272">
        <v>962.11</v>
      </c>
      <c r="AH272">
        <f t="shared" si="71"/>
        <v>962.11</v>
      </c>
      <c r="AI272">
        <f t="shared" si="72"/>
        <v>0.387585001127977</v>
      </c>
      <c r="AJ272" t="s">
        <v>77</v>
      </c>
      <c r="AK272" t="str">
        <f t="shared" si="73"/>
        <v>Paid</v>
      </c>
      <c r="AL272" t="s">
        <v>78</v>
      </c>
      <c r="AM272" t="str">
        <f t="shared" si="74"/>
        <v>Completed</v>
      </c>
      <c r="AN272">
        <v>1</v>
      </c>
      <c r="AO272">
        <v>2024</v>
      </c>
      <c r="AP272" t="s">
        <v>79</v>
      </c>
    </row>
    <row r="273" spans="1:42">
      <c r="A273" t="s">
        <v>1456</v>
      </c>
      <c r="B273" s="3" t="s">
        <v>1457</v>
      </c>
      <c r="C273" s="3">
        <v>45647</v>
      </c>
      <c r="D273" t="s">
        <v>1458</v>
      </c>
      <c r="E273" s="3">
        <v>45651</v>
      </c>
      <c r="F273" t="s">
        <v>1459</v>
      </c>
      <c r="G273" t="s">
        <v>146</v>
      </c>
      <c r="H273" t="str">
        <f t="shared" si="60"/>
        <v>Aditi Sen</v>
      </c>
      <c r="I273" t="s">
        <v>71</v>
      </c>
      <c r="J273" t="str">
        <f t="shared" si="61"/>
        <v>Consumer</v>
      </c>
      <c r="K273" t="s">
        <v>10</v>
      </c>
      <c r="L273" t="str">
        <f t="shared" si="62"/>
        <v>South</v>
      </c>
      <c r="M273" t="s">
        <v>104</v>
      </c>
      <c r="N273" t="str">
        <f t="shared" si="63"/>
        <v>Telangana</v>
      </c>
      <c r="O273" t="s">
        <v>105</v>
      </c>
      <c r="P273" t="str">
        <f t="shared" si="64"/>
        <v>Hyderabad</v>
      </c>
      <c r="Q273" t="s">
        <v>22</v>
      </c>
      <c r="R273" t="str">
        <f t="shared" si="65"/>
        <v>Office Supplies</v>
      </c>
      <c r="S273" t="s">
        <v>239</v>
      </c>
      <c r="T273" t="str">
        <f t="shared" si="66"/>
        <v>Binders</v>
      </c>
      <c r="U273" t="s">
        <v>1460</v>
      </c>
      <c r="V273" t="str">
        <f t="shared" si="67"/>
        <v>Max Binders 927</v>
      </c>
      <c r="W273" t="s">
        <v>108</v>
      </c>
      <c r="X273" t="str">
        <f t="shared" si="68"/>
        <v>Standard Class</v>
      </c>
      <c r="Y273">
        <v>4</v>
      </c>
      <c r="Z273">
        <v>7</v>
      </c>
      <c r="AA273">
        <v>1667.75</v>
      </c>
      <c r="AB273">
        <v>0</v>
      </c>
      <c r="AC273">
        <f t="shared" si="69"/>
        <v>0</v>
      </c>
      <c r="AD273">
        <v>11674.25</v>
      </c>
      <c r="AE273">
        <f t="shared" si="70"/>
        <v>11674.25</v>
      </c>
      <c r="AF273">
        <v>9621.19</v>
      </c>
      <c r="AG273">
        <v>2053.06</v>
      </c>
      <c r="AH273">
        <f t="shared" si="71"/>
        <v>2053.06</v>
      </c>
      <c r="AI273">
        <f t="shared" si="72"/>
        <v>0.175862260958948</v>
      </c>
      <c r="AJ273" t="s">
        <v>241</v>
      </c>
      <c r="AK273" t="str">
        <f t="shared" si="73"/>
        <v>Failed</v>
      </c>
      <c r="AL273" t="s">
        <v>118</v>
      </c>
      <c r="AM273" t="str">
        <f t="shared" si="74"/>
        <v>Cancelled</v>
      </c>
      <c r="AN273">
        <v>12</v>
      </c>
      <c r="AO273">
        <v>2024</v>
      </c>
      <c r="AP273" t="s">
        <v>79</v>
      </c>
    </row>
    <row r="274" spans="1:42">
      <c r="A274" t="s">
        <v>1461</v>
      </c>
      <c r="B274" s="3" t="s">
        <v>1462</v>
      </c>
      <c r="C274" s="3">
        <v>45522</v>
      </c>
      <c r="D274" t="s">
        <v>1463</v>
      </c>
      <c r="E274" s="3">
        <v>45528</v>
      </c>
      <c r="F274" t="s">
        <v>1464</v>
      </c>
      <c r="G274" t="s">
        <v>103</v>
      </c>
      <c r="H274" t="str">
        <f t="shared" si="60"/>
        <v>Arjun Bose</v>
      </c>
      <c r="I274" t="s">
        <v>71</v>
      </c>
      <c r="J274" t="str">
        <f t="shared" si="61"/>
        <v>Consumer</v>
      </c>
      <c r="K274" t="s">
        <v>10</v>
      </c>
      <c r="L274" t="str">
        <f t="shared" si="62"/>
        <v>South</v>
      </c>
      <c r="M274" t="s">
        <v>139</v>
      </c>
      <c r="N274" t="str">
        <f t="shared" si="63"/>
        <v>Andhra Pradesh</v>
      </c>
      <c r="O274" t="s">
        <v>140</v>
      </c>
      <c r="P274" t="str">
        <f t="shared" si="64"/>
        <v>Vijayawada</v>
      </c>
      <c r="Q274" t="s">
        <v>19</v>
      </c>
      <c r="R274" t="str">
        <f t="shared" si="65"/>
        <v>Furniture</v>
      </c>
      <c r="S274" t="s">
        <v>116</v>
      </c>
      <c r="T274" t="str">
        <f t="shared" si="66"/>
        <v>Chairs</v>
      </c>
      <c r="U274" t="s">
        <v>1465</v>
      </c>
      <c r="V274" t="str">
        <f t="shared" si="67"/>
        <v>Eco Chairs 314</v>
      </c>
      <c r="W274" t="s">
        <v>98</v>
      </c>
      <c r="X274" t="str">
        <f t="shared" si="68"/>
        <v>First Class</v>
      </c>
      <c r="Y274">
        <v>6</v>
      </c>
      <c r="Z274">
        <v>7</v>
      </c>
      <c r="AA274">
        <v>557.21</v>
      </c>
      <c r="AB274">
        <v>0.1</v>
      </c>
      <c r="AC274">
        <f t="shared" si="69"/>
        <v>0.1</v>
      </c>
      <c r="AD274">
        <v>3510.42</v>
      </c>
      <c r="AE274">
        <f t="shared" si="70"/>
        <v>3510.423</v>
      </c>
      <c r="AF274">
        <v>2191.5</v>
      </c>
      <c r="AG274">
        <v>1213.48</v>
      </c>
      <c r="AH274">
        <f t="shared" si="71"/>
        <v>1318.923</v>
      </c>
      <c r="AI274">
        <f t="shared" si="72"/>
        <v>0.375716259835353</v>
      </c>
      <c r="AJ274" t="s">
        <v>77</v>
      </c>
      <c r="AK274" t="str">
        <f t="shared" si="73"/>
        <v>Paid</v>
      </c>
      <c r="AL274" t="s">
        <v>78</v>
      </c>
      <c r="AM274" t="str">
        <f t="shared" si="74"/>
        <v>Completed</v>
      </c>
      <c r="AN274">
        <v>8</v>
      </c>
      <c r="AO274">
        <v>2024</v>
      </c>
      <c r="AP274" t="s">
        <v>79</v>
      </c>
    </row>
    <row r="275" spans="1:42">
      <c r="A275" t="s">
        <v>1466</v>
      </c>
      <c r="B275" s="3" t="s">
        <v>1467</v>
      </c>
      <c r="C275" s="3">
        <v>45701</v>
      </c>
      <c r="D275" t="s">
        <v>1468</v>
      </c>
      <c r="E275" s="3">
        <v>45701</v>
      </c>
      <c r="F275" t="s">
        <v>1469</v>
      </c>
      <c r="G275" t="s">
        <v>95</v>
      </c>
      <c r="H275" t="str">
        <f t="shared" si="60"/>
        <v>Isha Nair</v>
      </c>
      <c r="I275" t="s">
        <v>71</v>
      </c>
      <c r="J275" t="str">
        <f t="shared" si="61"/>
        <v>Consumer</v>
      </c>
      <c r="K275" t="s">
        <v>7</v>
      </c>
      <c r="L275" t="str">
        <f t="shared" si="62"/>
        <v>East</v>
      </c>
      <c r="M275" t="s">
        <v>227</v>
      </c>
      <c r="N275" t="str">
        <f t="shared" si="63"/>
        <v>Bihar</v>
      </c>
      <c r="O275" t="s">
        <v>228</v>
      </c>
      <c r="P275" t="str">
        <f t="shared" si="64"/>
        <v>Patna</v>
      </c>
      <c r="Q275" t="s">
        <v>22</v>
      </c>
      <c r="R275" t="str">
        <f t="shared" si="65"/>
        <v>Office Supplies</v>
      </c>
      <c r="S275" t="s">
        <v>74</v>
      </c>
      <c r="T275" t="str">
        <f t="shared" si="66"/>
        <v>Paper</v>
      </c>
      <c r="U275" t="s">
        <v>1470</v>
      </c>
      <c r="V275" t="str">
        <f t="shared" si="67"/>
        <v>Basic Paper 657</v>
      </c>
      <c r="W275" t="s">
        <v>76</v>
      </c>
      <c r="X275" t="str">
        <f t="shared" si="68"/>
        <v>Second Class</v>
      </c>
      <c r="Y275">
        <v>0</v>
      </c>
      <c r="Z275">
        <v>9</v>
      </c>
      <c r="AA275">
        <v>2521.63</v>
      </c>
      <c r="AB275">
        <v>0</v>
      </c>
      <c r="AC275">
        <f t="shared" si="69"/>
        <v>0</v>
      </c>
      <c r="AD275">
        <v>22694.67</v>
      </c>
      <c r="AE275">
        <f t="shared" si="70"/>
        <v>22694.67</v>
      </c>
      <c r="AF275">
        <v>15405.36</v>
      </c>
      <c r="AG275">
        <v>7289.31</v>
      </c>
      <c r="AH275">
        <f t="shared" si="71"/>
        <v>7289.31</v>
      </c>
      <c r="AI275">
        <f t="shared" si="72"/>
        <v>0.321190394044064</v>
      </c>
      <c r="AJ275" t="s">
        <v>77</v>
      </c>
      <c r="AK275" t="str">
        <f t="shared" si="73"/>
        <v>Paid</v>
      </c>
      <c r="AL275" t="s">
        <v>164</v>
      </c>
      <c r="AM275" t="str">
        <f t="shared" si="74"/>
        <v>Returned</v>
      </c>
      <c r="AN275">
        <v>2</v>
      </c>
      <c r="AO275">
        <v>2025</v>
      </c>
      <c r="AP275" t="s">
        <v>79</v>
      </c>
    </row>
    <row r="276" spans="1:42">
      <c r="A276" t="s">
        <v>1471</v>
      </c>
      <c r="B276" s="3" t="s">
        <v>1472</v>
      </c>
      <c r="C276" s="3">
        <v>45389</v>
      </c>
      <c r="D276" t="s">
        <v>1473</v>
      </c>
      <c r="E276" s="3">
        <v>45396</v>
      </c>
      <c r="F276" t="s">
        <v>1474</v>
      </c>
      <c r="G276" t="s">
        <v>220</v>
      </c>
      <c r="H276" t="str">
        <f t="shared" si="60"/>
        <v>Rohan Mehta</v>
      </c>
      <c r="I276" t="s">
        <v>71</v>
      </c>
      <c r="J276" t="str">
        <f t="shared" si="61"/>
        <v>Consumer</v>
      </c>
      <c r="K276" t="s">
        <v>10</v>
      </c>
      <c r="L276" t="str">
        <f t="shared" si="62"/>
        <v>South</v>
      </c>
      <c r="M276" t="s">
        <v>285</v>
      </c>
      <c r="N276" t="str">
        <f t="shared" si="63"/>
        <v>Kerala</v>
      </c>
      <c r="O276" t="s">
        <v>286</v>
      </c>
      <c r="P276" t="str">
        <f t="shared" si="64"/>
        <v>Kochi</v>
      </c>
      <c r="Q276" t="s">
        <v>24</v>
      </c>
      <c r="R276" t="str">
        <f t="shared" si="65"/>
        <v>Technology</v>
      </c>
      <c r="S276" t="s">
        <v>133</v>
      </c>
      <c r="T276" t="str">
        <f t="shared" si="66"/>
        <v>Copiers</v>
      </c>
      <c r="U276" t="s">
        <v>1475</v>
      </c>
      <c r="V276" t="str">
        <f t="shared" si="67"/>
        <v>Pro Copiers 406</v>
      </c>
      <c r="W276" t="s">
        <v>108</v>
      </c>
      <c r="X276" t="str">
        <f t="shared" si="68"/>
        <v>Standard Class</v>
      </c>
      <c r="Y276">
        <v>7</v>
      </c>
      <c r="Z276">
        <v>6</v>
      </c>
      <c r="AA276">
        <v>4246.71</v>
      </c>
      <c r="AB276">
        <v>0.15</v>
      </c>
      <c r="AC276">
        <f t="shared" si="69"/>
        <v>0.15</v>
      </c>
      <c r="AD276">
        <v>21658.22</v>
      </c>
      <c r="AE276">
        <f t="shared" si="70"/>
        <v>21658.221</v>
      </c>
      <c r="AF276">
        <v>15490.69</v>
      </c>
      <c r="AG276">
        <v>6167.53</v>
      </c>
      <c r="AH276">
        <f t="shared" si="71"/>
        <v>6167.531</v>
      </c>
      <c r="AI276">
        <f t="shared" si="72"/>
        <v>0.28476627881856</v>
      </c>
      <c r="AJ276" t="s">
        <v>241</v>
      </c>
      <c r="AK276" t="str">
        <f t="shared" si="73"/>
        <v>Failed</v>
      </c>
      <c r="AL276" t="s">
        <v>164</v>
      </c>
      <c r="AM276" t="str">
        <f t="shared" si="74"/>
        <v>Returned</v>
      </c>
      <c r="AN276">
        <v>4</v>
      </c>
      <c r="AO276">
        <v>2024</v>
      </c>
      <c r="AP276" t="s">
        <v>79</v>
      </c>
    </row>
    <row r="277" spans="1:42">
      <c r="A277" t="s">
        <v>1476</v>
      </c>
      <c r="B277" s="3" t="s">
        <v>725</v>
      </c>
      <c r="C277" s="3">
        <v>45337</v>
      </c>
      <c r="D277" t="s">
        <v>1477</v>
      </c>
      <c r="E277" s="3">
        <v>45344</v>
      </c>
      <c r="F277" t="s">
        <v>1478</v>
      </c>
      <c r="G277" t="s">
        <v>182</v>
      </c>
      <c r="H277" t="str">
        <f t="shared" si="60"/>
        <v>Priya Menon</v>
      </c>
      <c r="I277" t="s">
        <v>85</v>
      </c>
      <c r="J277" t="str">
        <f t="shared" si="61"/>
        <v>Small Business</v>
      </c>
      <c r="K277" t="s">
        <v>7</v>
      </c>
      <c r="L277" t="str">
        <f t="shared" si="62"/>
        <v>East</v>
      </c>
      <c r="M277" t="s">
        <v>160</v>
      </c>
      <c r="N277" t="str">
        <f t="shared" si="63"/>
        <v>West Bengal</v>
      </c>
      <c r="O277" t="s">
        <v>161</v>
      </c>
      <c r="P277" t="str">
        <f t="shared" si="64"/>
        <v>Kolkata</v>
      </c>
      <c r="Q277" t="s">
        <v>19</v>
      </c>
      <c r="R277" t="str">
        <f t="shared" si="65"/>
        <v>Furniture</v>
      </c>
      <c r="S277" t="s">
        <v>106</v>
      </c>
      <c r="T277" t="str">
        <f t="shared" si="66"/>
        <v>Furnishings</v>
      </c>
      <c r="U277" t="s">
        <v>1479</v>
      </c>
      <c r="V277" t="str">
        <f t="shared" si="67"/>
        <v>Eco Furnishings 678</v>
      </c>
      <c r="W277" t="s">
        <v>90</v>
      </c>
      <c r="X277" t="str">
        <f t="shared" si="68"/>
        <v>Same Day</v>
      </c>
      <c r="Y277">
        <v>7</v>
      </c>
      <c r="Z277">
        <v>1</v>
      </c>
      <c r="AA277">
        <v>980.51</v>
      </c>
      <c r="AB277">
        <v>0</v>
      </c>
      <c r="AC277">
        <f t="shared" si="69"/>
        <v>0</v>
      </c>
      <c r="AD277">
        <v>980.51</v>
      </c>
      <c r="AE277">
        <f t="shared" si="70"/>
        <v>980.51</v>
      </c>
      <c r="AF277">
        <v>660.92</v>
      </c>
      <c r="AG277">
        <v>319.59</v>
      </c>
      <c r="AH277">
        <f t="shared" si="71"/>
        <v>319.59</v>
      </c>
      <c r="AI277">
        <f t="shared" si="72"/>
        <v>0.325942621696872</v>
      </c>
      <c r="AJ277" t="s">
        <v>77</v>
      </c>
      <c r="AK277" t="str">
        <f t="shared" si="73"/>
        <v>Paid</v>
      </c>
      <c r="AL277" t="s">
        <v>78</v>
      </c>
      <c r="AM277" t="str">
        <f t="shared" si="74"/>
        <v>Completed</v>
      </c>
      <c r="AN277">
        <v>2</v>
      </c>
      <c r="AO277">
        <v>2024</v>
      </c>
      <c r="AP277" t="s">
        <v>79</v>
      </c>
    </row>
    <row r="278" spans="1:42">
      <c r="A278" t="s">
        <v>1480</v>
      </c>
      <c r="B278" s="3" t="s">
        <v>1109</v>
      </c>
      <c r="C278" s="3">
        <v>45313</v>
      </c>
      <c r="D278" t="s">
        <v>1481</v>
      </c>
      <c r="E278" s="3">
        <v>45314</v>
      </c>
      <c r="F278" t="s">
        <v>1482</v>
      </c>
      <c r="G278" t="s">
        <v>202</v>
      </c>
      <c r="H278" t="str">
        <f t="shared" si="60"/>
        <v>Aarav Sharma</v>
      </c>
      <c r="I278" t="s">
        <v>85</v>
      </c>
      <c r="J278" t="str">
        <f t="shared" si="61"/>
        <v>Small Business</v>
      </c>
      <c r="L278" t="str">
        <f t="shared" si="62"/>
        <v/>
      </c>
      <c r="M278" t="s">
        <v>258</v>
      </c>
      <c r="N278" t="str">
        <f t="shared" si="63"/>
        <v>Assam</v>
      </c>
      <c r="O278" t="s">
        <v>259</v>
      </c>
      <c r="P278" t="str">
        <f t="shared" si="64"/>
        <v>Guwahati</v>
      </c>
      <c r="Q278" t="s">
        <v>19</v>
      </c>
      <c r="R278" t="str">
        <f t="shared" si="65"/>
        <v>Furniture</v>
      </c>
      <c r="S278" t="s">
        <v>116</v>
      </c>
      <c r="T278" t="str">
        <f t="shared" si="66"/>
        <v>Chairs</v>
      </c>
      <c r="U278" t="s">
        <v>1483</v>
      </c>
      <c r="V278" t="str">
        <f t="shared" si="67"/>
        <v>Basic Chairs 141</v>
      </c>
      <c r="W278" t="s">
        <v>76</v>
      </c>
      <c r="X278" t="str">
        <f t="shared" si="68"/>
        <v>Second Class</v>
      </c>
      <c r="Y278">
        <v>1</v>
      </c>
      <c r="Z278">
        <v>6</v>
      </c>
      <c r="AA278">
        <v>3391.53</v>
      </c>
      <c r="AB278">
        <v>-0.14</v>
      </c>
      <c r="AC278">
        <f t="shared" si="69"/>
        <v>0</v>
      </c>
      <c r="AD278">
        <v>15261.89</v>
      </c>
      <c r="AE278">
        <f t="shared" si="70"/>
        <v>20349.18</v>
      </c>
      <c r="AF278">
        <v>8413.53</v>
      </c>
      <c r="AG278">
        <v>6848.36</v>
      </c>
      <c r="AH278">
        <f t="shared" si="71"/>
        <v>11935.65</v>
      </c>
      <c r="AI278">
        <f t="shared" si="72"/>
        <v>0.586542062137148</v>
      </c>
      <c r="AJ278" t="s">
        <v>77</v>
      </c>
      <c r="AK278" t="str">
        <f t="shared" si="73"/>
        <v>Paid</v>
      </c>
      <c r="AL278" t="s">
        <v>78</v>
      </c>
      <c r="AM278" t="str">
        <f t="shared" si="74"/>
        <v>Completed</v>
      </c>
      <c r="AN278">
        <v>1</v>
      </c>
      <c r="AO278">
        <v>2024</v>
      </c>
      <c r="AP278" t="s">
        <v>222</v>
      </c>
    </row>
    <row r="279" spans="1:42">
      <c r="A279" t="s">
        <v>1484</v>
      </c>
      <c r="B279" s="3" t="s">
        <v>1485</v>
      </c>
      <c r="C279" s="3">
        <v>45812</v>
      </c>
      <c r="D279" t="s">
        <v>1485</v>
      </c>
      <c r="E279" s="3">
        <v>45812</v>
      </c>
      <c r="F279" t="s">
        <v>1259</v>
      </c>
      <c r="G279" t="s">
        <v>95</v>
      </c>
      <c r="H279" t="str">
        <f t="shared" si="60"/>
        <v>Isha Nair</v>
      </c>
      <c r="I279" t="s">
        <v>147</v>
      </c>
      <c r="J279" t="str">
        <f t="shared" si="61"/>
        <v>Corporate</v>
      </c>
      <c r="K279" t="s">
        <v>8</v>
      </c>
      <c r="L279" t="str">
        <f t="shared" si="62"/>
        <v>North</v>
      </c>
      <c r="M279" t="s">
        <v>366</v>
      </c>
      <c r="N279" t="str">
        <f t="shared" si="63"/>
        <v>Haryana</v>
      </c>
      <c r="O279" t="s">
        <v>367</v>
      </c>
      <c r="P279" t="str">
        <f t="shared" si="64"/>
        <v>Gurugram</v>
      </c>
      <c r="Q279" t="s">
        <v>24</v>
      </c>
      <c r="R279" t="str">
        <f t="shared" si="65"/>
        <v>Technology</v>
      </c>
      <c r="S279" t="s">
        <v>126</v>
      </c>
      <c r="T279" t="str">
        <f t="shared" si="66"/>
        <v>Accessories</v>
      </c>
      <c r="U279" t="s">
        <v>1486</v>
      </c>
      <c r="V279" t="str">
        <f t="shared" si="67"/>
        <v>Elite Accessories 291</v>
      </c>
      <c r="W279" t="s">
        <v>76</v>
      </c>
      <c r="X279" t="str">
        <f t="shared" si="68"/>
        <v>Second Class</v>
      </c>
      <c r="Y279">
        <v>0</v>
      </c>
      <c r="Z279">
        <v>1</v>
      </c>
      <c r="AA279">
        <v>2133.73</v>
      </c>
      <c r="AB279">
        <v>0.15</v>
      </c>
      <c r="AC279">
        <f t="shared" si="69"/>
        <v>0.15</v>
      </c>
      <c r="AD279">
        <v>2008.39</v>
      </c>
      <c r="AE279">
        <f t="shared" si="70"/>
        <v>1813.6705</v>
      </c>
      <c r="AF279">
        <v>1002.57</v>
      </c>
      <c r="AG279">
        <v>811.1</v>
      </c>
      <c r="AH279">
        <f t="shared" si="71"/>
        <v>811.1005</v>
      </c>
      <c r="AI279">
        <f t="shared" si="72"/>
        <v>0.447214915829529</v>
      </c>
      <c r="AJ279" t="s">
        <v>177</v>
      </c>
      <c r="AK279" t="str">
        <f t="shared" si="73"/>
        <v>Pending</v>
      </c>
      <c r="AL279" t="s">
        <v>118</v>
      </c>
      <c r="AM279" t="str">
        <f t="shared" si="74"/>
        <v>Cancelled</v>
      </c>
      <c r="AN279">
        <v>6</v>
      </c>
      <c r="AO279">
        <v>2025</v>
      </c>
      <c r="AP279" t="s">
        <v>79</v>
      </c>
    </row>
    <row r="280" spans="1:42">
      <c r="A280" t="s">
        <v>1487</v>
      </c>
      <c r="B280" s="3" t="s">
        <v>837</v>
      </c>
      <c r="C280" s="3">
        <v>45723</v>
      </c>
      <c r="D280" t="s">
        <v>1488</v>
      </c>
      <c r="E280" s="3">
        <v>45730</v>
      </c>
      <c r="F280" t="s">
        <v>1489</v>
      </c>
      <c r="G280" t="s">
        <v>1490</v>
      </c>
      <c r="H280" t="str">
        <f t="shared" si="60"/>
        <v>Priya Menon</v>
      </c>
      <c r="I280" t="s">
        <v>85</v>
      </c>
      <c r="J280" t="str">
        <f t="shared" si="61"/>
        <v>Small Business</v>
      </c>
      <c r="K280" t="s">
        <v>8</v>
      </c>
      <c r="L280" t="str">
        <f t="shared" si="62"/>
        <v>North</v>
      </c>
      <c r="M280" t="s">
        <v>552</v>
      </c>
      <c r="N280" t="str">
        <f t="shared" si="63"/>
        <v>Delhi</v>
      </c>
      <c r="O280" t="s">
        <v>553</v>
      </c>
      <c r="P280" t="str">
        <f t="shared" si="64"/>
        <v>New Delhi</v>
      </c>
      <c r="Q280" t="s">
        <v>24</v>
      </c>
      <c r="R280" t="str">
        <f t="shared" si="65"/>
        <v>Technology</v>
      </c>
      <c r="S280" t="s">
        <v>126</v>
      </c>
      <c r="T280" t="str">
        <f t="shared" si="66"/>
        <v>Accessories</v>
      </c>
      <c r="U280" t="s">
        <v>1491</v>
      </c>
      <c r="V280" t="str">
        <f t="shared" si="67"/>
        <v>Pro Accessories 207</v>
      </c>
      <c r="W280" t="s">
        <v>90</v>
      </c>
      <c r="X280" t="str">
        <f t="shared" si="68"/>
        <v>Same Day</v>
      </c>
      <c r="Y280">
        <v>7</v>
      </c>
      <c r="Z280">
        <v>1</v>
      </c>
      <c r="AA280">
        <v>3979.64</v>
      </c>
      <c r="AB280">
        <v>0.05</v>
      </c>
      <c r="AC280">
        <f t="shared" si="69"/>
        <v>0.05</v>
      </c>
      <c r="AD280">
        <v>3780.66</v>
      </c>
      <c r="AE280">
        <f t="shared" si="70"/>
        <v>3780.658</v>
      </c>
      <c r="AF280">
        <v>2148.31</v>
      </c>
      <c r="AG280">
        <v>1632.35</v>
      </c>
      <c r="AH280">
        <f t="shared" si="71"/>
        <v>1632.348</v>
      </c>
      <c r="AI280">
        <f t="shared" si="72"/>
        <v>0.431762936504704</v>
      </c>
      <c r="AJ280" t="s">
        <v>77</v>
      </c>
      <c r="AK280" t="str">
        <f t="shared" si="73"/>
        <v>Paid</v>
      </c>
      <c r="AL280" t="s">
        <v>164</v>
      </c>
      <c r="AM280" t="str">
        <f t="shared" si="74"/>
        <v>Returned</v>
      </c>
      <c r="AN280">
        <v>3</v>
      </c>
      <c r="AO280">
        <v>2025</v>
      </c>
      <c r="AP280" t="s">
        <v>79</v>
      </c>
    </row>
    <row r="281" spans="1:42">
      <c r="A281" t="s">
        <v>1492</v>
      </c>
      <c r="B281" s="3" t="s">
        <v>1493</v>
      </c>
      <c r="C281" s="3">
        <v>45391</v>
      </c>
      <c r="D281" t="s">
        <v>1494</v>
      </c>
      <c r="E281" s="3">
        <v>45392</v>
      </c>
      <c r="F281" t="s">
        <v>1495</v>
      </c>
      <c r="G281" t="s">
        <v>220</v>
      </c>
      <c r="H281" t="str">
        <f t="shared" si="60"/>
        <v>Rohan Mehta</v>
      </c>
      <c r="I281" t="s">
        <v>85</v>
      </c>
      <c r="J281" t="str">
        <f t="shared" si="61"/>
        <v>Small Business</v>
      </c>
      <c r="K281" t="s">
        <v>11</v>
      </c>
      <c r="L281" t="str">
        <f t="shared" si="62"/>
        <v>West</v>
      </c>
      <c r="M281" t="s">
        <v>114</v>
      </c>
      <c r="N281" t="str">
        <f t="shared" si="63"/>
        <v>Maharashtra</v>
      </c>
      <c r="O281" t="s">
        <v>115</v>
      </c>
      <c r="P281" t="str">
        <f t="shared" si="64"/>
        <v>Mumbai</v>
      </c>
      <c r="Q281" t="s">
        <v>22</v>
      </c>
      <c r="R281" t="str">
        <f t="shared" si="65"/>
        <v>Office Supplies</v>
      </c>
      <c r="S281" t="s">
        <v>196</v>
      </c>
      <c r="T281" t="str">
        <f t="shared" si="66"/>
        <v>Storage</v>
      </c>
      <c r="U281" t="s">
        <v>1496</v>
      </c>
      <c r="V281" t="str">
        <f t="shared" si="67"/>
        <v>Max Storage 564</v>
      </c>
      <c r="W281" t="s">
        <v>98</v>
      </c>
      <c r="X281" t="str">
        <f t="shared" si="68"/>
        <v>First Class</v>
      </c>
      <c r="Y281">
        <v>1</v>
      </c>
      <c r="Z281">
        <v>1</v>
      </c>
      <c r="AA281">
        <v>4359.12</v>
      </c>
      <c r="AB281">
        <v>0.05</v>
      </c>
      <c r="AC281">
        <f t="shared" si="69"/>
        <v>0.05</v>
      </c>
      <c r="AD281">
        <v>4141.16</v>
      </c>
      <c r="AE281">
        <f t="shared" si="70"/>
        <v>4141.164</v>
      </c>
      <c r="AF281">
        <v>2754.17</v>
      </c>
      <c r="AG281">
        <v>1386.99</v>
      </c>
      <c r="AH281">
        <f t="shared" si="71"/>
        <v>1386.994</v>
      </c>
      <c r="AI281">
        <f t="shared" si="72"/>
        <v>0.334928537000708</v>
      </c>
      <c r="AJ281" t="s">
        <v>77</v>
      </c>
      <c r="AK281" t="str">
        <f t="shared" si="73"/>
        <v>Paid</v>
      </c>
      <c r="AL281" t="s">
        <v>78</v>
      </c>
      <c r="AM281" t="str">
        <f t="shared" si="74"/>
        <v>Completed</v>
      </c>
      <c r="AN281">
        <v>4</v>
      </c>
      <c r="AO281">
        <v>2024</v>
      </c>
      <c r="AP281" t="s">
        <v>79</v>
      </c>
    </row>
    <row r="282" spans="1:42">
      <c r="A282" t="s">
        <v>1497</v>
      </c>
      <c r="B282" s="3" t="s">
        <v>1498</v>
      </c>
      <c r="C282" s="3">
        <v>45649</v>
      </c>
      <c r="D282" t="s">
        <v>1499</v>
      </c>
      <c r="E282" s="3">
        <v>45652</v>
      </c>
      <c r="F282" t="s">
        <v>1500</v>
      </c>
      <c r="G282" t="s">
        <v>146</v>
      </c>
      <c r="H282" t="str">
        <f t="shared" si="60"/>
        <v>Aditi Sen</v>
      </c>
      <c r="I282" t="s">
        <v>71</v>
      </c>
      <c r="J282" t="str">
        <f t="shared" si="61"/>
        <v>Consumer</v>
      </c>
      <c r="K282" t="s">
        <v>10</v>
      </c>
      <c r="L282" t="str">
        <f t="shared" si="62"/>
        <v>South</v>
      </c>
      <c r="M282" t="s">
        <v>272</v>
      </c>
      <c r="N282" t="str">
        <f t="shared" si="63"/>
        <v>Karnataka</v>
      </c>
      <c r="O282" t="s">
        <v>273</v>
      </c>
      <c r="P282" t="str">
        <f t="shared" si="64"/>
        <v>Bengaluru</v>
      </c>
      <c r="Q282" t="s">
        <v>24</v>
      </c>
      <c r="R282" t="str">
        <f t="shared" si="65"/>
        <v>Technology</v>
      </c>
      <c r="S282" t="s">
        <v>133</v>
      </c>
      <c r="T282" t="str">
        <f t="shared" si="66"/>
        <v>Copiers</v>
      </c>
      <c r="U282" t="s">
        <v>1501</v>
      </c>
      <c r="V282" t="str">
        <f t="shared" si="67"/>
        <v>Prime Copiers 961</v>
      </c>
      <c r="W282" t="s">
        <v>108</v>
      </c>
      <c r="X282" t="str">
        <f t="shared" si="68"/>
        <v>Standard Class</v>
      </c>
      <c r="Y282">
        <v>3</v>
      </c>
      <c r="Z282">
        <v>9</v>
      </c>
      <c r="AA282">
        <v>993.67</v>
      </c>
      <c r="AB282">
        <v>0</v>
      </c>
      <c r="AC282">
        <f t="shared" si="69"/>
        <v>0</v>
      </c>
      <c r="AD282">
        <v>8943.03</v>
      </c>
      <c r="AE282">
        <f t="shared" si="70"/>
        <v>8943.03</v>
      </c>
      <c r="AF282">
        <v>5165.38</v>
      </c>
      <c r="AG282">
        <v>3777.65</v>
      </c>
      <c r="AH282">
        <f t="shared" si="71"/>
        <v>3777.65</v>
      </c>
      <c r="AI282">
        <f t="shared" si="72"/>
        <v>0.422412761670262</v>
      </c>
      <c r="AJ282" t="s">
        <v>77</v>
      </c>
      <c r="AK282" t="str">
        <f t="shared" si="73"/>
        <v>Paid</v>
      </c>
      <c r="AL282" t="s">
        <v>78</v>
      </c>
      <c r="AM282" t="str">
        <f t="shared" si="74"/>
        <v>Completed</v>
      </c>
      <c r="AN282">
        <v>12</v>
      </c>
      <c r="AO282">
        <v>2024</v>
      </c>
      <c r="AP282" t="s">
        <v>79</v>
      </c>
    </row>
    <row r="283" spans="1:42">
      <c r="A283" t="s">
        <v>1502</v>
      </c>
      <c r="B283" s="3" t="s">
        <v>1503</v>
      </c>
      <c r="C283" s="3">
        <v>45863</v>
      </c>
      <c r="D283" t="s">
        <v>1504</v>
      </c>
      <c r="E283" s="3">
        <v>45865</v>
      </c>
      <c r="F283" t="s">
        <v>1505</v>
      </c>
      <c r="G283" t="s">
        <v>411</v>
      </c>
      <c r="H283" t="str">
        <f t="shared" si="60"/>
        <v>Kabir Singh</v>
      </c>
      <c r="I283" t="s">
        <v>71</v>
      </c>
      <c r="J283" t="str">
        <f t="shared" si="61"/>
        <v>Consumer</v>
      </c>
      <c r="K283" t="s">
        <v>7</v>
      </c>
      <c r="L283" t="str">
        <f t="shared" si="62"/>
        <v>East</v>
      </c>
      <c r="M283" t="s">
        <v>354</v>
      </c>
      <c r="N283" t="str">
        <f t="shared" si="63"/>
        <v>Jharkhand</v>
      </c>
      <c r="O283" t="s">
        <v>355</v>
      </c>
      <c r="P283" t="str">
        <f t="shared" si="64"/>
        <v>Ranchi</v>
      </c>
      <c r="Q283" t="s">
        <v>22</v>
      </c>
      <c r="R283" t="str">
        <f t="shared" si="65"/>
        <v>Office Supplies</v>
      </c>
      <c r="S283" t="s">
        <v>239</v>
      </c>
      <c r="T283" t="str">
        <f t="shared" si="66"/>
        <v>Binders</v>
      </c>
      <c r="U283" t="s">
        <v>1506</v>
      </c>
      <c r="V283" t="str">
        <f t="shared" si="67"/>
        <v>Basic Binders 637</v>
      </c>
      <c r="W283" t="s">
        <v>76</v>
      </c>
      <c r="X283" t="str">
        <f t="shared" si="68"/>
        <v>Second Class</v>
      </c>
      <c r="Y283">
        <v>2</v>
      </c>
      <c r="Z283">
        <v>6</v>
      </c>
      <c r="AA283">
        <v>3438.38</v>
      </c>
      <c r="AB283">
        <v>0.2</v>
      </c>
      <c r="AC283">
        <f t="shared" si="69"/>
        <v>0.2</v>
      </c>
      <c r="AD283">
        <v>16504.22</v>
      </c>
      <c r="AE283">
        <f t="shared" si="70"/>
        <v>16504.224</v>
      </c>
      <c r="AF283">
        <v>11262.71</v>
      </c>
      <c r="AG283">
        <v>5241.51</v>
      </c>
      <c r="AH283">
        <f t="shared" si="71"/>
        <v>5241.514</v>
      </c>
      <c r="AI283">
        <f t="shared" si="72"/>
        <v>0.317586213080966</v>
      </c>
      <c r="AJ283" t="s">
        <v>77</v>
      </c>
      <c r="AK283" t="str">
        <f t="shared" si="73"/>
        <v>Paid</v>
      </c>
      <c r="AL283" t="s">
        <v>78</v>
      </c>
      <c r="AM283" t="str">
        <f t="shared" si="74"/>
        <v>Completed</v>
      </c>
      <c r="AN283">
        <v>7</v>
      </c>
      <c r="AO283">
        <v>2025</v>
      </c>
      <c r="AP283" t="s">
        <v>79</v>
      </c>
    </row>
    <row r="284" spans="1:42">
      <c r="A284" t="s">
        <v>1507</v>
      </c>
      <c r="B284" s="3" t="s">
        <v>1508</v>
      </c>
      <c r="C284" s="3">
        <v>45566</v>
      </c>
      <c r="D284" t="s">
        <v>1509</v>
      </c>
      <c r="E284" s="3">
        <v>45567</v>
      </c>
      <c r="F284" t="s">
        <v>1510</v>
      </c>
      <c r="G284" t="s">
        <v>70</v>
      </c>
      <c r="H284" t="str">
        <f t="shared" si="60"/>
        <v>Karan Malhotra</v>
      </c>
      <c r="I284" t="s">
        <v>154</v>
      </c>
      <c r="J284" t="str">
        <f t="shared" si="61"/>
        <v>Home Office</v>
      </c>
      <c r="K284" t="s">
        <v>7</v>
      </c>
      <c r="L284" t="str">
        <f t="shared" si="62"/>
        <v>East</v>
      </c>
      <c r="M284" t="s">
        <v>258</v>
      </c>
      <c r="N284" t="str">
        <f t="shared" si="63"/>
        <v>Assam</v>
      </c>
      <c r="O284" t="s">
        <v>259</v>
      </c>
      <c r="P284" t="str">
        <f t="shared" si="64"/>
        <v>Guwahati</v>
      </c>
      <c r="Q284" t="s">
        <v>19</v>
      </c>
      <c r="R284" t="str">
        <f t="shared" si="65"/>
        <v>Furniture</v>
      </c>
      <c r="S284" t="s">
        <v>88</v>
      </c>
      <c r="T284" t="str">
        <f t="shared" si="66"/>
        <v>Tables</v>
      </c>
      <c r="U284" t="s">
        <v>1511</v>
      </c>
      <c r="V284" t="str">
        <f t="shared" si="67"/>
        <v>Classic Tables 811</v>
      </c>
      <c r="W284" t="s">
        <v>76</v>
      </c>
      <c r="X284" t="str">
        <f t="shared" si="68"/>
        <v>Second Class</v>
      </c>
      <c r="Y284">
        <v>1</v>
      </c>
      <c r="Z284">
        <v>2</v>
      </c>
      <c r="AA284">
        <v>2298</v>
      </c>
      <c r="AB284">
        <v>0</v>
      </c>
      <c r="AC284">
        <f t="shared" si="69"/>
        <v>0</v>
      </c>
      <c r="AD284">
        <v>4596</v>
      </c>
      <c r="AE284">
        <f t="shared" si="70"/>
        <v>4596</v>
      </c>
      <c r="AF284">
        <v>3220.33</v>
      </c>
      <c r="AG284">
        <v>1375.67</v>
      </c>
      <c r="AH284">
        <f t="shared" si="71"/>
        <v>1375.67</v>
      </c>
      <c r="AI284">
        <f t="shared" si="72"/>
        <v>0.299318973020017</v>
      </c>
      <c r="AJ284" t="s">
        <v>77</v>
      </c>
      <c r="AK284" t="str">
        <f t="shared" si="73"/>
        <v>Paid</v>
      </c>
      <c r="AL284" t="s">
        <v>78</v>
      </c>
      <c r="AM284" t="str">
        <f t="shared" si="74"/>
        <v>Completed</v>
      </c>
      <c r="AN284">
        <v>10</v>
      </c>
      <c r="AO284">
        <v>2024</v>
      </c>
      <c r="AP284" t="s">
        <v>79</v>
      </c>
    </row>
    <row r="285" spans="1:42">
      <c r="A285" t="s">
        <v>1512</v>
      </c>
      <c r="B285" s="3" t="s">
        <v>1513</v>
      </c>
      <c r="C285" s="3">
        <v>45729</v>
      </c>
      <c r="D285" t="s">
        <v>1514</v>
      </c>
      <c r="E285" s="3">
        <v>45736</v>
      </c>
      <c r="F285" t="s">
        <v>1515</v>
      </c>
      <c r="G285" t="s">
        <v>123</v>
      </c>
      <c r="H285" t="str">
        <f t="shared" si="60"/>
        <v>Vikram Iyer</v>
      </c>
      <c r="I285" t="s">
        <v>71</v>
      </c>
      <c r="J285" t="str">
        <f t="shared" si="61"/>
        <v>Consumer</v>
      </c>
      <c r="K285" t="s">
        <v>11</v>
      </c>
      <c r="L285" t="str">
        <f t="shared" si="62"/>
        <v>West</v>
      </c>
      <c r="M285" t="s">
        <v>114</v>
      </c>
      <c r="N285" t="str">
        <f t="shared" si="63"/>
        <v>Maharashtra</v>
      </c>
      <c r="O285" t="s">
        <v>115</v>
      </c>
      <c r="P285" t="str">
        <f t="shared" si="64"/>
        <v>Mumbai</v>
      </c>
      <c r="Q285" t="s">
        <v>19</v>
      </c>
      <c r="R285" t="str">
        <f t="shared" si="65"/>
        <v>Furniture</v>
      </c>
      <c r="S285" t="s">
        <v>106</v>
      </c>
      <c r="T285" t="str">
        <f t="shared" si="66"/>
        <v>Furnishings</v>
      </c>
      <c r="U285" t="s">
        <v>1516</v>
      </c>
      <c r="V285" t="str">
        <f t="shared" si="67"/>
        <v>Classic Furnishings 819</v>
      </c>
      <c r="W285" t="s">
        <v>98</v>
      </c>
      <c r="X285" t="str">
        <f t="shared" si="68"/>
        <v>First Class</v>
      </c>
      <c r="Y285">
        <v>7</v>
      </c>
      <c r="Z285">
        <v>1</v>
      </c>
      <c r="AA285">
        <v>1814.01</v>
      </c>
      <c r="AB285">
        <v>0</v>
      </c>
      <c r="AC285">
        <f t="shared" si="69"/>
        <v>0</v>
      </c>
      <c r="AD285">
        <v>1814.01</v>
      </c>
      <c r="AE285">
        <f t="shared" si="70"/>
        <v>1814.01</v>
      </c>
      <c r="AF285">
        <v>1033.47</v>
      </c>
      <c r="AG285">
        <v>780.54</v>
      </c>
      <c r="AH285">
        <f t="shared" si="71"/>
        <v>780.54</v>
      </c>
      <c r="AI285">
        <f t="shared" si="72"/>
        <v>0.430284287297203</v>
      </c>
      <c r="AJ285" t="s">
        <v>77</v>
      </c>
      <c r="AK285" t="str">
        <f t="shared" si="73"/>
        <v>Paid</v>
      </c>
      <c r="AL285" t="s">
        <v>78</v>
      </c>
      <c r="AM285" t="str">
        <f t="shared" si="74"/>
        <v>Completed</v>
      </c>
      <c r="AN285">
        <v>3</v>
      </c>
      <c r="AO285">
        <v>2025</v>
      </c>
      <c r="AP285" t="s">
        <v>79</v>
      </c>
    </row>
    <row r="286" spans="1:42">
      <c r="A286" t="s">
        <v>1517</v>
      </c>
      <c r="B286" s="3" t="s">
        <v>1518</v>
      </c>
      <c r="C286" s="3">
        <v>45634</v>
      </c>
      <c r="D286" t="s">
        <v>1519</v>
      </c>
      <c r="E286" s="3">
        <v>45640</v>
      </c>
      <c r="F286" t="s">
        <v>1520</v>
      </c>
      <c r="G286" t="s">
        <v>70</v>
      </c>
      <c r="H286" t="str">
        <f t="shared" si="60"/>
        <v>Karan Malhotra</v>
      </c>
      <c r="I286" t="s">
        <v>71</v>
      </c>
      <c r="J286" t="str">
        <f t="shared" si="61"/>
        <v>Consumer</v>
      </c>
      <c r="K286" t="s">
        <v>7</v>
      </c>
      <c r="L286" t="str">
        <f t="shared" si="62"/>
        <v>East</v>
      </c>
      <c r="M286" t="s">
        <v>86</v>
      </c>
      <c r="N286" t="str">
        <f t="shared" si="63"/>
        <v>Odisha</v>
      </c>
      <c r="O286" t="s">
        <v>87</v>
      </c>
      <c r="P286" t="str">
        <f t="shared" si="64"/>
        <v>Bhubaneswar</v>
      </c>
      <c r="Q286" t="s">
        <v>19</v>
      </c>
      <c r="R286" t="str">
        <f t="shared" si="65"/>
        <v>Furniture</v>
      </c>
      <c r="S286" t="s">
        <v>88</v>
      </c>
      <c r="T286" t="str">
        <f t="shared" si="66"/>
        <v>Tables</v>
      </c>
      <c r="U286" t="s">
        <v>1521</v>
      </c>
      <c r="V286" t="str">
        <f t="shared" si="67"/>
        <v>Prime Tables 542</v>
      </c>
      <c r="W286" t="s">
        <v>90</v>
      </c>
      <c r="X286" t="str">
        <f t="shared" si="68"/>
        <v>Same Day</v>
      </c>
      <c r="Y286">
        <v>6</v>
      </c>
      <c r="Z286">
        <v>3</v>
      </c>
      <c r="AA286">
        <v>1576.92</v>
      </c>
      <c r="AB286">
        <v>0</v>
      </c>
      <c r="AC286">
        <f t="shared" si="69"/>
        <v>0</v>
      </c>
      <c r="AD286">
        <v>4730.76</v>
      </c>
      <c r="AE286">
        <f t="shared" si="70"/>
        <v>4730.76</v>
      </c>
      <c r="AF286">
        <v>3139.73</v>
      </c>
      <c r="AG286">
        <v>1591.03</v>
      </c>
      <c r="AH286">
        <f t="shared" si="71"/>
        <v>1591.03</v>
      </c>
      <c r="AI286">
        <f t="shared" si="72"/>
        <v>0.336315940779071</v>
      </c>
      <c r="AJ286" t="s">
        <v>77</v>
      </c>
      <c r="AK286" t="str">
        <f t="shared" si="73"/>
        <v>Paid</v>
      </c>
      <c r="AL286" t="s">
        <v>164</v>
      </c>
      <c r="AM286" t="str">
        <f t="shared" si="74"/>
        <v>Returned</v>
      </c>
      <c r="AN286">
        <v>12</v>
      </c>
      <c r="AO286">
        <v>2024</v>
      </c>
      <c r="AP286" t="s">
        <v>79</v>
      </c>
    </row>
    <row r="287" spans="1:42">
      <c r="A287" t="s">
        <v>1522</v>
      </c>
      <c r="B287" s="3" t="s">
        <v>1523</v>
      </c>
      <c r="C287" s="3">
        <v>45884</v>
      </c>
      <c r="D287" t="s">
        <v>1524</v>
      </c>
      <c r="E287" s="3">
        <v>45889</v>
      </c>
      <c r="F287" t="s">
        <v>1525</v>
      </c>
      <c r="G287" t="s">
        <v>132</v>
      </c>
      <c r="H287" t="str">
        <f t="shared" si="60"/>
        <v>Neha Gupta</v>
      </c>
      <c r="I287" t="s">
        <v>154</v>
      </c>
      <c r="J287" t="str">
        <f t="shared" si="61"/>
        <v>Home Office</v>
      </c>
      <c r="K287" t="s">
        <v>8</v>
      </c>
      <c r="L287" t="str">
        <f t="shared" si="62"/>
        <v>North</v>
      </c>
      <c r="M287" t="s">
        <v>72</v>
      </c>
      <c r="N287" t="str">
        <f t="shared" si="63"/>
        <v>Rajasthan</v>
      </c>
      <c r="O287" t="s">
        <v>73</v>
      </c>
      <c r="P287" t="str">
        <f t="shared" si="64"/>
        <v>Jaipur</v>
      </c>
      <c r="Q287" t="s">
        <v>22</v>
      </c>
      <c r="R287" t="str">
        <f t="shared" si="65"/>
        <v>Office Supplies</v>
      </c>
      <c r="S287" t="s">
        <v>196</v>
      </c>
      <c r="T287" t="str">
        <f t="shared" si="66"/>
        <v>Storage</v>
      </c>
      <c r="U287" t="s">
        <v>1526</v>
      </c>
      <c r="V287" t="str">
        <f t="shared" si="67"/>
        <v>Basic Storage 771</v>
      </c>
      <c r="W287" t="s">
        <v>108</v>
      </c>
      <c r="X287" t="str">
        <f t="shared" si="68"/>
        <v>Standard Class</v>
      </c>
      <c r="Y287">
        <v>5</v>
      </c>
      <c r="Z287">
        <v>9</v>
      </c>
      <c r="AA287">
        <v>4081.77</v>
      </c>
      <c r="AB287">
        <v>0</v>
      </c>
      <c r="AC287">
        <f t="shared" si="69"/>
        <v>0</v>
      </c>
      <c r="AD287">
        <v>36735.93</v>
      </c>
      <c r="AE287">
        <f t="shared" si="70"/>
        <v>36735.93</v>
      </c>
      <c r="AF287">
        <v>30820.84</v>
      </c>
      <c r="AG287">
        <v>5915.09</v>
      </c>
      <c r="AH287">
        <f t="shared" si="71"/>
        <v>5915.09</v>
      </c>
      <c r="AI287">
        <f t="shared" si="72"/>
        <v>0.161016476240019</v>
      </c>
      <c r="AJ287" t="s">
        <v>77</v>
      </c>
      <c r="AK287" t="str">
        <f t="shared" si="73"/>
        <v>Paid</v>
      </c>
      <c r="AL287" t="s">
        <v>78</v>
      </c>
      <c r="AM287" t="str">
        <f t="shared" si="74"/>
        <v>Completed</v>
      </c>
      <c r="AN287">
        <v>8</v>
      </c>
      <c r="AO287">
        <v>2025</v>
      </c>
      <c r="AP287" t="s">
        <v>79</v>
      </c>
    </row>
    <row r="288" spans="1:42">
      <c r="A288" t="s">
        <v>1527</v>
      </c>
      <c r="B288" s="3" t="s">
        <v>1528</v>
      </c>
      <c r="C288" s="3">
        <v>45350</v>
      </c>
      <c r="D288" t="s">
        <v>1529</v>
      </c>
      <c r="E288" s="3">
        <v>45353</v>
      </c>
      <c r="F288" t="s">
        <v>1530</v>
      </c>
      <c r="G288" t="s">
        <v>182</v>
      </c>
      <c r="H288" t="str">
        <f t="shared" si="60"/>
        <v>Priya Menon</v>
      </c>
      <c r="I288" t="s">
        <v>85</v>
      </c>
      <c r="J288" t="str">
        <f t="shared" si="61"/>
        <v>Small Business</v>
      </c>
      <c r="K288" t="s">
        <v>8</v>
      </c>
      <c r="L288" t="str">
        <f t="shared" si="62"/>
        <v>North</v>
      </c>
      <c r="M288" t="s">
        <v>552</v>
      </c>
      <c r="N288" t="str">
        <f t="shared" si="63"/>
        <v>Delhi</v>
      </c>
      <c r="O288" t="s">
        <v>553</v>
      </c>
      <c r="P288" t="str">
        <f t="shared" si="64"/>
        <v>New Delhi</v>
      </c>
      <c r="Q288" t="s">
        <v>19</v>
      </c>
      <c r="R288" t="str">
        <f t="shared" si="65"/>
        <v>Furniture</v>
      </c>
      <c r="S288" t="s">
        <v>106</v>
      </c>
      <c r="T288" t="str">
        <f t="shared" si="66"/>
        <v>Furnishings</v>
      </c>
      <c r="U288" t="s">
        <v>1531</v>
      </c>
      <c r="V288" t="str">
        <f t="shared" si="67"/>
        <v>Pro Furnishings 848</v>
      </c>
      <c r="W288" t="s">
        <v>98</v>
      </c>
      <c r="X288" t="str">
        <f t="shared" si="68"/>
        <v>First Class</v>
      </c>
      <c r="Y288">
        <v>3</v>
      </c>
      <c r="Z288">
        <v>7</v>
      </c>
      <c r="AA288">
        <v>701.8</v>
      </c>
      <c r="AB288">
        <v>0.1</v>
      </c>
      <c r="AC288">
        <f t="shared" si="69"/>
        <v>0.1</v>
      </c>
      <c r="AD288">
        <v>4421.34</v>
      </c>
      <c r="AE288">
        <f t="shared" si="70"/>
        <v>4421.34</v>
      </c>
      <c r="AF288">
        <v>2489.98</v>
      </c>
      <c r="AG288">
        <v>1931.36</v>
      </c>
      <c r="AH288">
        <f t="shared" si="71"/>
        <v>1931.36</v>
      </c>
      <c r="AI288">
        <f t="shared" si="72"/>
        <v>0.436826844350355</v>
      </c>
      <c r="AJ288" t="s">
        <v>177</v>
      </c>
      <c r="AK288" t="str">
        <f t="shared" si="73"/>
        <v>Pending</v>
      </c>
      <c r="AL288" t="s">
        <v>164</v>
      </c>
      <c r="AM288" t="str">
        <f t="shared" si="74"/>
        <v>Returned</v>
      </c>
      <c r="AN288">
        <v>2</v>
      </c>
      <c r="AO288">
        <v>2024</v>
      </c>
      <c r="AP288" t="s">
        <v>79</v>
      </c>
    </row>
    <row r="289" spans="1:42">
      <c r="A289" t="s">
        <v>1532</v>
      </c>
      <c r="B289" s="3" t="s">
        <v>1533</v>
      </c>
      <c r="C289" s="3">
        <v>45540</v>
      </c>
      <c r="D289" t="s">
        <v>1534</v>
      </c>
      <c r="E289" s="3">
        <v>45542</v>
      </c>
      <c r="F289" t="s">
        <v>1535</v>
      </c>
      <c r="G289" t="s">
        <v>132</v>
      </c>
      <c r="H289" t="str">
        <f t="shared" si="60"/>
        <v>Neha Gupta</v>
      </c>
      <c r="I289" t="s">
        <v>85</v>
      </c>
      <c r="J289" t="str">
        <f t="shared" si="61"/>
        <v>Small Business</v>
      </c>
      <c r="K289" t="s">
        <v>10</v>
      </c>
      <c r="L289" t="str">
        <f t="shared" si="62"/>
        <v>South</v>
      </c>
      <c r="M289" t="s">
        <v>382</v>
      </c>
      <c r="N289" t="str">
        <f t="shared" si="63"/>
        <v>Tamil Nadu</v>
      </c>
      <c r="O289" t="s">
        <v>383</v>
      </c>
      <c r="P289" t="str">
        <f t="shared" si="64"/>
        <v>Chennai</v>
      </c>
      <c r="Q289" t="s">
        <v>24</v>
      </c>
      <c r="R289" t="str">
        <f t="shared" si="65"/>
        <v>Technology</v>
      </c>
      <c r="S289" t="s">
        <v>133</v>
      </c>
      <c r="T289" t="str">
        <f t="shared" si="66"/>
        <v>Copiers</v>
      </c>
      <c r="U289" t="s">
        <v>1536</v>
      </c>
      <c r="V289" t="str">
        <f t="shared" si="67"/>
        <v>Prime Copiers 924</v>
      </c>
      <c r="W289" t="s">
        <v>108</v>
      </c>
      <c r="X289" t="str">
        <f t="shared" si="68"/>
        <v>Standard Class</v>
      </c>
      <c r="Y289">
        <v>2</v>
      </c>
      <c r="Z289">
        <v>3</v>
      </c>
      <c r="AA289">
        <v>2555.66</v>
      </c>
      <c r="AB289">
        <v>0.15</v>
      </c>
      <c r="AC289">
        <f t="shared" si="69"/>
        <v>0.15</v>
      </c>
      <c r="AD289">
        <v>6516.93</v>
      </c>
      <c r="AE289">
        <f t="shared" si="70"/>
        <v>6516.933</v>
      </c>
      <c r="AF289">
        <v>4511.54</v>
      </c>
      <c r="AG289">
        <v>2005.39</v>
      </c>
      <c r="AH289">
        <f t="shared" si="71"/>
        <v>2005.393</v>
      </c>
      <c r="AI289">
        <f t="shared" si="72"/>
        <v>0.307720364778953</v>
      </c>
      <c r="AJ289" t="s">
        <v>77</v>
      </c>
      <c r="AK289" t="str">
        <f t="shared" si="73"/>
        <v>Paid</v>
      </c>
      <c r="AL289" t="s">
        <v>118</v>
      </c>
      <c r="AM289" t="str">
        <f t="shared" si="74"/>
        <v>Cancelled</v>
      </c>
      <c r="AN289">
        <v>9</v>
      </c>
      <c r="AO289">
        <v>2024</v>
      </c>
      <c r="AP289" t="s">
        <v>79</v>
      </c>
    </row>
    <row r="290" spans="1:42">
      <c r="A290" t="s">
        <v>1537</v>
      </c>
      <c r="B290" s="3" t="s">
        <v>1538</v>
      </c>
      <c r="C290" s="3">
        <v>45467</v>
      </c>
      <c r="D290" t="s">
        <v>1538</v>
      </c>
      <c r="E290" s="3">
        <v>45467</v>
      </c>
      <c r="F290" t="s">
        <v>1539</v>
      </c>
      <c r="G290" t="s">
        <v>220</v>
      </c>
      <c r="H290" t="str">
        <f t="shared" si="60"/>
        <v>Rohan Mehta</v>
      </c>
      <c r="I290" t="s">
        <v>85</v>
      </c>
      <c r="J290" t="str">
        <f t="shared" si="61"/>
        <v>Small Business</v>
      </c>
      <c r="K290" t="s">
        <v>7</v>
      </c>
      <c r="L290" t="str">
        <f t="shared" si="62"/>
        <v>East</v>
      </c>
      <c r="M290" t="s">
        <v>227</v>
      </c>
      <c r="N290" t="str">
        <f t="shared" si="63"/>
        <v>Bihar</v>
      </c>
      <c r="O290" t="s">
        <v>228</v>
      </c>
      <c r="P290" t="str">
        <f t="shared" si="64"/>
        <v>Patna</v>
      </c>
      <c r="Q290" t="s">
        <v>22</v>
      </c>
      <c r="R290" t="str">
        <f t="shared" si="65"/>
        <v>Office Supplies</v>
      </c>
      <c r="S290" t="s">
        <v>239</v>
      </c>
      <c r="T290" t="str">
        <f t="shared" si="66"/>
        <v>Binders</v>
      </c>
      <c r="U290" t="s">
        <v>1540</v>
      </c>
      <c r="V290" t="str">
        <f t="shared" si="67"/>
        <v>Classic Binders 721</v>
      </c>
      <c r="W290" t="s">
        <v>90</v>
      </c>
      <c r="X290" t="str">
        <f t="shared" si="68"/>
        <v>Same Day</v>
      </c>
      <c r="Y290">
        <v>0</v>
      </c>
      <c r="Z290">
        <v>2</v>
      </c>
      <c r="AA290">
        <v>4359.9</v>
      </c>
      <c r="AB290">
        <v>0.15</v>
      </c>
      <c r="AC290">
        <f t="shared" si="69"/>
        <v>0.15</v>
      </c>
      <c r="AD290">
        <v>7411.83</v>
      </c>
      <c r="AE290">
        <f t="shared" si="70"/>
        <v>7411.83</v>
      </c>
      <c r="AF290">
        <v>4904.63</v>
      </c>
      <c r="AG290">
        <v>2507.2</v>
      </c>
      <c r="AH290">
        <f t="shared" si="71"/>
        <v>2507.2</v>
      </c>
      <c r="AI290">
        <f t="shared" si="72"/>
        <v>0.338270035875081</v>
      </c>
      <c r="AJ290" t="s">
        <v>77</v>
      </c>
      <c r="AK290" t="str">
        <f t="shared" si="73"/>
        <v>Paid</v>
      </c>
      <c r="AL290" t="s">
        <v>78</v>
      </c>
      <c r="AM290" t="str">
        <f t="shared" si="74"/>
        <v>Completed</v>
      </c>
      <c r="AN290">
        <v>6</v>
      </c>
      <c r="AO290">
        <v>2024</v>
      </c>
      <c r="AP290" t="s">
        <v>79</v>
      </c>
    </row>
    <row r="291" spans="1:42">
      <c r="A291" t="s">
        <v>1541</v>
      </c>
      <c r="B291" s="3" t="s">
        <v>297</v>
      </c>
      <c r="C291" s="3">
        <v>45827</v>
      </c>
      <c r="D291" t="s">
        <v>696</v>
      </c>
      <c r="E291" s="3">
        <v>45835</v>
      </c>
      <c r="F291" t="s">
        <v>1542</v>
      </c>
      <c r="G291" t="s">
        <v>70</v>
      </c>
      <c r="H291" t="str">
        <f t="shared" si="60"/>
        <v>Karan Malhotra</v>
      </c>
      <c r="I291" t="s">
        <v>154</v>
      </c>
      <c r="J291" t="str">
        <f t="shared" si="61"/>
        <v>Home Office</v>
      </c>
      <c r="K291" t="s">
        <v>10</v>
      </c>
      <c r="L291" t="str">
        <f t="shared" si="62"/>
        <v>South</v>
      </c>
      <c r="M291" t="s">
        <v>382</v>
      </c>
      <c r="N291" t="str">
        <f t="shared" si="63"/>
        <v>Tamil Nadu</v>
      </c>
      <c r="O291" t="s">
        <v>383</v>
      </c>
      <c r="P291" t="str">
        <f t="shared" si="64"/>
        <v>Chennai</v>
      </c>
      <c r="Q291" t="s">
        <v>19</v>
      </c>
      <c r="R291" t="str">
        <f t="shared" si="65"/>
        <v>Furniture</v>
      </c>
      <c r="S291" t="s">
        <v>245</v>
      </c>
      <c r="T291" t="str">
        <f t="shared" si="66"/>
        <v>Bookcases</v>
      </c>
      <c r="U291" t="s">
        <v>1543</v>
      </c>
      <c r="V291" t="str">
        <f t="shared" si="67"/>
        <v>Basic Bookcases 823</v>
      </c>
      <c r="W291" t="s">
        <v>98</v>
      </c>
      <c r="X291" t="str">
        <f t="shared" si="68"/>
        <v>First Class</v>
      </c>
      <c r="Y291">
        <v>8</v>
      </c>
      <c r="Z291">
        <v>2</v>
      </c>
      <c r="AA291">
        <v>4346.69</v>
      </c>
      <c r="AB291">
        <v>0.05</v>
      </c>
      <c r="AC291">
        <f t="shared" si="69"/>
        <v>0.05</v>
      </c>
      <c r="AD291">
        <v>8258.71</v>
      </c>
      <c r="AE291">
        <f t="shared" si="70"/>
        <v>8258.711</v>
      </c>
      <c r="AF291">
        <v>7018.97</v>
      </c>
      <c r="AG291">
        <v>1239.74</v>
      </c>
      <c r="AH291">
        <f t="shared" si="71"/>
        <v>1239.741</v>
      </c>
      <c r="AI291">
        <f t="shared" si="72"/>
        <v>0.150113135088514</v>
      </c>
      <c r="AJ291" t="s">
        <v>77</v>
      </c>
      <c r="AK291" t="str">
        <f t="shared" si="73"/>
        <v>Paid</v>
      </c>
      <c r="AL291" t="s">
        <v>78</v>
      </c>
      <c r="AM291" t="str">
        <f t="shared" si="74"/>
        <v>Completed</v>
      </c>
      <c r="AN291">
        <v>6</v>
      </c>
      <c r="AO291">
        <v>2025</v>
      </c>
      <c r="AP291" t="s">
        <v>79</v>
      </c>
    </row>
    <row r="292" spans="1:42">
      <c r="A292" t="s">
        <v>1544</v>
      </c>
      <c r="B292" s="3" t="s">
        <v>1545</v>
      </c>
      <c r="C292" s="3">
        <v>45891</v>
      </c>
      <c r="D292" t="s">
        <v>1546</v>
      </c>
      <c r="E292" s="3">
        <v>45895</v>
      </c>
      <c r="F292" t="s">
        <v>1547</v>
      </c>
      <c r="G292" t="s">
        <v>251</v>
      </c>
      <c r="H292" t="str">
        <f t="shared" si="60"/>
        <v>Diya Patel</v>
      </c>
      <c r="I292" t="s">
        <v>154</v>
      </c>
      <c r="J292" t="str">
        <f t="shared" si="61"/>
        <v>Home Office</v>
      </c>
      <c r="K292" t="s">
        <v>7</v>
      </c>
      <c r="L292" t="str">
        <f t="shared" si="62"/>
        <v>East</v>
      </c>
      <c r="M292" t="s">
        <v>354</v>
      </c>
      <c r="N292" t="str">
        <f t="shared" si="63"/>
        <v>Jharkhand</v>
      </c>
      <c r="O292" t="s">
        <v>355</v>
      </c>
      <c r="P292" t="str">
        <f t="shared" si="64"/>
        <v>Ranchi</v>
      </c>
      <c r="Q292" t="s">
        <v>19</v>
      </c>
      <c r="R292" t="str">
        <f t="shared" si="65"/>
        <v>Furniture</v>
      </c>
      <c r="S292" t="s">
        <v>88</v>
      </c>
      <c r="T292" t="str">
        <f t="shared" si="66"/>
        <v>Tables</v>
      </c>
      <c r="U292" t="s">
        <v>1548</v>
      </c>
      <c r="V292" t="str">
        <f t="shared" si="67"/>
        <v>Classic Tables 178</v>
      </c>
      <c r="W292" t="s">
        <v>108</v>
      </c>
      <c r="X292" t="str">
        <f t="shared" si="68"/>
        <v>Standard Class</v>
      </c>
      <c r="Y292">
        <v>4</v>
      </c>
      <c r="Z292">
        <v>1</v>
      </c>
      <c r="AA292">
        <v>1842.63</v>
      </c>
      <c r="AB292">
        <v>0.1</v>
      </c>
      <c r="AC292">
        <f t="shared" si="69"/>
        <v>0.1</v>
      </c>
      <c r="AD292">
        <v>1658.37</v>
      </c>
      <c r="AE292">
        <f t="shared" si="70"/>
        <v>1658.367</v>
      </c>
      <c r="AF292">
        <v>971.12</v>
      </c>
      <c r="AG292">
        <v>687.25</v>
      </c>
      <c r="AH292">
        <f t="shared" si="71"/>
        <v>687.247</v>
      </c>
      <c r="AI292">
        <f t="shared" si="72"/>
        <v>0.414411888321463</v>
      </c>
      <c r="AJ292" t="s">
        <v>77</v>
      </c>
      <c r="AK292" t="str">
        <f t="shared" si="73"/>
        <v>Paid</v>
      </c>
      <c r="AL292" t="s">
        <v>78</v>
      </c>
      <c r="AM292" t="str">
        <f t="shared" si="74"/>
        <v>Completed</v>
      </c>
      <c r="AN292">
        <v>8</v>
      </c>
      <c r="AO292">
        <v>2025</v>
      </c>
      <c r="AP292" t="s">
        <v>79</v>
      </c>
    </row>
    <row r="293" spans="1:42">
      <c r="A293" t="s">
        <v>1549</v>
      </c>
      <c r="B293" s="3" t="s">
        <v>1550</v>
      </c>
      <c r="C293" s="3">
        <v>45387</v>
      </c>
      <c r="D293" t="s">
        <v>1551</v>
      </c>
      <c r="E293" s="3">
        <v>45392</v>
      </c>
      <c r="F293" t="s">
        <v>1552</v>
      </c>
      <c r="G293" t="s">
        <v>182</v>
      </c>
      <c r="H293" t="str">
        <f t="shared" si="60"/>
        <v>Priya Menon</v>
      </c>
      <c r="I293" t="s">
        <v>154</v>
      </c>
      <c r="J293" t="str">
        <f t="shared" si="61"/>
        <v>Home Office</v>
      </c>
      <c r="K293" t="s">
        <v>8</v>
      </c>
      <c r="L293" t="str">
        <f t="shared" si="62"/>
        <v>North</v>
      </c>
      <c r="M293" t="s">
        <v>72</v>
      </c>
      <c r="N293" t="str">
        <f t="shared" si="63"/>
        <v>Rajasthan</v>
      </c>
      <c r="O293" t="s">
        <v>73</v>
      </c>
      <c r="P293" t="str">
        <f t="shared" si="64"/>
        <v>Jaipur</v>
      </c>
      <c r="Q293" t="s">
        <v>22</v>
      </c>
      <c r="R293" t="str">
        <f t="shared" si="65"/>
        <v>Office Supplies</v>
      </c>
      <c r="S293" t="s">
        <v>239</v>
      </c>
      <c r="T293" t="str">
        <f t="shared" si="66"/>
        <v>Binders</v>
      </c>
      <c r="U293" t="s">
        <v>1553</v>
      </c>
      <c r="V293" t="str">
        <f t="shared" si="67"/>
        <v>Eco Binders 153</v>
      </c>
      <c r="W293" t="s">
        <v>108</v>
      </c>
      <c r="X293" t="str">
        <f t="shared" si="68"/>
        <v>Standard Class</v>
      </c>
      <c r="Y293">
        <v>5</v>
      </c>
      <c r="Z293">
        <v>4</v>
      </c>
      <c r="AA293">
        <v>3228.66</v>
      </c>
      <c r="AB293">
        <v>0.25</v>
      </c>
      <c r="AC293">
        <f t="shared" si="69"/>
        <v>0.25</v>
      </c>
      <c r="AD293">
        <v>9685.98</v>
      </c>
      <c r="AE293">
        <f t="shared" si="70"/>
        <v>9685.98</v>
      </c>
      <c r="AF293">
        <v>7730.04</v>
      </c>
      <c r="AG293">
        <v>1955.94</v>
      </c>
      <c r="AH293">
        <f t="shared" si="71"/>
        <v>1955.94</v>
      </c>
      <c r="AI293">
        <f t="shared" si="72"/>
        <v>0.201935168150254</v>
      </c>
      <c r="AJ293" t="s">
        <v>77</v>
      </c>
      <c r="AK293" t="str">
        <f t="shared" si="73"/>
        <v>Paid</v>
      </c>
      <c r="AL293" t="s">
        <v>78</v>
      </c>
      <c r="AM293" t="str">
        <f t="shared" si="74"/>
        <v>Completed</v>
      </c>
      <c r="AN293">
        <v>4</v>
      </c>
      <c r="AO293">
        <v>2024</v>
      </c>
      <c r="AP293" t="s">
        <v>79</v>
      </c>
    </row>
    <row r="294" spans="1:42">
      <c r="A294" t="s">
        <v>1554</v>
      </c>
      <c r="B294" s="3" t="s">
        <v>1555</v>
      </c>
      <c r="C294" s="3">
        <v>45716</v>
      </c>
      <c r="D294" t="s">
        <v>1556</v>
      </c>
      <c r="E294" s="3">
        <v>45719</v>
      </c>
      <c r="F294" t="s">
        <v>1557</v>
      </c>
      <c r="G294" t="s">
        <v>411</v>
      </c>
      <c r="H294" t="str">
        <f t="shared" si="60"/>
        <v>Kabir Singh</v>
      </c>
      <c r="I294" t="s">
        <v>154</v>
      </c>
      <c r="J294" t="str">
        <f t="shared" si="61"/>
        <v>Home Office</v>
      </c>
      <c r="K294" t="s">
        <v>8</v>
      </c>
      <c r="L294" t="str">
        <f t="shared" si="62"/>
        <v>North</v>
      </c>
      <c r="M294" t="s">
        <v>366</v>
      </c>
      <c r="N294" t="str">
        <f t="shared" si="63"/>
        <v>Haryana</v>
      </c>
      <c r="O294" t="s">
        <v>367</v>
      </c>
      <c r="P294" t="str">
        <f t="shared" si="64"/>
        <v>Gurugram</v>
      </c>
      <c r="Q294" t="s">
        <v>22</v>
      </c>
      <c r="R294" t="str">
        <f t="shared" si="65"/>
        <v>Office Supplies</v>
      </c>
      <c r="S294" t="s">
        <v>96</v>
      </c>
      <c r="T294" t="str">
        <f t="shared" si="66"/>
        <v>Art</v>
      </c>
      <c r="U294" t="s">
        <v>1558</v>
      </c>
      <c r="V294" t="str">
        <f t="shared" si="67"/>
        <v>Classic Art 183</v>
      </c>
      <c r="W294" t="s">
        <v>90</v>
      </c>
      <c r="X294" t="str">
        <f t="shared" si="68"/>
        <v>Same Day</v>
      </c>
      <c r="Y294">
        <v>3</v>
      </c>
      <c r="Z294">
        <v>9</v>
      </c>
      <c r="AA294">
        <v>3748.95</v>
      </c>
      <c r="AB294">
        <v>0</v>
      </c>
      <c r="AC294">
        <f t="shared" si="69"/>
        <v>0</v>
      </c>
      <c r="AD294">
        <v>33740.55</v>
      </c>
      <c r="AE294">
        <f t="shared" si="70"/>
        <v>33740.55</v>
      </c>
      <c r="AF294">
        <v>24621.89</v>
      </c>
      <c r="AG294">
        <v>9118.66</v>
      </c>
      <c r="AH294">
        <f t="shared" si="71"/>
        <v>9118.66</v>
      </c>
      <c r="AI294">
        <f t="shared" si="72"/>
        <v>0.270258190811946</v>
      </c>
      <c r="AJ294" t="s">
        <v>177</v>
      </c>
      <c r="AK294" t="str">
        <f t="shared" si="73"/>
        <v>Pending</v>
      </c>
      <c r="AL294" t="s">
        <v>118</v>
      </c>
      <c r="AM294" t="str">
        <f t="shared" si="74"/>
        <v>Cancelled</v>
      </c>
      <c r="AN294">
        <v>2</v>
      </c>
      <c r="AO294">
        <v>2025</v>
      </c>
      <c r="AP294" t="s">
        <v>79</v>
      </c>
    </row>
    <row r="295" spans="1:42">
      <c r="A295" t="s">
        <v>1559</v>
      </c>
      <c r="B295" s="3" t="s">
        <v>1560</v>
      </c>
      <c r="C295" s="3">
        <v>45358</v>
      </c>
      <c r="D295" t="s">
        <v>1561</v>
      </c>
      <c r="E295" s="3">
        <v>45362</v>
      </c>
      <c r="F295" t="s">
        <v>1562</v>
      </c>
      <c r="G295" t="s">
        <v>103</v>
      </c>
      <c r="H295" t="str">
        <f t="shared" si="60"/>
        <v>Arjun Bose</v>
      </c>
      <c r="I295" t="s">
        <v>154</v>
      </c>
      <c r="J295" t="str">
        <f t="shared" si="61"/>
        <v>Home Office</v>
      </c>
      <c r="K295" t="s">
        <v>10</v>
      </c>
      <c r="L295" t="str">
        <f t="shared" si="62"/>
        <v>South</v>
      </c>
      <c r="M295" t="s">
        <v>104</v>
      </c>
      <c r="N295" t="str">
        <f t="shared" si="63"/>
        <v>Telangana</v>
      </c>
      <c r="O295" t="s">
        <v>105</v>
      </c>
      <c r="P295" t="str">
        <f t="shared" si="64"/>
        <v>Hyderabad</v>
      </c>
      <c r="Q295" t="s">
        <v>24</v>
      </c>
      <c r="R295" t="str">
        <f t="shared" si="65"/>
        <v>Technology</v>
      </c>
      <c r="S295" t="s">
        <v>265</v>
      </c>
      <c r="T295" t="str">
        <f t="shared" si="66"/>
        <v>Phones</v>
      </c>
      <c r="U295" t="s">
        <v>1563</v>
      </c>
      <c r="V295" t="str">
        <f t="shared" si="67"/>
        <v>Pro Phones 455</v>
      </c>
      <c r="W295" t="s">
        <v>98</v>
      </c>
      <c r="X295" t="str">
        <f t="shared" si="68"/>
        <v>First Class</v>
      </c>
      <c r="Y295">
        <v>4</v>
      </c>
      <c r="Z295">
        <v>2</v>
      </c>
      <c r="AA295">
        <v>4401.51</v>
      </c>
      <c r="AB295">
        <v>0.65</v>
      </c>
      <c r="AC295">
        <f t="shared" si="69"/>
        <v>0.65</v>
      </c>
      <c r="AD295">
        <v>8362.87</v>
      </c>
      <c r="AE295">
        <f t="shared" si="70"/>
        <v>3081.057</v>
      </c>
      <c r="AF295">
        <v>6541.04</v>
      </c>
      <c r="AG295">
        <v>1821.83</v>
      </c>
      <c r="AH295">
        <f t="shared" si="71"/>
        <v>-3459.983</v>
      </c>
      <c r="AI295">
        <f t="shared" si="72"/>
        <v>-1.12298571561643</v>
      </c>
      <c r="AJ295" t="s">
        <v>77</v>
      </c>
      <c r="AK295" t="str">
        <f t="shared" si="73"/>
        <v>Paid</v>
      </c>
      <c r="AL295" t="s">
        <v>78</v>
      </c>
      <c r="AM295" t="str">
        <f t="shared" si="74"/>
        <v>Completed</v>
      </c>
      <c r="AN295">
        <v>3</v>
      </c>
      <c r="AO295">
        <v>2024</v>
      </c>
      <c r="AP295" t="s">
        <v>79</v>
      </c>
    </row>
    <row r="296" spans="1:42">
      <c r="A296" t="s">
        <v>1564</v>
      </c>
      <c r="B296" s="3" t="s">
        <v>1565</v>
      </c>
      <c r="C296" s="3">
        <v>45854</v>
      </c>
      <c r="D296" t="s">
        <v>1566</v>
      </c>
      <c r="E296" s="3">
        <v>45860</v>
      </c>
      <c r="F296" t="s">
        <v>1567</v>
      </c>
      <c r="G296" t="s">
        <v>182</v>
      </c>
      <c r="H296" t="str">
        <f t="shared" si="60"/>
        <v>Priya Menon</v>
      </c>
      <c r="I296" t="s">
        <v>71</v>
      </c>
      <c r="J296" t="str">
        <f t="shared" si="61"/>
        <v>Consumer</v>
      </c>
      <c r="K296" t="s">
        <v>7</v>
      </c>
      <c r="L296" t="str">
        <f t="shared" si="62"/>
        <v>East</v>
      </c>
      <c r="M296" t="s">
        <v>86</v>
      </c>
      <c r="N296" t="str">
        <f t="shared" si="63"/>
        <v>Odisha</v>
      </c>
      <c r="O296" t="s">
        <v>87</v>
      </c>
      <c r="P296" t="str">
        <f t="shared" si="64"/>
        <v>Bhubaneswar</v>
      </c>
      <c r="Q296" t="s">
        <v>24</v>
      </c>
      <c r="R296" t="str">
        <f t="shared" si="65"/>
        <v>Technology</v>
      </c>
      <c r="S296" t="s">
        <v>265</v>
      </c>
      <c r="T296" t="str">
        <f t="shared" si="66"/>
        <v>Phones</v>
      </c>
      <c r="U296" t="s">
        <v>1568</v>
      </c>
      <c r="V296" t="str">
        <f t="shared" si="67"/>
        <v>Basic Phones 326</v>
      </c>
      <c r="W296" t="s">
        <v>76</v>
      </c>
      <c r="X296" t="str">
        <f t="shared" si="68"/>
        <v>Second Class</v>
      </c>
      <c r="Y296">
        <v>6</v>
      </c>
      <c r="Z296">
        <v>6</v>
      </c>
      <c r="AA296">
        <v>4159.33</v>
      </c>
      <c r="AB296">
        <v>0.25</v>
      </c>
      <c r="AC296">
        <f t="shared" si="69"/>
        <v>0.25</v>
      </c>
      <c r="AD296">
        <v>18716.99</v>
      </c>
      <c r="AE296">
        <f t="shared" si="70"/>
        <v>18716.985</v>
      </c>
      <c r="AF296">
        <v>12282.43</v>
      </c>
      <c r="AG296">
        <v>6434.56</v>
      </c>
      <c r="AH296">
        <f t="shared" si="71"/>
        <v>6434.555</v>
      </c>
      <c r="AI296">
        <f t="shared" si="72"/>
        <v>0.343781597303198</v>
      </c>
      <c r="AJ296" t="s">
        <v>77</v>
      </c>
      <c r="AK296" t="str">
        <f t="shared" si="73"/>
        <v>Paid</v>
      </c>
      <c r="AL296" t="s">
        <v>164</v>
      </c>
      <c r="AM296" t="str">
        <f t="shared" si="74"/>
        <v>Returned</v>
      </c>
      <c r="AN296">
        <v>7</v>
      </c>
      <c r="AO296">
        <v>2025</v>
      </c>
      <c r="AP296" t="s">
        <v>79</v>
      </c>
    </row>
    <row r="297" spans="1:42">
      <c r="A297" t="s">
        <v>1569</v>
      </c>
      <c r="B297" s="3" t="s">
        <v>1570</v>
      </c>
      <c r="C297" s="3">
        <v>45833</v>
      </c>
      <c r="D297" t="s">
        <v>1571</v>
      </c>
      <c r="E297" s="3">
        <v>45836</v>
      </c>
      <c r="F297" t="s">
        <v>1572</v>
      </c>
      <c r="G297" t="s">
        <v>146</v>
      </c>
      <c r="H297" t="str">
        <f t="shared" si="60"/>
        <v>Aditi Sen</v>
      </c>
      <c r="I297" t="s">
        <v>85</v>
      </c>
      <c r="J297" t="str">
        <f t="shared" si="61"/>
        <v>Small Business</v>
      </c>
      <c r="K297" t="s">
        <v>7</v>
      </c>
      <c r="L297" t="str">
        <f t="shared" si="62"/>
        <v>East</v>
      </c>
      <c r="M297" t="s">
        <v>258</v>
      </c>
      <c r="N297" t="str">
        <f t="shared" si="63"/>
        <v>Assam</v>
      </c>
      <c r="O297" t="s">
        <v>259</v>
      </c>
      <c r="P297" t="str">
        <f t="shared" si="64"/>
        <v>Guwahati</v>
      </c>
      <c r="Q297" t="s">
        <v>22</v>
      </c>
      <c r="R297" t="str">
        <f t="shared" si="65"/>
        <v>Office Supplies</v>
      </c>
      <c r="S297" t="s">
        <v>239</v>
      </c>
      <c r="T297" t="str">
        <f t="shared" si="66"/>
        <v>Binders</v>
      </c>
      <c r="U297" t="s">
        <v>1573</v>
      </c>
      <c r="V297" t="str">
        <f t="shared" si="67"/>
        <v>Max Binders 587</v>
      </c>
      <c r="W297" t="s">
        <v>108</v>
      </c>
      <c r="X297" t="str">
        <f t="shared" si="68"/>
        <v>Standard Class</v>
      </c>
      <c r="Y297">
        <v>3</v>
      </c>
      <c r="Z297">
        <v>3</v>
      </c>
      <c r="AA297">
        <v>3476.05</v>
      </c>
      <c r="AB297">
        <v>0.1</v>
      </c>
      <c r="AC297">
        <f t="shared" si="69"/>
        <v>0.1</v>
      </c>
      <c r="AD297">
        <v>9385.34</v>
      </c>
      <c r="AE297">
        <f t="shared" si="70"/>
        <v>9385.335</v>
      </c>
      <c r="AF297">
        <v>5828.54</v>
      </c>
      <c r="AG297">
        <v>3556.8</v>
      </c>
      <c r="AH297">
        <f t="shared" si="71"/>
        <v>3556.795</v>
      </c>
      <c r="AI297">
        <f t="shared" si="72"/>
        <v>0.378973686075137</v>
      </c>
      <c r="AJ297" t="s">
        <v>77</v>
      </c>
      <c r="AK297" t="str">
        <f t="shared" si="73"/>
        <v>Paid</v>
      </c>
      <c r="AL297" t="s">
        <v>78</v>
      </c>
      <c r="AM297" t="str">
        <f t="shared" si="74"/>
        <v>Completed</v>
      </c>
      <c r="AN297">
        <v>6</v>
      </c>
      <c r="AO297">
        <v>2025</v>
      </c>
      <c r="AP297" t="s">
        <v>79</v>
      </c>
    </row>
    <row r="298" spans="1:42">
      <c r="A298" t="s">
        <v>1574</v>
      </c>
      <c r="B298" s="3" t="s">
        <v>1575</v>
      </c>
      <c r="C298" s="3">
        <v>45801</v>
      </c>
      <c r="D298" t="s">
        <v>1576</v>
      </c>
      <c r="E298" s="3">
        <v>45803</v>
      </c>
      <c r="F298" t="s">
        <v>1577</v>
      </c>
      <c r="G298" t="s">
        <v>146</v>
      </c>
      <c r="H298" t="str">
        <f t="shared" si="60"/>
        <v>Aditi Sen</v>
      </c>
      <c r="I298" t="s">
        <v>154</v>
      </c>
      <c r="J298" t="str">
        <f t="shared" si="61"/>
        <v>Home Office</v>
      </c>
      <c r="K298" t="s">
        <v>8</v>
      </c>
      <c r="L298" t="str">
        <f t="shared" si="62"/>
        <v>North</v>
      </c>
      <c r="M298" t="s">
        <v>366</v>
      </c>
      <c r="N298" t="str">
        <f t="shared" si="63"/>
        <v>Haryana</v>
      </c>
      <c r="O298" t="s">
        <v>367</v>
      </c>
      <c r="P298" t="str">
        <f t="shared" si="64"/>
        <v>Gurugram</v>
      </c>
      <c r="Q298" t="s">
        <v>19</v>
      </c>
      <c r="R298" t="str">
        <f t="shared" si="65"/>
        <v>Furniture</v>
      </c>
      <c r="S298" t="s">
        <v>106</v>
      </c>
      <c r="T298" t="str">
        <f t="shared" si="66"/>
        <v>Furnishings</v>
      </c>
      <c r="U298" t="s">
        <v>1578</v>
      </c>
      <c r="V298" t="str">
        <f t="shared" si="67"/>
        <v>Basic Furnishings 617</v>
      </c>
      <c r="W298" t="s">
        <v>90</v>
      </c>
      <c r="X298" t="str">
        <f t="shared" si="68"/>
        <v>Same Day</v>
      </c>
      <c r="Y298">
        <v>2</v>
      </c>
      <c r="Z298">
        <v>6</v>
      </c>
      <c r="AA298">
        <v>3495.41</v>
      </c>
      <c r="AB298">
        <v>0.15</v>
      </c>
      <c r="AC298">
        <f t="shared" si="69"/>
        <v>0.15</v>
      </c>
      <c r="AD298">
        <v>17826.59</v>
      </c>
      <c r="AE298">
        <f t="shared" si="70"/>
        <v>17826.591</v>
      </c>
      <c r="AF298">
        <v>10855.35</v>
      </c>
      <c r="AG298">
        <v>6971.24</v>
      </c>
      <c r="AH298">
        <f t="shared" si="71"/>
        <v>6971.241</v>
      </c>
      <c r="AI298">
        <f t="shared" si="72"/>
        <v>0.391058559653946</v>
      </c>
      <c r="AJ298" t="s">
        <v>77</v>
      </c>
      <c r="AK298" t="str">
        <f t="shared" si="73"/>
        <v>Paid</v>
      </c>
      <c r="AL298" t="s">
        <v>78</v>
      </c>
      <c r="AM298" t="str">
        <f t="shared" si="74"/>
        <v>Completed</v>
      </c>
      <c r="AN298">
        <v>5</v>
      </c>
      <c r="AO298">
        <v>2025</v>
      </c>
      <c r="AP298" t="s">
        <v>79</v>
      </c>
    </row>
    <row r="299" spans="1:42">
      <c r="A299" t="s">
        <v>1579</v>
      </c>
      <c r="B299" s="3" t="s">
        <v>1580</v>
      </c>
      <c r="C299" s="3">
        <v>45594</v>
      </c>
      <c r="D299" t="s">
        <v>1581</v>
      </c>
      <c r="E299" s="3">
        <v>45602</v>
      </c>
      <c r="F299" t="s">
        <v>1582</v>
      </c>
      <c r="G299" t="s">
        <v>208</v>
      </c>
      <c r="H299" t="str">
        <f t="shared" si="60"/>
        <v>Sneha Kapoor</v>
      </c>
      <c r="I299" t="s">
        <v>147</v>
      </c>
      <c r="J299" t="str">
        <f t="shared" si="61"/>
        <v>Corporate</v>
      </c>
      <c r="K299" t="s">
        <v>10</v>
      </c>
      <c r="L299" t="str">
        <f t="shared" si="62"/>
        <v>South</v>
      </c>
      <c r="M299" t="s">
        <v>382</v>
      </c>
      <c r="N299" t="str">
        <f t="shared" si="63"/>
        <v>Tamil Nadu</v>
      </c>
      <c r="O299" t="s">
        <v>383</v>
      </c>
      <c r="P299" t="str">
        <f t="shared" si="64"/>
        <v>Chennai</v>
      </c>
      <c r="Q299" t="s">
        <v>24</v>
      </c>
      <c r="R299" t="str">
        <f t="shared" si="65"/>
        <v>Technology</v>
      </c>
      <c r="S299" t="s">
        <v>133</v>
      </c>
      <c r="T299" t="str">
        <f t="shared" si="66"/>
        <v>Copiers</v>
      </c>
      <c r="U299" t="s">
        <v>1583</v>
      </c>
      <c r="V299" t="str">
        <f t="shared" si="67"/>
        <v>Prime Copiers 669</v>
      </c>
      <c r="W299" t="s">
        <v>90</v>
      </c>
      <c r="X299" t="str">
        <f t="shared" si="68"/>
        <v>Same Day</v>
      </c>
      <c r="Y299">
        <v>8</v>
      </c>
      <c r="Z299">
        <v>6</v>
      </c>
      <c r="AA299">
        <v>1169.92</v>
      </c>
      <c r="AB299">
        <v>0.15</v>
      </c>
      <c r="AC299">
        <f t="shared" si="69"/>
        <v>0.15</v>
      </c>
      <c r="AD299">
        <v>5966.59</v>
      </c>
      <c r="AE299">
        <f t="shared" si="70"/>
        <v>5966.592</v>
      </c>
      <c r="AF299">
        <v>3994.72</v>
      </c>
      <c r="AG299">
        <v>1971.87</v>
      </c>
      <c r="AH299">
        <f t="shared" si="71"/>
        <v>1971.872</v>
      </c>
      <c r="AI299">
        <f t="shared" si="72"/>
        <v>0.330485476466298</v>
      </c>
      <c r="AJ299" t="s">
        <v>77</v>
      </c>
      <c r="AK299" t="str">
        <f t="shared" si="73"/>
        <v>Paid</v>
      </c>
      <c r="AL299" t="s">
        <v>78</v>
      </c>
      <c r="AM299" t="str">
        <f t="shared" si="74"/>
        <v>Completed</v>
      </c>
      <c r="AN299">
        <v>10</v>
      </c>
      <c r="AO299">
        <v>2024</v>
      </c>
      <c r="AP299" t="s">
        <v>79</v>
      </c>
    </row>
    <row r="300" spans="1:42">
      <c r="A300" t="s">
        <v>1584</v>
      </c>
      <c r="B300" s="3" t="s">
        <v>1585</v>
      </c>
      <c r="C300" s="3">
        <v>45680</v>
      </c>
      <c r="D300" t="s">
        <v>1586</v>
      </c>
      <c r="E300" s="3">
        <v>45683</v>
      </c>
      <c r="F300" t="s">
        <v>1587</v>
      </c>
      <c r="G300" t="s">
        <v>95</v>
      </c>
      <c r="H300" t="str">
        <f t="shared" si="60"/>
        <v>Isha Nair</v>
      </c>
      <c r="I300" t="s">
        <v>71</v>
      </c>
      <c r="J300" t="str">
        <f t="shared" si="61"/>
        <v>Consumer</v>
      </c>
      <c r="K300" t="s">
        <v>10</v>
      </c>
      <c r="L300" t="str">
        <f t="shared" si="62"/>
        <v>South</v>
      </c>
      <c r="M300" t="s">
        <v>285</v>
      </c>
      <c r="N300" t="str">
        <f t="shared" si="63"/>
        <v>Kerala</v>
      </c>
      <c r="O300" t="s">
        <v>286</v>
      </c>
      <c r="P300" t="str">
        <f t="shared" si="64"/>
        <v>Kochi</v>
      </c>
      <c r="Q300" t="s">
        <v>24</v>
      </c>
      <c r="R300" t="str">
        <f t="shared" si="65"/>
        <v>Technology</v>
      </c>
      <c r="S300" t="s">
        <v>133</v>
      </c>
      <c r="T300" t="str">
        <f t="shared" si="66"/>
        <v>Copiers</v>
      </c>
      <c r="U300" t="s">
        <v>1588</v>
      </c>
      <c r="V300" t="str">
        <f t="shared" si="67"/>
        <v>Eco Copiers 894</v>
      </c>
      <c r="W300" t="s">
        <v>98</v>
      </c>
      <c r="X300" t="str">
        <f t="shared" si="68"/>
        <v>First Class</v>
      </c>
      <c r="Y300">
        <v>3</v>
      </c>
      <c r="Z300">
        <v>7</v>
      </c>
      <c r="AA300">
        <v>348.49</v>
      </c>
      <c r="AB300">
        <v>0.2</v>
      </c>
      <c r="AC300">
        <f t="shared" si="69"/>
        <v>0.2</v>
      </c>
      <c r="AD300">
        <v>1951.54</v>
      </c>
      <c r="AE300">
        <f t="shared" si="70"/>
        <v>1951.544</v>
      </c>
      <c r="AF300">
        <v>1609.95</v>
      </c>
      <c r="AG300">
        <v>341.59</v>
      </c>
      <c r="AH300">
        <f t="shared" si="71"/>
        <v>341.594</v>
      </c>
      <c r="AI300">
        <f t="shared" si="72"/>
        <v>0.175037816211164</v>
      </c>
      <c r="AJ300" t="s">
        <v>241</v>
      </c>
      <c r="AK300" t="str">
        <f t="shared" si="73"/>
        <v>Failed</v>
      </c>
      <c r="AL300" t="s">
        <v>164</v>
      </c>
      <c r="AM300" t="str">
        <f t="shared" si="74"/>
        <v>Returned</v>
      </c>
      <c r="AN300">
        <v>1</v>
      </c>
      <c r="AO300">
        <v>2025</v>
      </c>
      <c r="AP300" t="s">
        <v>79</v>
      </c>
    </row>
    <row r="301" spans="1:42">
      <c r="A301" t="s">
        <v>1589</v>
      </c>
      <c r="B301" s="3" t="s">
        <v>1581</v>
      </c>
      <c r="C301" s="3">
        <v>45602</v>
      </c>
      <c r="D301" t="s">
        <v>1590</v>
      </c>
      <c r="E301" s="3">
        <v>45608</v>
      </c>
      <c r="F301" t="s">
        <v>1591</v>
      </c>
      <c r="G301" t="s">
        <v>188</v>
      </c>
      <c r="H301" t="str">
        <f t="shared" si="60"/>
        <v>Rahul Verma</v>
      </c>
      <c r="I301" t="s">
        <v>85</v>
      </c>
      <c r="J301" t="str">
        <f t="shared" si="61"/>
        <v>Small Business</v>
      </c>
      <c r="K301" t="s">
        <v>11</v>
      </c>
      <c r="L301" t="str">
        <f t="shared" si="62"/>
        <v>West</v>
      </c>
      <c r="M301" t="s">
        <v>278</v>
      </c>
      <c r="N301" t="str">
        <f t="shared" si="63"/>
        <v>Gujarat</v>
      </c>
      <c r="O301" t="s">
        <v>279</v>
      </c>
      <c r="P301" t="str">
        <f t="shared" si="64"/>
        <v>Ahmedabad</v>
      </c>
      <c r="Q301" t="s">
        <v>24</v>
      </c>
      <c r="R301" t="str">
        <f t="shared" si="65"/>
        <v>Technology</v>
      </c>
      <c r="S301" t="s">
        <v>126</v>
      </c>
      <c r="T301" t="str">
        <f t="shared" si="66"/>
        <v>Accessories</v>
      </c>
      <c r="U301" t="s">
        <v>1592</v>
      </c>
      <c r="V301" t="str">
        <f t="shared" si="67"/>
        <v>Max Accessories 145</v>
      </c>
      <c r="W301" t="s">
        <v>108</v>
      </c>
      <c r="X301" t="str">
        <f t="shared" si="68"/>
        <v>Standard Class</v>
      </c>
      <c r="Y301">
        <v>6</v>
      </c>
      <c r="Z301">
        <v>7</v>
      </c>
      <c r="AA301">
        <v>1719.05</v>
      </c>
      <c r="AB301">
        <v>0.1</v>
      </c>
      <c r="AC301">
        <f t="shared" si="69"/>
        <v>0.1</v>
      </c>
      <c r="AD301">
        <v>10830.02</v>
      </c>
      <c r="AE301">
        <f t="shared" si="70"/>
        <v>10830.015</v>
      </c>
      <c r="AF301">
        <v>7055.31</v>
      </c>
      <c r="AG301">
        <v>3774.71</v>
      </c>
      <c r="AH301">
        <f t="shared" si="71"/>
        <v>3774.705</v>
      </c>
      <c r="AI301">
        <f t="shared" si="72"/>
        <v>0.348541068502675</v>
      </c>
      <c r="AJ301" t="s">
        <v>77</v>
      </c>
      <c r="AK301" t="str">
        <f t="shared" si="73"/>
        <v>Paid</v>
      </c>
      <c r="AL301" t="s">
        <v>78</v>
      </c>
      <c r="AM301" t="str">
        <f t="shared" si="74"/>
        <v>Completed</v>
      </c>
      <c r="AN301">
        <v>11</v>
      </c>
      <c r="AO301">
        <v>2024</v>
      </c>
      <c r="AP301" t="s">
        <v>79</v>
      </c>
    </row>
    <row r="302" spans="1:42">
      <c r="A302" t="s">
        <v>1593</v>
      </c>
      <c r="B302" s="3" t="s">
        <v>1594</v>
      </c>
      <c r="C302" s="3">
        <v>45397</v>
      </c>
      <c r="D302" t="s">
        <v>1595</v>
      </c>
      <c r="E302" s="3">
        <v>45405</v>
      </c>
      <c r="F302" t="s">
        <v>1596</v>
      </c>
      <c r="G302" t="s">
        <v>251</v>
      </c>
      <c r="H302" t="str">
        <f t="shared" si="60"/>
        <v>Diya Patel</v>
      </c>
      <c r="I302" t="s">
        <v>85</v>
      </c>
      <c r="J302" t="str">
        <f t="shared" si="61"/>
        <v>Small Business</v>
      </c>
      <c r="K302" t="s">
        <v>8</v>
      </c>
      <c r="L302" t="str">
        <f t="shared" si="62"/>
        <v>North</v>
      </c>
      <c r="M302" t="s">
        <v>194</v>
      </c>
      <c r="N302" t="str">
        <f t="shared" si="63"/>
        <v>Punjab</v>
      </c>
      <c r="O302" t="s">
        <v>195</v>
      </c>
      <c r="P302" t="str">
        <f t="shared" si="64"/>
        <v>Ludhiana</v>
      </c>
      <c r="Q302" t="s">
        <v>24</v>
      </c>
      <c r="R302" t="str">
        <f t="shared" si="65"/>
        <v>Technology</v>
      </c>
      <c r="S302" t="s">
        <v>126</v>
      </c>
      <c r="T302" t="str">
        <f t="shared" si="66"/>
        <v>Accessories</v>
      </c>
      <c r="U302" t="s">
        <v>1597</v>
      </c>
      <c r="V302" t="str">
        <f t="shared" si="67"/>
        <v>Classic Accessories 126</v>
      </c>
      <c r="W302" t="s">
        <v>390</v>
      </c>
      <c r="X302" t="str">
        <f t="shared" si="68"/>
        <v>Second Class</v>
      </c>
      <c r="Y302">
        <v>8</v>
      </c>
      <c r="Z302">
        <v>9</v>
      </c>
      <c r="AA302">
        <v>3893.74</v>
      </c>
      <c r="AB302">
        <v>0.1</v>
      </c>
      <c r="AC302">
        <f t="shared" si="69"/>
        <v>0.1</v>
      </c>
      <c r="AD302">
        <v>31539.29</v>
      </c>
      <c r="AE302">
        <f t="shared" si="70"/>
        <v>31539.294</v>
      </c>
      <c r="AF302">
        <v>22100.14</v>
      </c>
      <c r="AG302">
        <v>9439.15</v>
      </c>
      <c r="AH302">
        <f t="shared" si="71"/>
        <v>9439.154</v>
      </c>
      <c r="AI302">
        <f t="shared" si="72"/>
        <v>0.299282349186383</v>
      </c>
      <c r="AJ302" t="s">
        <v>77</v>
      </c>
      <c r="AK302" t="str">
        <f t="shared" si="73"/>
        <v>Paid</v>
      </c>
      <c r="AL302" t="s">
        <v>78</v>
      </c>
      <c r="AM302" t="str">
        <f t="shared" si="74"/>
        <v>Completed</v>
      </c>
      <c r="AN302">
        <v>4</v>
      </c>
      <c r="AO302">
        <v>2024</v>
      </c>
      <c r="AP302" t="s">
        <v>79</v>
      </c>
    </row>
    <row r="303" spans="1:42">
      <c r="A303" t="s">
        <v>1598</v>
      </c>
      <c r="B303" s="3" t="s">
        <v>1068</v>
      </c>
      <c r="C303" s="3">
        <v>45805</v>
      </c>
      <c r="D303" t="s">
        <v>1599</v>
      </c>
      <c r="E303" s="3">
        <v>45809</v>
      </c>
      <c r="F303" t="s">
        <v>1600</v>
      </c>
      <c r="G303" t="s">
        <v>95</v>
      </c>
      <c r="H303" t="str">
        <f t="shared" si="60"/>
        <v>Isha Nair</v>
      </c>
      <c r="I303" t="s">
        <v>154</v>
      </c>
      <c r="J303" t="str">
        <f t="shared" si="61"/>
        <v>Home Office</v>
      </c>
      <c r="K303" t="s">
        <v>7</v>
      </c>
      <c r="L303" t="str">
        <f t="shared" si="62"/>
        <v>East</v>
      </c>
      <c r="M303" t="s">
        <v>227</v>
      </c>
      <c r="N303" t="str">
        <f t="shared" si="63"/>
        <v>Bihar</v>
      </c>
      <c r="O303" t="s">
        <v>228</v>
      </c>
      <c r="P303" t="str">
        <f t="shared" si="64"/>
        <v>Patna</v>
      </c>
      <c r="Q303" t="s">
        <v>24</v>
      </c>
      <c r="R303" t="str">
        <f t="shared" si="65"/>
        <v>Technology</v>
      </c>
      <c r="S303" t="s">
        <v>265</v>
      </c>
      <c r="T303" t="str">
        <f t="shared" si="66"/>
        <v>Phones</v>
      </c>
      <c r="U303" t="s">
        <v>1601</v>
      </c>
      <c r="V303" t="str">
        <f t="shared" si="67"/>
        <v>Elite Phones 202</v>
      </c>
      <c r="W303" t="s">
        <v>90</v>
      </c>
      <c r="X303" t="str">
        <f t="shared" si="68"/>
        <v>Same Day</v>
      </c>
      <c r="Y303">
        <v>4</v>
      </c>
      <c r="Z303">
        <v>4</v>
      </c>
      <c r="AA303">
        <v>1654.11</v>
      </c>
      <c r="AB303">
        <v>0.05</v>
      </c>
      <c r="AC303">
        <f t="shared" si="69"/>
        <v>0.05</v>
      </c>
      <c r="AD303">
        <v>6285.62</v>
      </c>
      <c r="AE303">
        <f t="shared" si="70"/>
        <v>6285.618</v>
      </c>
      <c r="AF303">
        <v>3705.38</v>
      </c>
      <c r="AG303">
        <v>2580.24</v>
      </c>
      <c r="AH303">
        <f t="shared" si="71"/>
        <v>2580.238</v>
      </c>
      <c r="AI303">
        <f t="shared" si="72"/>
        <v>0.410498697184589</v>
      </c>
      <c r="AJ303" t="s">
        <v>77</v>
      </c>
      <c r="AK303" t="str">
        <f t="shared" si="73"/>
        <v>Paid</v>
      </c>
      <c r="AL303" t="s">
        <v>78</v>
      </c>
      <c r="AM303" t="str">
        <f t="shared" si="74"/>
        <v>Completed</v>
      </c>
      <c r="AN303">
        <v>5</v>
      </c>
      <c r="AO303">
        <v>2025</v>
      </c>
      <c r="AP303" t="s">
        <v>79</v>
      </c>
    </row>
    <row r="304" spans="1:42">
      <c r="A304" t="s">
        <v>1602</v>
      </c>
      <c r="B304" s="3" t="s">
        <v>1442</v>
      </c>
      <c r="C304" s="3">
        <v>45812</v>
      </c>
      <c r="D304" t="s">
        <v>1603</v>
      </c>
      <c r="E304" s="3">
        <v>45820</v>
      </c>
      <c r="F304" t="s">
        <v>1604</v>
      </c>
      <c r="G304" t="s">
        <v>132</v>
      </c>
      <c r="H304" t="str">
        <f t="shared" si="60"/>
        <v>Neha Gupta</v>
      </c>
      <c r="I304" t="s">
        <v>71</v>
      </c>
      <c r="J304" t="str">
        <f t="shared" si="61"/>
        <v>Consumer</v>
      </c>
      <c r="K304" t="s">
        <v>11</v>
      </c>
      <c r="L304" t="str">
        <f t="shared" si="62"/>
        <v>West</v>
      </c>
      <c r="M304" t="s">
        <v>292</v>
      </c>
      <c r="N304" t="str">
        <f t="shared" si="63"/>
        <v>Goa</v>
      </c>
      <c r="O304" t="s">
        <v>293</v>
      </c>
      <c r="P304" t="str">
        <f t="shared" si="64"/>
        <v>Panaji</v>
      </c>
      <c r="Q304" t="s">
        <v>968</v>
      </c>
      <c r="R304" t="str">
        <f t="shared" si="65"/>
        <v>Office Supplies</v>
      </c>
      <c r="S304" t="s">
        <v>196</v>
      </c>
      <c r="T304" t="str">
        <f t="shared" si="66"/>
        <v>Storage</v>
      </c>
      <c r="U304" t="s">
        <v>1605</v>
      </c>
      <c r="V304" t="str">
        <f t="shared" si="67"/>
        <v>Elite Storage 535</v>
      </c>
      <c r="W304" t="s">
        <v>90</v>
      </c>
      <c r="X304" t="str">
        <f t="shared" si="68"/>
        <v>Same Day</v>
      </c>
      <c r="Y304">
        <v>8</v>
      </c>
      <c r="Z304">
        <v>2</v>
      </c>
      <c r="AA304">
        <v>2703.28</v>
      </c>
      <c r="AB304">
        <v>0.25</v>
      </c>
      <c r="AC304">
        <f t="shared" si="69"/>
        <v>0.25</v>
      </c>
      <c r="AD304">
        <v>4054.92</v>
      </c>
      <c r="AE304">
        <f t="shared" si="70"/>
        <v>4054.92</v>
      </c>
      <c r="AF304">
        <v>2424.83</v>
      </c>
      <c r="AG304">
        <v>1630.09</v>
      </c>
      <c r="AH304">
        <f t="shared" si="71"/>
        <v>1630.09</v>
      </c>
      <c r="AI304">
        <f t="shared" si="72"/>
        <v>0.402002998826117</v>
      </c>
      <c r="AJ304" t="s">
        <v>77</v>
      </c>
      <c r="AK304" t="str">
        <f t="shared" si="73"/>
        <v>Paid</v>
      </c>
      <c r="AL304" t="s">
        <v>78</v>
      </c>
      <c r="AM304" t="str">
        <f t="shared" si="74"/>
        <v>Completed</v>
      </c>
      <c r="AN304">
        <v>6</v>
      </c>
      <c r="AO304">
        <v>2025</v>
      </c>
      <c r="AP304" t="s">
        <v>79</v>
      </c>
    </row>
    <row r="305" spans="1:42">
      <c r="A305" t="s">
        <v>1606</v>
      </c>
      <c r="B305" s="3" t="s">
        <v>1607</v>
      </c>
      <c r="C305" s="3">
        <v>45466</v>
      </c>
      <c r="D305" t="s">
        <v>1094</v>
      </c>
      <c r="E305" s="3">
        <v>45471</v>
      </c>
      <c r="F305" t="s">
        <v>1608</v>
      </c>
      <c r="G305" t="s">
        <v>251</v>
      </c>
      <c r="H305" t="str">
        <f t="shared" si="60"/>
        <v>Diya Patel</v>
      </c>
      <c r="I305" t="s">
        <v>154</v>
      </c>
      <c r="J305" t="str">
        <f t="shared" si="61"/>
        <v>Home Office</v>
      </c>
      <c r="K305" t="s">
        <v>11</v>
      </c>
      <c r="L305" t="str">
        <f t="shared" si="62"/>
        <v>West</v>
      </c>
      <c r="M305" t="s">
        <v>278</v>
      </c>
      <c r="N305" t="str">
        <f t="shared" si="63"/>
        <v>Gujarat</v>
      </c>
      <c r="O305" t="s">
        <v>279</v>
      </c>
      <c r="P305" t="str">
        <f t="shared" si="64"/>
        <v>Ahmedabad</v>
      </c>
      <c r="Q305" t="s">
        <v>19</v>
      </c>
      <c r="R305" t="str">
        <f t="shared" si="65"/>
        <v>Furniture</v>
      </c>
      <c r="S305" t="s">
        <v>116</v>
      </c>
      <c r="T305" t="str">
        <f t="shared" si="66"/>
        <v>Chairs</v>
      </c>
      <c r="U305" t="s">
        <v>1609</v>
      </c>
      <c r="V305" t="str">
        <f t="shared" si="67"/>
        <v>Elite Chairs 107</v>
      </c>
      <c r="W305" t="s">
        <v>108</v>
      </c>
      <c r="X305" t="str">
        <f t="shared" si="68"/>
        <v>Standard Class</v>
      </c>
      <c r="Y305">
        <v>5</v>
      </c>
      <c r="Z305">
        <v>2</v>
      </c>
      <c r="AA305">
        <v>1313.14</v>
      </c>
      <c r="AB305">
        <v>0.1</v>
      </c>
      <c r="AC305">
        <f t="shared" si="69"/>
        <v>0.1</v>
      </c>
      <c r="AD305">
        <v>2363.65</v>
      </c>
      <c r="AE305">
        <f t="shared" si="70"/>
        <v>2363.652</v>
      </c>
      <c r="AF305">
        <v>1876.1</v>
      </c>
      <c r="AG305">
        <v>487.55</v>
      </c>
      <c r="AH305">
        <f t="shared" si="71"/>
        <v>487.552</v>
      </c>
      <c r="AI305">
        <f t="shared" si="72"/>
        <v>0.206270635440412</v>
      </c>
      <c r="AJ305" t="s">
        <v>177</v>
      </c>
      <c r="AK305" t="str">
        <f t="shared" si="73"/>
        <v>Pending</v>
      </c>
      <c r="AL305" t="s">
        <v>164</v>
      </c>
      <c r="AM305" t="str">
        <f t="shared" si="74"/>
        <v>Returned</v>
      </c>
      <c r="AN305">
        <v>6</v>
      </c>
      <c r="AO305">
        <v>2024</v>
      </c>
      <c r="AP305" t="s">
        <v>79</v>
      </c>
    </row>
    <row r="306" spans="1:42">
      <c r="A306" t="s">
        <v>1610</v>
      </c>
      <c r="B306" s="3" t="s">
        <v>1611</v>
      </c>
      <c r="C306" s="3">
        <v>45357</v>
      </c>
      <c r="D306" t="s">
        <v>1612</v>
      </c>
      <c r="E306" s="3">
        <v>45364</v>
      </c>
      <c r="F306" t="s">
        <v>1613</v>
      </c>
      <c r="G306" t="s">
        <v>70</v>
      </c>
      <c r="H306" t="str">
        <f t="shared" si="60"/>
        <v>Karan Malhotra</v>
      </c>
      <c r="I306" t="s">
        <v>71</v>
      </c>
      <c r="J306" t="str">
        <f t="shared" si="61"/>
        <v>Consumer</v>
      </c>
      <c r="K306" t="s">
        <v>8</v>
      </c>
      <c r="L306" t="str">
        <f t="shared" si="62"/>
        <v>North</v>
      </c>
      <c r="M306" t="s">
        <v>194</v>
      </c>
      <c r="N306" t="str">
        <f t="shared" si="63"/>
        <v>Punjab</v>
      </c>
      <c r="O306" t="s">
        <v>195</v>
      </c>
      <c r="P306" t="str">
        <f t="shared" si="64"/>
        <v>Ludhiana</v>
      </c>
      <c r="Q306" t="s">
        <v>19</v>
      </c>
      <c r="R306" t="str">
        <f t="shared" si="65"/>
        <v>Furniture</v>
      </c>
      <c r="S306" t="s">
        <v>106</v>
      </c>
      <c r="T306" t="str">
        <f t="shared" si="66"/>
        <v>Furnishings</v>
      </c>
      <c r="U306" t="s">
        <v>1614</v>
      </c>
      <c r="V306" t="str">
        <f t="shared" si="67"/>
        <v>Pro Furnishings 991</v>
      </c>
      <c r="W306" t="s">
        <v>108</v>
      </c>
      <c r="X306" t="str">
        <f t="shared" si="68"/>
        <v>Standard Class</v>
      </c>
      <c r="Y306">
        <v>7</v>
      </c>
      <c r="Z306">
        <v>6</v>
      </c>
      <c r="AA306">
        <v>2403.05</v>
      </c>
      <c r="AB306">
        <v>0.1</v>
      </c>
      <c r="AC306">
        <f t="shared" si="69"/>
        <v>0.1</v>
      </c>
      <c r="AD306">
        <v>12976.47</v>
      </c>
      <c r="AE306">
        <f t="shared" si="70"/>
        <v>12976.47</v>
      </c>
      <c r="AF306">
        <v>10019.98</v>
      </c>
      <c r="AG306">
        <v>2956.49</v>
      </c>
      <c r="AH306">
        <f t="shared" si="71"/>
        <v>2956.49</v>
      </c>
      <c r="AI306">
        <f t="shared" si="72"/>
        <v>0.227834688478454</v>
      </c>
      <c r="AJ306" t="s">
        <v>77</v>
      </c>
      <c r="AK306" t="str">
        <f t="shared" si="73"/>
        <v>Paid</v>
      </c>
      <c r="AL306" t="s">
        <v>78</v>
      </c>
      <c r="AM306" t="str">
        <f t="shared" si="74"/>
        <v>Completed</v>
      </c>
      <c r="AN306">
        <v>3</v>
      </c>
      <c r="AO306">
        <v>2024</v>
      </c>
      <c r="AP306" t="s">
        <v>79</v>
      </c>
    </row>
    <row r="307" spans="1:42">
      <c r="A307" t="s">
        <v>1615</v>
      </c>
      <c r="B307" s="3" t="s">
        <v>1616</v>
      </c>
      <c r="C307" s="3">
        <v>45413</v>
      </c>
      <c r="D307" t="s">
        <v>1278</v>
      </c>
      <c r="E307" s="3">
        <v>45414</v>
      </c>
      <c r="F307" t="s">
        <v>1617</v>
      </c>
      <c r="G307" t="s">
        <v>113</v>
      </c>
      <c r="H307" t="str">
        <f t="shared" si="60"/>
        <v>Ananya Rao</v>
      </c>
      <c r="I307" t="s">
        <v>71</v>
      </c>
      <c r="J307" t="str">
        <f t="shared" si="61"/>
        <v>Consumer</v>
      </c>
      <c r="K307" t="s">
        <v>7</v>
      </c>
      <c r="L307" t="str">
        <f t="shared" si="62"/>
        <v>East</v>
      </c>
      <c r="M307" t="s">
        <v>258</v>
      </c>
      <c r="N307" t="str">
        <f t="shared" si="63"/>
        <v>Assam</v>
      </c>
      <c r="O307" t="s">
        <v>259</v>
      </c>
      <c r="P307" t="str">
        <f t="shared" si="64"/>
        <v>Guwahati</v>
      </c>
      <c r="Q307" t="s">
        <v>19</v>
      </c>
      <c r="R307" t="str">
        <f t="shared" si="65"/>
        <v>Furniture</v>
      </c>
      <c r="S307" t="s">
        <v>116</v>
      </c>
      <c r="T307" t="str">
        <f t="shared" si="66"/>
        <v>Chairs</v>
      </c>
      <c r="U307" t="s">
        <v>1618</v>
      </c>
      <c r="V307" t="str">
        <f t="shared" si="67"/>
        <v>Eco Chairs 105</v>
      </c>
      <c r="W307" t="s">
        <v>98</v>
      </c>
      <c r="X307" t="str">
        <f t="shared" si="68"/>
        <v>First Class</v>
      </c>
      <c r="Y307">
        <v>1</v>
      </c>
      <c r="Z307">
        <v>4</v>
      </c>
      <c r="AA307">
        <v>4156.06</v>
      </c>
      <c r="AB307">
        <v>0.55</v>
      </c>
      <c r="AC307">
        <f t="shared" si="69"/>
        <v>0.55</v>
      </c>
      <c r="AD307">
        <v>13299.39</v>
      </c>
      <c r="AE307">
        <f t="shared" si="70"/>
        <v>7480.908</v>
      </c>
      <c r="AF307">
        <v>9851.91</v>
      </c>
      <c r="AG307">
        <v>3447.48</v>
      </c>
      <c r="AH307">
        <f t="shared" si="71"/>
        <v>-2371.002</v>
      </c>
      <c r="AI307">
        <f t="shared" si="72"/>
        <v>-0.316940403491127</v>
      </c>
      <c r="AJ307" t="s">
        <v>77</v>
      </c>
      <c r="AK307" t="str">
        <f t="shared" si="73"/>
        <v>Paid</v>
      </c>
      <c r="AL307" t="s">
        <v>118</v>
      </c>
      <c r="AM307" t="str">
        <f t="shared" si="74"/>
        <v>Cancelled</v>
      </c>
      <c r="AN307">
        <v>5</v>
      </c>
      <c r="AO307">
        <v>2024</v>
      </c>
      <c r="AP307" t="s">
        <v>79</v>
      </c>
    </row>
    <row r="308" spans="1:42">
      <c r="A308" t="s">
        <v>1619</v>
      </c>
      <c r="B308" s="3" t="s">
        <v>1620</v>
      </c>
      <c r="C308" s="3">
        <v>45708</v>
      </c>
      <c r="D308" t="s">
        <v>136</v>
      </c>
      <c r="E308" s="3">
        <v>45711</v>
      </c>
      <c r="F308" t="s">
        <v>1621</v>
      </c>
      <c r="G308" t="s">
        <v>202</v>
      </c>
      <c r="H308" t="str">
        <f t="shared" si="60"/>
        <v>Aarav Sharma</v>
      </c>
      <c r="I308" t="s">
        <v>71</v>
      </c>
      <c r="J308" t="str">
        <f t="shared" si="61"/>
        <v>Consumer</v>
      </c>
      <c r="K308" t="s">
        <v>8</v>
      </c>
      <c r="L308" t="str">
        <f t="shared" si="62"/>
        <v>North</v>
      </c>
      <c r="M308" t="s">
        <v>72</v>
      </c>
      <c r="N308" t="str">
        <f t="shared" si="63"/>
        <v>Rajasthan</v>
      </c>
      <c r="O308" t="s">
        <v>73</v>
      </c>
      <c r="P308" t="str">
        <f t="shared" si="64"/>
        <v>Jaipur</v>
      </c>
      <c r="Q308" t="s">
        <v>24</v>
      </c>
      <c r="R308" t="str">
        <f t="shared" si="65"/>
        <v>Technology</v>
      </c>
      <c r="S308" t="s">
        <v>265</v>
      </c>
      <c r="T308" t="str">
        <f t="shared" si="66"/>
        <v>Phones</v>
      </c>
      <c r="U308" t="s">
        <v>1622</v>
      </c>
      <c r="V308" t="str">
        <f t="shared" si="67"/>
        <v>Pro Phones 530</v>
      </c>
      <c r="W308" t="s">
        <v>76</v>
      </c>
      <c r="X308" t="str">
        <f t="shared" si="68"/>
        <v>Second Class</v>
      </c>
      <c r="Y308">
        <v>3</v>
      </c>
      <c r="Z308">
        <v>4</v>
      </c>
      <c r="AA308">
        <v>3673.11</v>
      </c>
      <c r="AB308">
        <v>0</v>
      </c>
      <c r="AC308">
        <f t="shared" si="69"/>
        <v>0</v>
      </c>
      <c r="AD308">
        <v>14692.44</v>
      </c>
      <c r="AE308">
        <f t="shared" si="70"/>
        <v>14692.44</v>
      </c>
      <c r="AF308">
        <v>10082.19</v>
      </c>
      <c r="AG308">
        <v>4610.25</v>
      </c>
      <c r="AH308">
        <f t="shared" si="71"/>
        <v>4610.25</v>
      </c>
      <c r="AI308">
        <f t="shared" si="72"/>
        <v>0.313783823517401</v>
      </c>
      <c r="AJ308" t="s">
        <v>77</v>
      </c>
      <c r="AK308" t="str">
        <f t="shared" si="73"/>
        <v>Paid</v>
      </c>
      <c r="AL308" t="s">
        <v>78</v>
      </c>
      <c r="AM308" t="str">
        <f t="shared" si="74"/>
        <v>Completed</v>
      </c>
      <c r="AN308">
        <v>2</v>
      </c>
      <c r="AO308">
        <v>2025</v>
      </c>
      <c r="AP308" t="s">
        <v>79</v>
      </c>
    </row>
    <row r="309" spans="1:42">
      <c r="A309" t="s">
        <v>1623</v>
      </c>
      <c r="B309" s="3" t="s">
        <v>1624</v>
      </c>
      <c r="C309" s="3">
        <v>45850</v>
      </c>
      <c r="D309" t="s">
        <v>1625</v>
      </c>
      <c r="E309" s="3">
        <v>45857</v>
      </c>
      <c r="F309" t="s">
        <v>1626</v>
      </c>
      <c r="G309" t="s">
        <v>113</v>
      </c>
      <c r="H309" t="str">
        <f t="shared" si="60"/>
        <v>Ananya Rao</v>
      </c>
      <c r="I309" t="s">
        <v>147</v>
      </c>
      <c r="J309" t="str">
        <f t="shared" si="61"/>
        <v>Corporate</v>
      </c>
      <c r="K309" t="s">
        <v>8</v>
      </c>
      <c r="L309" t="str">
        <f t="shared" si="62"/>
        <v>North</v>
      </c>
      <c r="M309" t="s">
        <v>214</v>
      </c>
      <c r="N309" t="str">
        <f t="shared" si="63"/>
        <v>Uttar Pradesh</v>
      </c>
      <c r="O309" t="s">
        <v>215</v>
      </c>
      <c r="P309" t="str">
        <f t="shared" si="64"/>
        <v>Noida</v>
      </c>
      <c r="Q309" t="s">
        <v>19</v>
      </c>
      <c r="R309" t="str">
        <f t="shared" si="65"/>
        <v>Furniture</v>
      </c>
      <c r="S309" t="s">
        <v>88</v>
      </c>
      <c r="T309" t="str">
        <f t="shared" si="66"/>
        <v>Tables</v>
      </c>
      <c r="U309" t="s">
        <v>1627</v>
      </c>
      <c r="V309" t="str">
        <f t="shared" si="67"/>
        <v>Basic Tables 911</v>
      </c>
      <c r="W309" t="s">
        <v>98</v>
      </c>
      <c r="X309" t="str">
        <f t="shared" si="68"/>
        <v>First Class</v>
      </c>
      <c r="Y309">
        <v>7</v>
      </c>
      <c r="Z309">
        <v>9</v>
      </c>
      <c r="AA309">
        <v>4093.04</v>
      </c>
      <c r="AB309">
        <v>0.2</v>
      </c>
      <c r="AC309">
        <f t="shared" si="69"/>
        <v>0.2</v>
      </c>
      <c r="AD309">
        <v>29469.89</v>
      </c>
      <c r="AE309">
        <f t="shared" si="70"/>
        <v>29469.888</v>
      </c>
      <c r="AF309">
        <v>18935.51</v>
      </c>
      <c r="AG309">
        <v>10534.38</v>
      </c>
      <c r="AH309">
        <f t="shared" si="71"/>
        <v>10534.378</v>
      </c>
      <c r="AI309">
        <f t="shared" si="72"/>
        <v>0.357462437590533</v>
      </c>
      <c r="AJ309" t="s">
        <v>1628</v>
      </c>
      <c r="AK309" t="str">
        <f t="shared" si="73"/>
        <v>Pending</v>
      </c>
      <c r="AL309" t="s">
        <v>118</v>
      </c>
      <c r="AM309" t="str">
        <f t="shared" si="74"/>
        <v>Cancelled</v>
      </c>
      <c r="AN309">
        <v>7</v>
      </c>
      <c r="AO309">
        <v>2025</v>
      </c>
      <c r="AP309" t="s">
        <v>79</v>
      </c>
    </row>
    <row r="310" spans="1:42">
      <c r="A310" t="s">
        <v>1629</v>
      </c>
      <c r="B310" s="3" t="s">
        <v>1630</v>
      </c>
      <c r="C310" s="3">
        <v>45821</v>
      </c>
      <c r="D310" t="s">
        <v>1631</v>
      </c>
      <c r="E310" s="3">
        <v>45827</v>
      </c>
      <c r="F310" t="s">
        <v>1632</v>
      </c>
      <c r="G310" t="s">
        <v>220</v>
      </c>
      <c r="H310" t="str">
        <f t="shared" si="60"/>
        <v>Rohan Mehta</v>
      </c>
      <c r="I310" t="s">
        <v>71</v>
      </c>
      <c r="J310" t="str">
        <f t="shared" si="61"/>
        <v>Consumer</v>
      </c>
      <c r="K310" t="s">
        <v>8</v>
      </c>
      <c r="L310" t="str">
        <f t="shared" si="62"/>
        <v>North</v>
      </c>
      <c r="M310" t="s">
        <v>72</v>
      </c>
      <c r="N310" t="str">
        <f t="shared" si="63"/>
        <v>Rajasthan</v>
      </c>
      <c r="O310" t="s">
        <v>73</v>
      </c>
      <c r="P310" t="str">
        <f t="shared" si="64"/>
        <v>Jaipur</v>
      </c>
      <c r="Q310" t="s">
        <v>19</v>
      </c>
      <c r="R310" t="str">
        <f t="shared" si="65"/>
        <v>Furniture</v>
      </c>
      <c r="S310" t="s">
        <v>88</v>
      </c>
      <c r="T310" t="str">
        <f t="shared" si="66"/>
        <v>Tables</v>
      </c>
      <c r="U310" t="s">
        <v>1633</v>
      </c>
      <c r="V310" t="str">
        <f t="shared" si="67"/>
        <v>Classic Tables 224</v>
      </c>
      <c r="W310" t="s">
        <v>98</v>
      </c>
      <c r="X310" t="str">
        <f t="shared" si="68"/>
        <v>First Class</v>
      </c>
      <c r="Y310">
        <v>6</v>
      </c>
      <c r="Z310">
        <v>4</v>
      </c>
      <c r="AA310">
        <v>731.57</v>
      </c>
      <c r="AB310">
        <v>0.2</v>
      </c>
      <c r="AC310">
        <f t="shared" si="69"/>
        <v>0.2</v>
      </c>
      <c r="AD310">
        <v>2341.02</v>
      </c>
      <c r="AE310">
        <f t="shared" si="70"/>
        <v>2341.024</v>
      </c>
      <c r="AF310">
        <v>1565.49</v>
      </c>
      <c r="AG310">
        <v>775.53</v>
      </c>
      <c r="AH310">
        <f t="shared" si="71"/>
        <v>775.534</v>
      </c>
      <c r="AI310">
        <f t="shared" si="72"/>
        <v>0.331279816012138</v>
      </c>
      <c r="AJ310" t="s">
        <v>77</v>
      </c>
      <c r="AK310" t="str">
        <f t="shared" si="73"/>
        <v>Paid</v>
      </c>
      <c r="AL310" t="s">
        <v>78</v>
      </c>
      <c r="AM310" t="str">
        <f t="shared" si="74"/>
        <v>Completed</v>
      </c>
      <c r="AN310">
        <v>6</v>
      </c>
      <c r="AO310">
        <v>2025</v>
      </c>
      <c r="AP310" t="s">
        <v>79</v>
      </c>
    </row>
    <row r="311" spans="1:42">
      <c r="A311" t="s">
        <v>1634</v>
      </c>
      <c r="B311" s="3" t="s">
        <v>1635</v>
      </c>
      <c r="C311" s="3">
        <v>45493</v>
      </c>
      <c r="D311" t="s">
        <v>166</v>
      </c>
      <c r="E311" s="3">
        <v>45495</v>
      </c>
      <c r="F311" t="s">
        <v>1636</v>
      </c>
      <c r="G311" t="s">
        <v>113</v>
      </c>
      <c r="H311" t="str">
        <f t="shared" si="60"/>
        <v>Ananya Rao</v>
      </c>
      <c r="I311" t="s">
        <v>71</v>
      </c>
      <c r="J311" t="str">
        <f t="shared" si="61"/>
        <v>Consumer</v>
      </c>
      <c r="K311" t="s">
        <v>10</v>
      </c>
      <c r="L311" t="str">
        <f t="shared" si="62"/>
        <v>South</v>
      </c>
      <c r="M311" t="s">
        <v>382</v>
      </c>
      <c r="N311" t="str">
        <f t="shared" si="63"/>
        <v>Tamil Nadu</v>
      </c>
      <c r="O311" t="s">
        <v>383</v>
      </c>
      <c r="P311" t="str">
        <f t="shared" si="64"/>
        <v>Chennai</v>
      </c>
      <c r="Q311" t="s">
        <v>19</v>
      </c>
      <c r="R311" t="str">
        <f t="shared" si="65"/>
        <v>Furniture</v>
      </c>
      <c r="S311" t="s">
        <v>88</v>
      </c>
      <c r="T311" t="str">
        <f t="shared" si="66"/>
        <v>Tables</v>
      </c>
      <c r="U311" t="s">
        <v>1637</v>
      </c>
      <c r="V311" t="str">
        <f t="shared" si="67"/>
        <v>Prime Tables 214</v>
      </c>
      <c r="W311" t="s">
        <v>98</v>
      </c>
      <c r="X311" t="str">
        <f t="shared" si="68"/>
        <v>First Class</v>
      </c>
      <c r="Y311">
        <v>2</v>
      </c>
      <c r="Z311">
        <v>7</v>
      </c>
      <c r="AA311">
        <v>2060.73</v>
      </c>
      <c r="AB311">
        <v>0.1</v>
      </c>
      <c r="AC311">
        <f t="shared" si="69"/>
        <v>0.1</v>
      </c>
      <c r="AD311">
        <v>12982.6</v>
      </c>
      <c r="AE311">
        <f t="shared" si="70"/>
        <v>12982.599</v>
      </c>
      <c r="AF311">
        <v>7246.36</v>
      </c>
      <c r="AG311">
        <v>5736.24</v>
      </c>
      <c r="AH311">
        <f t="shared" si="71"/>
        <v>5736.239</v>
      </c>
      <c r="AI311">
        <f t="shared" si="72"/>
        <v>0.441840574448922</v>
      </c>
      <c r="AJ311" t="s">
        <v>77</v>
      </c>
      <c r="AK311" t="str">
        <f t="shared" si="73"/>
        <v>Paid</v>
      </c>
      <c r="AL311" t="s">
        <v>118</v>
      </c>
      <c r="AM311" t="str">
        <f t="shared" si="74"/>
        <v>Cancelled</v>
      </c>
      <c r="AN311">
        <v>7</v>
      </c>
      <c r="AO311">
        <v>2024</v>
      </c>
      <c r="AP311" t="s">
        <v>79</v>
      </c>
    </row>
    <row r="312" spans="1:42">
      <c r="A312" t="s">
        <v>1638</v>
      </c>
      <c r="B312" s="3" t="s">
        <v>1639</v>
      </c>
      <c r="C312" s="3">
        <v>45477</v>
      </c>
      <c r="D312" t="s">
        <v>1640</v>
      </c>
      <c r="E312" s="3">
        <v>45481</v>
      </c>
      <c r="F312" t="s">
        <v>1641</v>
      </c>
      <c r="G312" t="s">
        <v>220</v>
      </c>
      <c r="H312" t="str">
        <f t="shared" si="60"/>
        <v>Rohan Mehta</v>
      </c>
      <c r="I312" t="s">
        <v>85</v>
      </c>
      <c r="J312" t="str">
        <f t="shared" si="61"/>
        <v>Small Business</v>
      </c>
      <c r="K312" t="s">
        <v>10</v>
      </c>
      <c r="L312" t="str">
        <f t="shared" si="62"/>
        <v>South</v>
      </c>
      <c r="M312" t="s">
        <v>382</v>
      </c>
      <c r="N312" t="str">
        <f t="shared" si="63"/>
        <v>Tamil Nadu</v>
      </c>
      <c r="O312" t="s">
        <v>383</v>
      </c>
      <c r="P312" t="str">
        <f t="shared" si="64"/>
        <v>Chennai</v>
      </c>
      <c r="Q312" t="s">
        <v>24</v>
      </c>
      <c r="R312" t="str">
        <f t="shared" si="65"/>
        <v>Technology</v>
      </c>
      <c r="S312" t="s">
        <v>427</v>
      </c>
      <c r="T312" t="str">
        <f t="shared" si="66"/>
        <v>Machines</v>
      </c>
      <c r="U312" t="s">
        <v>1642</v>
      </c>
      <c r="V312" t="str">
        <f t="shared" si="67"/>
        <v>Max Machines 988</v>
      </c>
      <c r="W312" t="s">
        <v>98</v>
      </c>
      <c r="X312" t="str">
        <f t="shared" si="68"/>
        <v>First Class</v>
      </c>
      <c r="Y312">
        <v>4</v>
      </c>
      <c r="Z312">
        <v>8</v>
      </c>
      <c r="AA312">
        <v>2034.25</v>
      </c>
      <c r="AB312">
        <v>0</v>
      </c>
      <c r="AC312">
        <f t="shared" si="69"/>
        <v>0</v>
      </c>
      <c r="AD312">
        <v>16274</v>
      </c>
      <c r="AE312">
        <f t="shared" si="70"/>
        <v>16274</v>
      </c>
      <c r="AF312">
        <v>9424.25</v>
      </c>
      <c r="AG312">
        <v>6849.75</v>
      </c>
      <c r="AH312">
        <f t="shared" si="71"/>
        <v>6849.75</v>
      </c>
      <c r="AI312">
        <f t="shared" si="72"/>
        <v>0.420901437876367</v>
      </c>
      <c r="AJ312" t="s">
        <v>77</v>
      </c>
      <c r="AK312" t="str">
        <f t="shared" si="73"/>
        <v>Paid</v>
      </c>
      <c r="AL312" t="s">
        <v>78</v>
      </c>
      <c r="AM312" t="str">
        <f t="shared" si="74"/>
        <v>Completed</v>
      </c>
      <c r="AN312">
        <v>7</v>
      </c>
      <c r="AO312">
        <v>2024</v>
      </c>
      <c r="AP312" t="s">
        <v>79</v>
      </c>
    </row>
    <row r="313" spans="1:42">
      <c r="A313" t="s">
        <v>1643</v>
      </c>
      <c r="B313" s="3" t="s">
        <v>1644</v>
      </c>
      <c r="C313" s="3">
        <v>45409</v>
      </c>
      <c r="D313" t="s">
        <v>998</v>
      </c>
      <c r="E313" s="3">
        <v>45414</v>
      </c>
      <c r="F313" t="s">
        <v>1645</v>
      </c>
      <c r="G313" t="s">
        <v>84</v>
      </c>
      <c r="H313" t="str">
        <f t="shared" si="60"/>
        <v>Mira Das</v>
      </c>
      <c r="I313" t="s">
        <v>147</v>
      </c>
      <c r="J313" t="str">
        <f t="shared" si="61"/>
        <v>Corporate</v>
      </c>
      <c r="K313" t="s">
        <v>10</v>
      </c>
      <c r="L313" t="str">
        <f t="shared" si="62"/>
        <v>South</v>
      </c>
      <c r="M313" t="s">
        <v>272</v>
      </c>
      <c r="N313" t="str">
        <f t="shared" si="63"/>
        <v>Karnataka</v>
      </c>
      <c r="O313" t="s">
        <v>273</v>
      </c>
      <c r="P313" t="str">
        <f t="shared" si="64"/>
        <v>Bengaluru</v>
      </c>
      <c r="Q313" t="s">
        <v>22</v>
      </c>
      <c r="R313" t="str">
        <f t="shared" si="65"/>
        <v>Office Supplies</v>
      </c>
      <c r="S313" t="s">
        <v>239</v>
      </c>
      <c r="T313" t="str">
        <f t="shared" si="66"/>
        <v>Binders</v>
      </c>
      <c r="U313" t="s">
        <v>1646</v>
      </c>
      <c r="V313" t="str">
        <f t="shared" si="67"/>
        <v>Max Binders 425</v>
      </c>
      <c r="W313" t="s">
        <v>76</v>
      </c>
      <c r="X313" t="str">
        <f t="shared" si="68"/>
        <v>Second Class</v>
      </c>
      <c r="Y313">
        <v>5</v>
      </c>
      <c r="Z313">
        <v>5</v>
      </c>
      <c r="AA313">
        <v>554.04</v>
      </c>
      <c r="AB313">
        <v>0.1</v>
      </c>
      <c r="AC313">
        <f t="shared" si="69"/>
        <v>0.1</v>
      </c>
      <c r="AD313">
        <v>2493.18</v>
      </c>
      <c r="AE313">
        <f t="shared" si="70"/>
        <v>2493.18</v>
      </c>
      <c r="AF313">
        <v>1764</v>
      </c>
      <c r="AG313">
        <v>729.18</v>
      </c>
      <c r="AH313">
        <f t="shared" si="71"/>
        <v>729.18</v>
      </c>
      <c r="AI313">
        <f t="shared" si="72"/>
        <v>0.292469857772002</v>
      </c>
      <c r="AJ313" t="s">
        <v>77</v>
      </c>
      <c r="AK313" t="str">
        <f t="shared" si="73"/>
        <v>Paid</v>
      </c>
      <c r="AL313" t="s">
        <v>78</v>
      </c>
      <c r="AM313" t="str">
        <f t="shared" si="74"/>
        <v>Completed</v>
      </c>
      <c r="AN313">
        <v>4</v>
      </c>
      <c r="AO313">
        <v>2024</v>
      </c>
      <c r="AP313" t="s">
        <v>79</v>
      </c>
    </row>
    <row r="314" spans="1:42">
      <c r="A314" t="s">
        <v>1647</v>
      </c>
      <c r="B314" s="3" t="s">
        <v>1648</v>
      </c>
      <c r="C314" s="3">
        <v>45504</v>
      </c>
      <c r="D314" t="s">
        <v>562</v>
      </c>
      <c r="E314" s="3">
        <v>45508</v>
      </c>
      <c r="F314" t="s">
        <v>1649</v>
      </c>
      <c r="G314" t="s">
        <v>70</v>
      </c>
      <c r="H314" t="str">
        <f t="shared" si="60"/>
        <v>Karan Malhotra</v>
      </c>
      <c r="I314" t="s">
        <v>85</v>
      </c>
      <c r="J314" t="str">
        <f t="shared" si="61"/>
        <v>Small Business</v>
      </c>
      <c r="K314" t="s">
        <v>7</v>
      </c>
      <c r="L314" t="str">
        <f t="shared" si="62"/>
        <v>East</v>
      </c>
      <c r="M314" t="s">
        <v>258</v>
      </c>
      <c r="N314" t="str">
        <f t="shared" si="63"/>
        <v>Assam</v>
      </c>
      <c r="O314" t="s">
        <v>259</v>
      </c>
      <c r="P314" t="str">
        <f t="shared" si="64"/>
        <v>Guwahati</v>
      </c>
      <c r="Q314" t="s">
        <v>24</v>
      </c>
      <c r="R314" t="str">
        <f t="shared" si="65"/>
        <v>Technology</v>
      </c>
      <c r="S314" t="s">
        <v>265</v>
      </c>
      <c r="T314" t="str">
        <f t="shared" si="66"/>
        <v>Phones</v>
      </c>
      <c r="U314" t="s">
        <v>1650</v>
      </c>
      <c r="V314" t="str">
        <f t="shared" si="67"/>
        <v>Elite Phones 679</v>
      </c>
      <c r="W314" t="s">
        <v>108</v>
      </c>
      <c r="X314" t="str">
        <f t="shared" si="68"/>
        <v>Standard Class</v>
      </c>
      <c r="Y314">
        <v>4</v>
      </c>
      <c r="Z314">
        <v>8</v>
      </c>
      <c r="AA314">
        <v>2614.74</v>
      </c>
      <c r="AC314">
        <f t="shared" si="69"/>
        <v>0</v>
      </c>
      <c r="AD314">
        <v>15688.44</v>
      </c>
      <c r="AE314">
        <f t="shared" si="70"/>
        <v>20917.92</v>
      </c>
      <c r="AF314">
        <v>10047.33</v>
      </c>
      <c r="AG314">
        <v>5641.11</v>
      </c>
      <c r="AH314">
        <f t="shared" si="71"/>
        <v>10870.59</v>
      </c>
      <c r="AI314">
        <f t="shared" si="72"/>
        <v>0.519678342779779</v>
      </c>
      <c r="AJ314" t="s">
        <v>77</v>
      </c>
      <c r="AK314" t="str">
        <f t="shared" si="73"/>
        <v>Paid</v>
      </c>
      <c r="AL314" t="s">
        <v>118</v>
      </c>
      <c r="AM314" t="str">
        <f t="shared" si="74"/>
        <v>Cancelled</v>
      </c>
      <c r="AN314">
        <v>7</v>
      </c>
      <c r="AO314">
        <v>2024</v>
      </c>
      <c r="AP314" t="s">
        <v>222</v>
      </c>
    </row>
    <row r="315" spans="1:42">
      <c r="A315" t="s">
        <v>1651</v>
      </c>
      <c r="B315" s="3" t="s">
        <v>1652</v>
      </c>
      <c r="C315" s="3">
        <v>45807</v>
      </c>
      <c r="D315" t="s">
        <v>1653</v>
      </c>
      <c r="E315" s="3">
        <v>45808</v>
      </c>
      <c r="F315" t="s">
        <v>1654</v>
      </c>
      <c r="G315" t="s">
        <v>188</v>
      </c>
      <c r="H315" t="str">
        <f t="shared" si="60"/>
        <v>Rahul Verma</v>
      </c>
      <c r="I315" t="s">
        <v>147</v>
      </c>
      <c r="J315" t="str">
        <f t="shared" si="61"/>
        <v>Corporate</v>
      </c>
      <c r="K315" t="s">
        <v>8</v>
      </c>
      <c r="L315" t="str">
        <f t="shared" si="62"/>
        <v>North</v>
      </c>
      <c r="M315" t="s">
        <v>214</v>
      </c>
      <c r="N315" t="str">
        <f t="shared" si="63"/>
        <v>Uttar Pradesh</v>
      </c>
      <c r="O315" t="s">
        <v>215</v>
      </c>
      <c r="P315" t="str">
        <f t="shared" si="64"/>
        <v>Noida</v>
      </c>
      <c r="Q315" t="s">
        <v>24</v>
      </c>
      <c r="R315" t="str">
        <f t="shared" si="65"/>
        <v>Technology</v>
      </c>
      <c r="S315" t="s">
        <v>265</v>
      </c>
      <c r="T315" t="str">
        <f t="shared" si="66"/>
        <v>Phones</v>
      </c>
      <c r="U315" t="s">
        <v>1655</v>
      </c>
      <c r="V315" t="str">
        <f t="shared" si="67"/>
        <v>Pro Phones 764</v>
      </c>
      <c r="W315" t="s">
        <v>98</v>
      </c>
      <c r="X315" t="str">
        <f t="shared" si="68"/>
        <v>First Class</v>
      </c>
      <c r="Y315">
        <v>1</v>
      </c>
      <c r="Z315">
        <v>8</v>
      </c>
      <c r="AA315">
        <v>2081.43</v>
      </c>
      <c r="AB315">
        <v>0.25</v>
      </c>
      <c r="AC315">
        <f t="shared" si="69"/>
        <v>0.25</v>
      </c>
      <c r="AD315">
        <v>12488.58</v>
      </c>
      <c r="AE315">
        <f t="shared" si="70"/>
        <v>12488.58</v>
      </c>
      <c r="AF315">
        <v>10717.4</v>
      </c>
      <c r="AG315">
        <v>1771.18</v>
      </c>
      <c r="AH315">
        <f t="shared" si="71"/>
        <v>1771.18</v>
      </c>
      <c r="AI315">
        <f t="shared" si="72"/>
        <v>0.141823970379338</v>
      </c>
      <c r="AJ315" t="s">
        <v>163</v>
      </c>
      <c r="AK315" t="str">
        <f t="shared" si="73"/>
        <v>Refunded</v>
      </c>
      <c r="AL315" t="s">
        <v>118</v>
      </c>
      <c r="AM315" t="str">
        <f t="shared" si="74"/>
        <v>Cancelled</v>
      </c>
      <c r="AN315">
        <v>5</v>
      </c>
      <c r="AO315">
        <v>2025</v>
      </c>
      <c r="AP315" t="s">
        <v>79</v>
      </c>
    </row>
    <row r="316" spans="1:42">
      <c r="A316" t="s">
        <v>1656</v>
      </c>
      <c r="B316" s="3" t="s">
        <v>1155</v>
      </c>
      <c r="C316" s="3">
        <v>45795</v>
      </c>
      <c r="D316" t="s">
        <v>157</v>
      </c>
      <c r="E316" s="3">
        <v>45797</v>
      </c>
      <c r="F316" t="s">
        <v>1657</v>
      </c>
      <c r="G316" t="s">
        <v>95</v>
      </c>
      <c r="H316" t="str">
        <f t="shared" si="60"/>
        <v>Isha Nair</v>
      </c>
      <c r="I316" t="s">
        <v>147</v>
      </c>
      <c r="J316" t="str">
        <f t="shared" si="61"/>
        <v>Corporate</v>
      </c>
      <c r="K316" t="s">
        <v>11</v>
      </c>
      <c r="L316" t="str">
        <f t="shared" si="62"/>
        <v>West</v>
      </c>
      <c r="M316" t="s">
        <v>124</v>
      </c>
      <c r="N316" t="str">
        <f t="shared" si="63"/>
        <v>Madhya Pradesh</v>
      </c>
      <c r="O316" t="s">
        <v>125</v>
      </c>
      <c r="P316" t="str">
        <f t="shared" si="64"/>
        <v>Indore</v>
      </c>
      <c r="Q316" t="s">
        <v>22</v>
      </c>
      <c r="R316" t="str">
        <f t="shared" si="65"/>
        <v>Office Supplies</v>
      </c>
      <c r="S316" t="s">
        <v>148</v>
      </c>
      <c r="T316" t="str">
        <f t="shared" si="66"/>
        <v>Labels</v>
      </c>
      <c r="U316" t="s">
        <v>1658</v>
      </c>
      <c r="V316" t="str">
        <f t="shared" si="67"/>
        <v>Elite Labels 544</v>
      </c>
      <c r="W316" t="s">
        <v>108</v>
      </c>
      <c r="X316" t="str">
        <f t="shared" si="68"/>
        <v>Standard Class</v>
      </c>
      <c r="Y316">
        <v>2</v>
      </c>
      <c r="Z316">
        <v>9</v>
      </c>
      <c r="AA316">
        <v>847.76</v>
      </c>
      <c r="AB316">
        <v>0.15</v>
      </c>
      <c r="AC316">
        <f t="shared" si="69"/>
        <v>0.15</v>
      </c>
      <c r="AD316">
        <v>6485.36</v>
      </c>
      <c r="AE316">
        <f t="shared" si="70"/>
        <v>6485.364</v>
      </c>
      <c r="AF316">
        <v>5376.17</v>
      </c>
      <c r="AG316">
        <v>1109.19</v>
      </c>
      <c r="AH316">
        <f t="shared" si="71"/>
        <v>1109.194</v>
      </c>
      <c r="AI316">
        <f t="shared" si="72"/>
        <v>0.171030338466738</v>
      </c>
      <c r="AJ316" t="s">
        <v>241</v>
      </c>
      <c r="AK316" t="str">
        <f t="shared" si="73"/>
        <v>Failed</v>
      </c>
      <c r="AL316" t="s">
        <v>164</v>
      </c>
      <c r="AM316" t="str">
        <f t="shared" si="74"/>
        <v>Returned</v>
      </c>
      <c r="AN316">
        <v>5</v>
      </c>
      <c r="AO316">
        <v>2025</v>
      </c>
      <c r="AP316" t="s">
        <v>79</v>
      </c>
    </row>
    <row r="317" spans="1:42">
      <c r="A317" t="s">
        <v>1659</v>
      </c>
      <c r="B317" s="3" t="s">
        <v>1660</v>
      </c>
      <c r="C317" s="3">
        <v>45475</v>
      </c>
      <c r="D317" t="s">
        <v>1661</v>
      </c>
      <c r="E317" s="3">
        <v>45481</v>
      </c>
      <c r="F317" t="s">
        <v>1662</v>
      </c>
      <c r="G317" t="s">
        <v>220</v>
      </c>
      <c r="H317" t="str">
        <f t="shared" si="60"/>
        <v>Rohan Mehta</v>
      </c>
      <c r="I317" t="s">
        <v>71</v>
      </c>
      <c r="J317" t="str">
        <f t="shared" si="61"/>
        <v>Consumer</v>
      </c>
      <c r="K317" t="s">
        <v>8</v>
      </c>
      <c r="L317" t="str">
        <f t="shared" si="62"/>
        <v>North</v>
      </c>
      <c r="M317" t="s">
        <v>552</v>
      </c>
      <c r="N317" t="str">
        <f t="shared" si="63"/>
        <v>Delhi</v>
      </c>
      <c r="O317" t="s">
        <v>553</v>
      </c>
      <c r="P317" t="str">
        <f t="shared" si="64"/>
        <v>New Delhi</v>
      </c>
      <c r="Q317" t="s">
        <v>22</v>
      </c>
      <c r="R317" t="str">
        <f t="shared" si="65"/>
        <v>Office Supplies</v>
      </c>
      <c r="S317" t="s">
        <v>74</v>
      </c>
      <c r="T317" t="str">
        <f t="shared" si="66"/>
        <v>Paper</v>
      </c>
      <c r="U317" t="s">
        <v>1663</v>
      </c>
      <c r="V317" t="str">
        <f t="shared" si="67"/>
        <v>Smart Paper 817</v>
      </c>
      <c r="W317" t="s">
        <v>108</v>
      </c>
      <c r="X317" t="str">
        <f t="shared" si="68"/>
        <v>Standard Class</v>
      </c>
      <c r="Y317">
        <v>6</v>
      </c>
      <c r="Z317">
        <v>9</v>
      </c>
      <c r="AA317">
        <v>3450.4</v>
      </c>
      <c r="AB317">
        <v>0.05</v>
      </c>
      <c r="AC317">
        <f t="shared" si="69"/>
        <v>0.05</v>
      </c>
      <c r="AD317">
        <v>29500.92</v>
      </c>
      <c r="AE317">
        <f t="shared" si="70"/>
        <v>29500.92</v>
      </c>
      <c r="AF317">
        <v>17989.68</v>
      </c>
      <c r="AG317">
        <v>11511.24</v>
      </c>
      <c r="AH317">
        <f t="shared" si="71"/>
        <v>11511.24</v>
      </c>
      <c r="AI317">
        <f t="shared" si="72"/>
        <v>0.390199356494645</v>
      </c>
      <c r="AJ317" t="s">
        <v>177</v>
      </c>
      <c r="AK317" t="str">
        <f t="shared" si="73"/>
        <v>Pending</v>
      </c>
      <c r="AL317" t="s">
        <v>164</v>
      </c>
      <c r="AM317" t="str">
        <f t="shared" si="74"/>
        <v>Returned</v>
      </c>
      <c r="AN317">
        <v>7</v>
      </c>
      <c r="AO317">
        <v>2024</v>
      </c>
      <c r="AP317" t="s">
        <v>79</v>
      </c>
    </row>
    <row r="318" spans="1:42">
      <c r="A318" t="s">
        <v>1664</v>
      </c>
      <c r="B318" s="3" t="s">
        <v>1665</v>
      </c>
      <c r="C318" s="3">
        <v>45338</v>
      </c>
      <c r="D318" t="s">
        <v>1666</v>
      </c>
      <c r="E318" s="3">
        <v>45340</v>
      </c>
      <c r="F318" t="s">
        <v>1667</v>
      </c>
      <c r="G318" t="s">
        <v>70</v>
      </c>
      <c r="H318" t="str">
        <f t="shared" si="60"/>
        <v>Karan Malhotra</v>
      </c>
      <c r="I318" t="s">
        <v>147</v>
      </c>
      <c r="J318" t="str">
        <f t="shared" si="61"/>
        <v>Corporate</v>
      </c>
      <c r="K318" t="s">
        <v>8</v>
      </c>
      <c r="L318" t="str">
        <f t="shared" si="62"/>
        <v>North</v>
      </c>
      <c r="M318" t="s">
        <v>194</v>
      </c>
      <c r="N318" t="str">
        <f t="shared" si="63"/>
        <v>Punjab</v>
      </c>
      <c r="O318" t="s">
        <v>195</v>
      </c>
      <c r="P318" t="str">
        <f t="shared" si="64"/>
        <v>Ludhiana</v>
      </c>
      <c r="Q318" t="s">
        <v>22</v>
      </c>
      <c r="R318" t="str">
        <f t="shared" si="65"/>
        <v>Office Supplies</v>
      </c>
      <c r="S318" t="s">
        <v>148</v>
      </c>
      <c r="T318" t="str">
        <f t="shared" si="66"/>
        <v>Labels</v>
      </c>
      <c r="U318" t="s">
        <v>1668</v>
      </c>
      <c r="V318" t="str">
        <f t="shared" si="67"/>
        <v>Classic Labels 466</v>
      </c>
      <c r="W318" t="s">
        <v>108</v>
      </c>
      <c r="X318" t="str">
        <f t="shared" si="68"/>
        <v>Standard Class</v>
      </c>
      <c r="Y318">
        <v>2</v>
      </c>
      <c r="Z318">
        <v>2</v>
      </c>
      <c r="AA318">
        <v>1947.53</v>
      </c>
      <c r="AB318">
        <v>0.2</v>
      </c>
      <c r="AC318">
        <f t="shared" si="69"/>
        <v>0.2</v>
      </c>
      <c r="AD318">
        <v>3116.05</v>
      </c>
      <c r="AE318">
        <f t="shared" si="70"/>
        <v>3116.048</v>
      </c>
      <c r="AF318">
        <v>1956.63</v>
      </c>
      <c r="AG318">
        <v>1159.42</v>
      </c>
      <c r="AH318">
        <f t="shared" si="71"/>
        <v>1159.418</v>
      </c>
      <c r="AI318">
        <f t="shared" si="72"/>
        <v>0.372079634203324</v>
      </c>
      <c r="AJ318" t="s">
        <v>77</v>
      </c>
      <c r="AK318" t="str">
        <f t="shared" si="73"/>
        <v>Paid</v>
      </c>
      <c r="AL318" t="s">
        <v>118</v>
      </c>
      <c r="AM318" t="str">
        <f t="shared" si="74"/>
        <v>Cancelled</v>
      </c>
      <c r="AN318">
        <v>2</v>
      </c>
      <c r="AO318">
        <v>2024</v>
      </c>
      <c r="AP318" t="s">
        <v>79</v>
      </c>
    </row>
    <row r="319" spans="1:42">
      <c r="A319" t="s">
        <v>1669</v>
      </c>
      <c r="B319" s="3" t="s">
        <v>1670</v>
      </c>
      <c r="C319" s="3">
        <v>45898</v>
      </c>
      <c r="D319" t="s">
        <v>1671</v>
      </c>
      <c r="E319" s="3">
        <v>45904</v>
      </c>
      <c r="F319" t="s">
        <v>1672</v>
      </c>
      <c r="G319" t="s">
        <v>132</v>
      </c>
      <c r="H319" t="str">
        <f t="shared" si="60"/>
        <v>Neha Gupta</v>
      </c>
      <c r="I319" t="s">
        <v>147</v>
      </c>
      <c r="J319" t="str">
        <f t="shared" si="61"/>
        <v>Corporate</v>
      </c>
      <c r="K319" t="s">
        <v>10</v>
      </c>
      <c r="L319" t="str">
        <f t="shared" si="62"/>
        <v>South</v>
      </c>
      <c r="M319" t="s">
        <v>285</v>
      </c>
      <c r="N319" t="str">
        <f t="shared" si="63"/>
        <v>Kerala</v>
      </c>
      <c r="O319" t="s">
        <v>286</v>
      </c>
      <c r="P319" t="str">
        <f t="shared" si="64"/>
        <v>Kochi</v>
      </c>
      <c r="Q319" t="s">
        <v>19</v>
      </c>
      <c r="R319" t="str">
        <f t="shared" si="65"/>
        <v>Furniture</v>
      </c>
      <c r="S319" t="s">
        <v>88</v>
      </c>
      <c r="T319" t="str">
        <f t="shared" si="66"/>
        <v>Tables</v>
      </c>
      <c r="U319" t="s">
        <v>1673</v>
      </c>
      <c r="V319" t="str">
        <f t="shared" si="67"/>
        <v>Pro Tables 778</v>
      </c>
      <c r="W319" t="s">
        <v>98</v>
      </c>
      <c r="X319" t="str">
        <f t="shared" si="68"/>
        <v>First Class</v>
      </c>
      <c r="Y319">
        <v>6</v>
      </c>
      <c r="Z319">
        <v>9</v>
      </c>
      <c r="AA319">
        <v>2996.97</v>
      </c>
      <c r="AB319">
        <v>0.15</v>
      </c>
      <c r="AC319">
        <f t="shared" si="69"/>
        <v>0.15</v>
      </c>
      <c r="AD319">
        <v>22926.82</v>
      </c>
      <c r="AE319">
        <f t="shared" si="70"/>
        <v>22926.8205</v>
      </c>
      <c r="AF319">
        <v>14621.59</v>
      </c>
      <c r="AG319">
        <v>8305.23</v>
      </c>
      <c r="AH319">
        <f t="shared" si="71"/>
        <v>8305.2305</v>
      </c>
      <c r="AI319">
        <f t="shared" si="72"/>
        <v>0.362249553966718</v>
      </c>
      <c r="AJ319" t="s">
        <v>77</v>
      </c>
      <c r="AK319" t="str">
        <f t="shared" si="73"/>
        <v>Paid</v>
      </c>
      <c r="AL319" t="s">
        <v>78</v>
      </c>
      <c r="AM319" t="str">
        <f t="shared" si="74"/>
        <v>Completed</v>
      </c>
      <c r="AN319">
        <v>8</v>
      </c>
      <c r="AO319">
        <v>2025</v>
      </c>
      <c r="AP319" t="s">
        <v>79</v>
      </c>
    </row>
    <row r="320" spans="1:42">
      <c r="A320" t="s">
        <v>1674</v>
      </c>
      <c r="B320" s="3" t="s">
        <v>1675</v>
      </c>
      <c r="C320" s="3">
        <v>45407</v>
      </c>
      <c r="D320" t="s">
        <v>1676</v>
      </c>
      <c r="E320" s="3">
        <v>45412</v>
      </c>
      <c r="F320" t="s">
        <v>1677</v>
      </c>
      <c r="G320" t="s">
        <v>84</v>
      </c>
      <c r="H320" t="str">
        <f t="shared" si="60"/>
        <v>Mira Das</v>
      </c>
      <c r="I320" t="s">
        <v>85</v>
      </c>
      <c r="J320" t="str">
        <f t="shared" si="61"/>
        <v>Small Business</v>
      </c>
      <c r="K320" t="s">
        <v>10</v>
      </c>
      <c r="L320" t="str">
        <f t="shared" si="62"/>
        <v>South</v>
      </c>
      <c r="M320" t="s">
        <v>272</v>
      </c>
      <c r="N320" t="str">
        <f t="shared" si="63"/>
        <v>Karnataka</v>
      </c>
      <c r="O320" t="s">
        <v>273</v>
      </c>
      <c r="P320" t="str">
        <f t="shared" si="64"/>
        <v>Bengaluru</v>
      </c>
      <c r="Q320" t="s">
        <v>24</v>
      </c>
      <c r="R320" t="str">
        <f t="shared" si="65"/>
        <v>Technology</v>
      </c>
      <c r="S320" t="s">
        <v>265</v>
      </c>
      <c r="T320" t="str">
        <f t="shared" si="66"/>
        <v>Phones</v>
      </c>
      <c r="U320" t="s">
        <v>1678</v>
      </c>
      <c r="V320" t="str">
        <f t="shared" si="67"/>
        <v>Basic Phones 789</v>
      </c>
      <c r="W320" t="s">
        <v>108</v>
      </c>
      <c r="X320" t="str">
        <f t="shared" si="68"/>
        <v>Standard Class</v>
      </c>
      <c r="Y320">
        <v>5</v>
      </c>
      <c r="Z320">
        <v>3</v>
      </c>
      <c r="AA320">
        <v>4149.46</v>
      </c>
      <c r="AB320">
        <v>0.1</v>
      </c>
      <c r="AC320">
        <f t="shared" si="69"/>
        <v>0.1</v>
      </c>
      <c r="AD320">
        <v>11203.54</v>
      </c>
      <c r="AE320">
        <f t="shared" si="70"/>
        <v>11203.542</v>
      </c>
      <c r="AF320">
        <v>8452.93</v>
      </c>
      <c r="AG320">
        <v>2750.61</v>
      </c>
      <c r="AH320">
        <f t="shared" si="71"/>
        <v>2750.612</v>
      </c>
      <c r="AI320">
        <f t="shared" si="72"/>
        <v>0.245512713747135</v>
      </c>
      <c r="AJ320" t="s">
        <v>77</v>
      </c>
      <c r="AK320" t="str">
        <f t="shared" si="73"/>
        <v>Paid</v>
      </c>
      <c r="AL320" t="s">
        <v>78</v>
      </c>
      <c r="AM320" t="str">
        <f t="shared" si="74"/>
        <v>Completed</v>
      </c>
      <c r="AN320">
        <v>4</v>
      </c>
      <c r="AO320">
        <v>2024</v>
      </c>
      <c r="AP320" t="s">
        <v>79</v>
      </c>
    </row>
    <row r="321" spans="1:42">
      <c r="A321" t="s">
        <v>1679</v>
      </c>
      <c r="B321" s="3" t="s">
        <v>1680</v>
      </c>
      <c r="C321" s="3">
        <v>45525</v>
      </c>
      <c r="D321" t="s">
        <v>1681</v>
      </c>
      <c r="E321" s="3">
        <v>45529</v>
      </c>
      <c r="F321" t="s">
        <v>1682</v>
      </c>
      <c r="G321" t="s">
        <v>251</v>
      </c>
      <c r="H321" t="str">
        <f t="shared" si="60"/>
        <v>Diya Patel</v>
      </c>
      <c r="I321" t="s">
        <v>71</v>
      </c>
      <c r="J321" t="str">
        <f t="shared" si="61"/>
        <v>Consumer</v>
      </c>
      <c r="K321" t="s">
        <v>11</v>
      </c>
      <c r="L321" t="str">
        <f t="shared" si="62"/>
        <v>West</v>
      </c>
      <c r="M321" t="s">
        <v>278</v>
      </c>
      <c r="N321" t="str">
        <f t="shared" si="63"/>
        <v>Gujarat</v>
      </c>
      <c r="O321" t="s">
        <v>279</v>
      </c>
      <c r="P321" t="str">
        <f t="shared" si="64"/>
        <v>Ahmedabad</v>
      </c>
      <c r="Q321" t="s">
        <v>22</v>
      </c>
      <c r="R321" t="str">
        <f t="shared" si="65"/>
        <v>Office Supplies</v>
      </c>
      <c r="S321" t="s">
        <v>239</v>
      </c>
      <c r="T321" t="str">
        <f t="shared" si="66"/>
        <v>Binders</v>
      </c>
      <c r="U321" t="s">
        <v>1683</v>
      </c>
      <c r="V321" t="str">
        <f t="shared" si="67"/>
        <v>Prime Binders 554</v>
      </c>
      <c r="W321" t="s">
        <v>98</v>
      </c>
      <c r="X321" t="str">
        <f t="shared" si="68"/>
        <v>First Class</v>
      </c>
      <c r="Y321">
        <v>4</v>
      </c>
      <c r="Z321">
        <v>1</v>
      </c>
      <c r="AA321">
        <v>270.28</v>
      </c>
      <c r="AB321">
        <v>0</v>
      </c>
      <c r="AC321">
        <f t="shared" si="69"/>
        <v>0</v>
      </c>
      <c r="AD321">
        <v>270.28</v>
      </c>
      <c r="AE321">
        <f t="shared" si="70"/>
        <v>270.28</v>
      </c>
      <c r="AF321">
        <v>156.34</v>
      </c>
      <c r="AG321">
        <v>113.94</v>
      </c>
      <c r="AH321">
        <f t="shared" si="71"/>
        <v>113.94</v>
      </c>
      <c r="AI321">
        <f t="shared" si="72"/>
        <v>0.421562823738345</v>
      </c>
      <c r="AJ321" t="s">
        <v>77</v>
      </c>
      <c r="AK321" t="str">
        <f t="shared" si="73"/>
        <v>Paid</v>
      </c>
      <c r="AL321" t="s">
        <v>78</v>
      </c>
      <c r="AM321" t="str">
        <f t="shared" si="74"/>
        <v>Completed</v>
      </c>
      <c r="AN321">
        <v>8</v>
      </c>
      <c r="AO321">
        <v>2024</v>
      </c>
      <c r="AP321" t="s">
        <v>79</v>
      </c>
    </row>
    <row r="322" spans="1:42">
      <c r="A322" t="s">
        <v>1684</v>
      </c>
      <c r="B322" s="3" t="s">
        <v>1685</v>
      </c>
      <c r="C322" s="3">
        <v>45630</v>
      </c>
      <c r="D322" t="s">
        <v>1686</v>
      </c>
      <c r="E322" s="3">
        <v>45632</v>
      </c>
      <c r="F322" t="s">
        <v>1687</v>
      </c>
      <c r="G322" t="s">
        <v>202</v>
      </c>
      <c r="H322" t="str">
        <f t="shared" ref="H322:H385" si="75">PROPER(TRIM(G322))</f>
        <v>Aarav Sharma</v>
      </c>
      <c r="I322" t="s">
        <v>154</v>
      </c>
      <c r="J322" t="str">
        <f t="shared" ref="J322:J385" si="76">PROPER(TRIM(I322))</f>
        <v>Home Office</v>
      </c>
      <c r="K322" t="s">
        <v>7</v>
      </c>
      <c r="L322" t="str">
        <f t="shared" ref="L322:L385" si="77">PROPER(TRIM(K322))</f>
        <v>East</v>
      </c>
      <c r="M322" t="s">
        <v>160</v>
      </c>
      <c r="N322" t="str">
        <f t="shared" ref="N322:N385" si="78">PROPER(TRIM(M322))</f>
        <v>West Bengal</v>
      </c>
      <c r="O322" t="s">
        <v>161</v>
      </c>
      <c r="P322" t="str">
        <f t="shared" ref="P322:P385" si="79">PROPER(TRIM(O322))</f>
        <v>Kolkata</v>
      </c>
      <c r="Q322" t="s">
        <v>22</v>
      </c>
      <c r="R322" t="str">
        <f t="shared" ref="R322:R385" si="80">PROPER(TRIM(Q322))</f>
        <v>Office Supplies</v>
      </c>
      <c r="S322" t="s">
        <v>96</v>
      </c>
      <c r="T322" t="str">
        <f t="shared" ref="T322:T385" si="81">PROPER(TRIM(S322))</f>
        <v>Art</v>
      </c>
      <c r="U322" t="s">
        <v>1688</v>
      </c>
      <c r="V322" t="str">
        <f t="shared" ref="V322:V385" si="82">PROPER(TRIM(U322))</f>
        <v>Classic Art 299</v>
      </c>
      <c r="W322" t="s">
        <v>76</v>
      </c>
      <c r="X322" t="str">
        <f t="shared" ref="X322:X385" si="83">PROPER(TRIM(W322))</f>
        <v>Second Class</v>
      </c>
      <c r="Y322">
        <v>2</v>
      </c>
      <c r="Z322">
        <v>3</v>
      </c>
      <c r="AA322">
        <v>876.14</v>
      </c>
      <c r="AB322" t="s">
        <v>729</v>
      </c>
      <c r="AC322" t="str">
        <f t="shared" ref="AC322:AC385" si="84">IF(OR(AB322="",AB322&lt;0),0,AB322)</f>
        <v>70%</v>
      </c>
      <c r="AD322">
        <v>2628.42</v>
      </c>
      <c r="AE322">
        <f t="shared" ref="AE322:AE385" si="85">Z322*AA322*(1-AC322)</f>
        <v>788.526</v>
      </c>
      <c r="AF322">
        <v>1541.54</v>
      </c>
      <c r="AG322">
        <v>1086.88</v>
      </c>
      <c r="AH322">
        <f t="shared" ref="AH322:AH385" si="86">AE322-AF322</f>
        <v>-753.014</v>
      </c>
      <c r="AI322">
        <f t="shared" ref="AI322:AI385" si="87">AH322/AE322</f>
        <v>-0.954964072205608</v>
      </c>
      <c r="AJ322" t="s">
        <v>177</v>
      </c>
      <c r="AK322" t="str">
        <f t="shared" ref="AK322:AK385" si="88">PROPER(TRIM(AJ322))</f>
        <v>Pending</v>
      </c>
      <c r="AL322" t="s">
        <v>164</v>
      </c>
      <c r="AM322" t="str">
        <f t="shared" ref="AM322:AM385" si="89">PROPER(TRIM(AL322))</f>
        <v>Returned</v>
      </c>
      <c r="AN322">
        <v>12</v>
      </c>
      <c r="AO322">
        <v>2024</v>
      </c>
      <c r="AP322" t="s">
        <v>79</v>
      </c>
    </row>
    <row r="323" spans="1:42">
      <c r="A323" t="s">
        <v>1689</v>
      </c>
      <c r="B323" s="3" t="s">
        <v>1690</v>
      </c>
      <c r="C323" s="3">
        <v>45466</v>
      </c>
      <c r="D323" t="s">
        <v>1691</v>
      </c>
      <c r="E323" s="3">
        <v>45473</v>
      </c>
      <c r="F323" t="s">
        <v>1692</v>
      </c>
      <c r="G323" t="s">
        <v>132</v>
      </c>
      <c r="H323" t="str">
        <f t="shared" si="75"/>
        <v>Neha Gupta</v>
      </c>
      <c r="I323" t="s">
        <v>85</v>
      </c>
      <c r="J323" t="str">
        <f t="shared" si="76"/>
        <v>Small Business</v>
      </c>
      <c r="K323" t="s">
        <v>11</v>
      </c>
      <c r="L323" t="str">
        <f t="shared" si="77"/>
        <v>West</v>
      </c>
      <c r="M323" t="s">
        <v>292</v>
      </c>
      <c r="N323" t="str">
        <f t="shared" si="78"/>
        <v>Goa</v>
      </c>
      <c r="O323" t="s">
        <v>293</v>
      </c>
      <c r="P323" t="str">
        <f t="shared" si="79"/>
        <v>Panaji</v>
      </c>
      <c r="Q323" t="s">
        <v>24</v>
      </c>
      <c r="R323" t="str">
        <f t="shared" si="80"/>
        <v>Technology</v>
      </c>
      <c r="S323" t="s">
        <v>126</v>
      </c>
      <c r="T323" t="str">
        <f t="shared" si="81"/>
        <v>Accessories</v>
      </c>
      <c r="U323" t="s">
        <v>1693</v>
      </c>
      <c r="V323" t="str">
        <f t="shared" si="82"/>
        <v>Eco Accessories 220</v>
      </c>
      <c r="W323" t="s">
        <v>90</v>
      </c>
      <c r="X323" t="str">
        <f t="shared" si="83"/>
        <v>Same Day</v>
      </c>
      <c r="Y323">
        <v>7</v>
      </c>
      <c r="Z323">
        <v>4</v>
      </c>
      <c r="AA323">
        <v>674.82</v>
      </c>
      <c r="AB323">
        <v>0</v>
      </c>
      <c r="AC323">
        <f t="shared" si="84"/>
        <v>0</v>
      </c>
      <c r="AD323">
        <v>2699.28</v>
      </c>
      <c r="AE323">
        <f t="shared" si="85"/>
        <v>2699.28</v>
      </c>
      <c r="AF323">
        <v>1759.76</v>
      </c>
      <c r="AG323">
        <v>939.52</v>
      </c>
      <c r="AH323">
        <f t="shared" si="86"/>
        <v>939.52</v>
      </c>
      <c r="AI323">
        <f t="shared" si="87"/>
        <v>0.348063187220296</v>
      </c>
      <c r="AJ323" t="s">
        <v>241</v>
      </c>
      <c r="AK323" t="str">
        <f t="shared" si="88"/>
        <v>Failed</v>
      </c>
      <c r="AL323" t="s">
        <v>118</v>
      </c>
      <c r="AM323" t="str">
        <f t="shared" si="89"/>
        <v>Cancelled</v>
      </c>
      <c r="AN323">
        <v>6</v>
      </c>
      <c r="AO323">
        <v>2024</v>
      </c>
      <c r="AP323" t="s">
        <v>79</v>
      </c>
    </row>
    <row r="324" spans="1:42">
      <c r="A324" t="s">
        <v>1694</v>
      </c>
      <c r="B324" s="3" t="s">
        <v>1590</v>
      </c>
      <c r="C324" s="3">
        <v>45608</v>
      </c>
      <c r="D324" t="s">
        <v>1695</v>
      </c>
      <c r="E324" s="3">
        <v>45608</v>
      </c>
      <c r="F324" t="s">
        <v>1696</v>
      </c>
      <c r="G324" t="s">
        <v>95</v>
      </c>
      <c r="H324" t="str">
        <f t="shared" si="75"/>
        <v>Isha Nair</v>
      </c>
      <c r="I324" t="s">
        <v>71</v>
      </c>
      <c r="J324" t="str">
        <f t="shared" si="76"/>
        <v>Consumer</v>
      </c>
      <c r="K324" t="s">
        <v>8</v>
      </c>
      <c r="L324" t="str">
        <f t="shared" si="77"/>
        <v>North</v>
      </c>
      <c r="M324" t="s">
        <v>214</v>
      </c>
      <c r="N324" t="str">
        <f t="shared" si="78"/>
        <v>Uttar Pradesh</v>
      </c>
      <c r="O324" t="s">
        <v>215</v>
      </c>
      <c r="P324" t="str">
        <f t="shared" si="79"/>
        <v>Noida</v>
      </c>
      <c r="Q324" t="s">
        <v>24</v>
      </c>
      <c r="R324" t="str">
        <f t="shared" si="80"/>
        <v>Technology</v>
      </c>
      <c r="S324" t="s">
        <v>265</v>
      </c>
      <c r="T324" t="str">
        <f t="shared" si="81"/>
        <v>Phones</v>
      </c>
      <c r="U324" t="s">
        <v>1697</v>
      </c>
      <c r="V324" t="str">
        <f t="shared" si="82"/>
        <v>Max Phones 422</v>
      </c>
      <c r="W324" t="s">
        <v>76</v>
      </c>
      <c r="X324" t="str">
        <f t="shared" si="83"/>
        <v>Second Class</v>
      </c>
      <c r="Y324">
        <v>0</v>
      </c>
      <c r="Z324">
        <v>6</v>
      </c>
      <c r="AA324">
        <v>1369.48</v>
      </c>
      <c r="AB324">
        <v>0.15</v>
      </c>
      <c r="AC324">
        <f t="shared" si="84"/>
        <v>0.15</v>
      </c>
      <c r="AD324">
        <v>6984.35</v>
      </c>
      <c r="AE324">
        <f t="shared" si="85"/>
        <v>6984.348</v>
      </c>
      <c r="AF324">
        <v>4023.63</v>
      </c>
      <c r="AG324">
        <v>2960.72</v>
      </c>
      <c r="AH324">
        <f t="shared" si="86"/>
        <v>2960.718</v>
      </c>
      <c r="AI324">
        <f t="shared" si="87"/>
        <v>0.423907571615847</v>
      </c>
      <c r="AJ324" t="s">
        <v>77</v>
      </c>
      <c r="AK324" t="str">
        <f t="shared" si="88"/>
        <v>Paid</v>
      </c>
      <c r="AL324" t="s">
        <v>78</v>
      </c>
      <c r="AM324" t="str">
        <f t="shared" si="89"/>
        <v>Completed</v>
      </c>
      <c r="AN324">
        <v>11</v>
      </c>
      <c r="AO324">
        <v>2024</v>
      </c>
      <c r="AP324" t="s">
        <v>79</v>
      </c>
    </row>
    <row r="325" spans="1:42">
      <c r="A325" t="s">
        <v>1698</v>
      </c>
      <c r="B325" s="3" t="s">
        <v>1699</v>
      </c>
      <c r="C325" s="3">
        <v>45347</v>
      </c>
      <c r="D325" t="s">
        <v>1700</v>
      </c>
      <c r="E325" s="3">
        <v>45351</v>
      </c>
      <c r="F325" t="s">
        <v>1701</v>
      </c>
      <c r="G325" t="s">
        <v>95</v>
      </c>
      <c r="H325" t="str">
        <f t="shared" si="75"/>
        <v>Isha Nair</v>
      </c>
      <c r="I325" t="s">
        <v>85</v>
      </c>
      <c r="J325" t="str">
        <f t="shared" si="76"/>
        <v>Small Business</v>
      </c>
      <c r="K325" t="s">
        <v>11</v>
      </c>
      <c r="L325" t="str">
        <f t="shared" si="77"/>
        <v>West</v>
      </c>
      <c r="M325" t="s">
        <v>292</v>
      </c>
      <c r="N325" t="str">
        <f t="shared" si="78"/>
        <v>Goa</v>
      </c>
      <c r="O325" t="s">
        <v>293</v>
      </c>
      <c r="P325" t="str">
        <f t="shared" si="79"/>
        <v>Panaji</v>
      </c>
      <c r="Q325" t="s">
        <v>19</v>
      </c>
      <c r="R325" t="str">
        <f t="shared" si="80"/>
        <v>Furniture</v>
      </c>
      <c r="S325" t="s">
        <v>106</v>
      </c>
      <c r="T325" t="str">
        <f t="shared" si="81"/>
        <v>Furnishings</v>
      </c>
      <c r="U325" t="s">
        <v>234</v>
      </c>
      <c r="V325" t="str">
        <f t="shared" si="82"/>
        <v>Eco Furnishings 897</v>
      </c>
      <c r="W325" t="s">
        <v>108</v>
      </c>
      <c r="X325" t="str">
        <f t="shared" si="83"/>
        <v>Standard Class</v>
      </c>
      <c r="Y325">
        <v>4</v>
      </c>
      <c r="Z325">
        <v>9</v>
      </c>
      <c r="AA325">
        <v>1331.46</v>
      </c>
      <c r="AB325">
        <v>0.15</v>
      </c>
      <c r="AC325">
        <f t="shared" si="84"/>
        <v>0.15</v>
      </c>
      <c r="AD325">
        <v>10185.67</v>
      </c>
      <c r="AE325">
        <f t="shared" si="85"/>
        <v>10185.669</v>
      </c>
      <c r="AF325">
        <v>6479.31</v>
      </c>
      <c r="AG325">
        <v>3706.36</v>
      </c>
      <c r="AH325">
        <f t="shared" si="86"/>
        <v>3706.359</v>
      </c>
      <c r="AI325">
        <f t="shared" si="87"/>
        <v>0.363879780503372</v>
      </c>
      <c r="AJ325" t="s">
        <v>77</v>
      </c>
      <c r="AK325" t="str">
        <f t="shared" si="88"/>
        <v>Paid</v>
      </c>
      <c r="AL325" t="s">
        <v>78</v>
      </c>
      <c r="AM325" t="str">
        <f t="shared" si="89"/>
        <v>Completed</v>
      </c>
      <c r="AN325">
        <v>2</v>
      </c>
      <c r="AO325">
        <v>2024</v>
      </c>
      <c r="AP325" t="s">
        <v>79</v>
      </c>
    </row>
    <row r="326" spans="1:42">
      <c r="A326" t="s">
        <v>1702</v>
      </c>
      <c r="B326" s="3" t="s">
        <v>1703</v>
      </c>
      <c r="C326" s="3">
        <v>45869</v>
      </c>
      <c r="D326" t="s">
        <v>993</v>
      </c>
      <c r="E326" s="3">
        <v>45871</v>
      </c>
      <c r="F326" t="s">
        <v>1704</v>
      </c>
      <c r="G326" t="s">
        <v>220</v>
      </c>
      <c r="H326" t="str">
        <f t="shared" si="75"/>
        <v>Rohan Mehta</v>
      </c>
      <c r="I326" t="s">
        <v>154</v>
      </c>
      <c r="J326" t="str">
        <f t="shared" si="76"/>
        <v>Home Office</v>
      </c>
      <c r="K326" t="s">
        <v>10</v>
      </c>
      <c r="L326" t="str">
        <f t="shared" si="77"/>
        <v>South</v>
      </c>
      <c r="M326" t="s">
        <v>139</v>
      </c>
      <c r="N326" t="str">
        <f t="shared" si="78"/>
        <v>Andhra Pradesh</v>
      </c>
      <c r="O326" t="s">
        <v>140</v>
      </c>
      <c r="P326" t="str">
        <f t="shared" si="79"/>
        <v>Vijayawada</v>
      </c>
      <c r="Q326" t="s">
        <v>22</v>
      </c>
      <c r="R326" t="str">
        <f t="shared" si="80"/>
        <v>Office Supplies</v>
      </c>
      <c r="S326" t="s">
        <v>148</v>
      </c>
      <c r="T326" t="str">
        <f t="shared" si="81"/>
        <v>Labels</v>
      </c>
      <c r="U326" t="s">
        <v>1705</v>
      </c>
      <c r="V326" t="str">
        <f t="shared" si="82"/>
        <v>Basic Labels 102</v>
      </c>
      <c r="W326" t="s">
        <v>90</v>
      </c>
      <c r="X326" t="str">
        <f t="shared" si="83"/>
        <v>Same Day</v>
      </c>
      <c r="Y326">
        <v>2</v>
      </c>
      <c r="Z326">
        <v>1</v>
      </c>
      <c r="AA326">
        <v>1947.88</v>
      </c>
      <c r="AB326">
        <v>0.15</v>
      </c>
      <c r="AC326">
        <f t="shared" si="84"/>
        <v>0.15</v>
      </c>
      <c r="AD326">
        <v>1655.7</v>
      </c>
      <c r="AE326">
        <f t="shared" si="85"/>
        <v>1655.698</v>
      </c>
      <c r="AF326">
        <v>1354.8</v>
      </c>
      <c r="AG326">
        <v>300.9</v>
      </c>
      <c r="AH326">
        <f t="shared" si="86"/>
        <v>300.898</v>
      </c>
      <c r="AI326">
        <f t="shared" si="87"/>
        <v>0.181734833284814</v>
      </c>
      <c r="AJ326" t="s">
        <v>77</v>
      </c>
      <c r="AK326" t="str">
        <f t="shared" si="88"/>
        <v>Paid</v>
      </c>
      <c r="AL326" t="s">
        <v>164</v>
      </c>
      <c r="AM326" t="str">
        <f t="shared" si="89"/>
        <v>Returned</v>
      </c>
      <c r="AN326">
        <v>7</v>
      </c>
      <c r="AO326">
        <v>2025</v>
      </c>
      <c r="AP326" t="s">
        <v>79</v>
      </c>
    </row>
    <row r="327" spans="1:42">
      <c r="A327" t="s">
        <v>1706</v>
      </c>
      <c r="B327" s="3" t="s">
        <v>1707</v>
      </c>
      <c r="C327" s="3">
        <v>45916</v>
      </c>
      <c r="D327" t="s">
        <v>1708</v>
      </c>
      <c r="E327" s="3">
        <v>45922</v>
      </c>
      <c r="F327" t="s">
        <v>1709</v>
      </c>
      <c r="G327" t="s">
        <v>208</v>
      </c>
      <c r="H327" t="str">
        <f t="shared" si="75"/>
        <v>Sneha Kapoor</v>
      </c>
      <c r="I327" t="s">
        <v>154</v>
      </c>
      <c r="J327" t="str">
        <f t="shared" si="76"/>
        <v>Home Office</v>
      </c>
      <c r="K327" t="s">
        <v>7</v>
      </c>
      <c r="L327" t="str">
        <f t="shared" si="77"/>
        <v>East</v>
      </c>
      <c r="M327" t="s">
        <v>160</v>
      </c>
      <c r="N327" t="str">
        <f t="shared" si="78"/>
        <v>West Bengal</v>
      </c>
      <c r="O327" t="s">
        <v>161</v>
      </c>
      <c r="P327" t="str">
        <f t="shared" si="79"/>
        <v>Kolkata</v>
      </c>
      <c r="Q327" t="s">
        <v>24</v>
      </c>
      <c r="R327" t="str">
        <f t="shared" si="80"/>
        <v>Technology</v>
      </c>
      <c r="S327" t="s">
        <v>133</v>
      </c>
      <c r="T327" t="str">
        <f t="shared" si="81"/>
        <v>Copiers</v>
      </c>
      <c r="U327" t="s">
        <v>1710</v>
      </c>
      <c r="V327" t="str">
        <f t="shared" si="82"/>
        <v>Prime Copiers 170</v>
      </c>
      <c r="W327" t="s">
        <v>76</v>
      </c>
      <c r="X327" t="str">
        <f t="shared" si="83"/>
        <v>Second Class</v>
      </c>
      <c r="Y327">
        <v>6</v>
      </c>
      <c r="Z327">
        <v>5</v>
      </c>
      <c r="AA327">
        <v>3671.2</v>
      </c>
      <c r="AB327">
        <v>0.15</v>
      </c>
      <c r="AC327">
        <f t="shared" si="84"/>
        <v>0.15</v>
      </c>
      <c r="AD327">
        <v>15602.6</v>
      </c>
      <c r="AE327">
        <f t="shared" si="85"/>
        <v>15602.6</v>
      </c>
      <c r="AF327">
        <v>11908.52</v>
      </c>
      <c r="AG327">
        <v>3694.08</v>
      </c>
      <c r="AH327">
        <f t="shared" si="86"/>
        <v>3694.08</v>
      </c>
      <c r="AI327">
        <f t="shared" si="87"/>
        <v>0.236760539910015</v>
      </c>
      <c r="AJ327" t="s">
        <v>77</v>
      </c>
      <c r="AK327" t="str">
        <f t="shared" si="88"/>
        <v>Paid</v>
      </c>
      <c r="AL327" t="s">
        <v>78</v>
      </c>
      <c r="AM327" t="str">
        <f t="shared" si="89"/>
        <v>Completed</v>
      </c>
      <c r="AN327">
        <v>9</v>
      </c>
      <c r="AO327">
        <v>2025</v>
      </c>
      <c r="AP327" t="s">
        <v>79</v>
      </c>
    </row>
    <row r="328" spans="1:42">
      <c r="A328" t="s">
        <v>1711</v>
      </c>
      <c r="B328" s="3" t="s">
        <v>1712</v>
      </c>
      <c r="C328" s="3">
        <v>45860</v>
      </c>
      <c r="D328" t="s">
        <v>1566</v>
      </c>
      <c r="E328" s="3">
        <v>45860</v>
      </c>
      <c r="F328" t="s">
        <v>1713</v>
      </c>
      <c r="G328" t="s">
        <v>208</v>
      </c>
      <c r="H328" t="str">
        <f t="shared" si="75"/>
        <v>Sneha Kapoor</v>
      </c>
      <c r="I328" t="s">
        <v>147</v>
      </c>
      <c r="J328" t="str">
        <f t="shared" si="76"/>
        <v>Corporate</v>
      </c>
      <c r="K328" t="s">
        <v>7</v>
      </c>
      <c r="L328" t="str">
        <f t="shared" si="77"/>
        <v>East</v>
      </c>
      <c r="M328" t="s">
        <v>354</v>
      </c>
      <c r="N328" t="str">
        <f t="shared" si="78"/>
        <v>Jharkhand</v>
      </c>
      <c r="O328" t="s">
        <v>355</v>
      </c>
      <c r="P328" t="str">
        <f t="shared" si="79"/>
        <v>Ranchi</v>
      </c>
      <c r="Q328" t="s">
        <v>19</v>
      </c>
      <c r="R328" t="str">
        <f t="shared" si="80"/>
        <v>Furniture</v>
      </c>
      <c r="S328" t="s">
        <v>106</v>
      </c>
      <c r="T328" t="str">
        <f t="shared" si="81"/>
        <v>Furnishings</v>
      </c>
      <c r="U328" t="s">
        <v>1714</v>
      </c>
      <c r="V328" t="str">
        <f t="shared" si="82"/>
        <v>Smart Furnishings 533</v>
      </c>
      <c r="W328" t="s">
        <v>90</v>
      </c>
      <c r="X328" t="str">
        <f t="shared" si="83"/>
        <v>Same Day</v>
      </c>
      <c r="Y328">
        <v>0</v>
      </c>
      <c r="Z328">
        <v>5</v>
      </c>
      <c r="AA328">
        <v>3187.05</v>
      </c>
      <c r="AB328">
        <v>0.05</v>
      </c>
      <c r="AC328">
        <f t="shared" si="84"/>
        <v>0.05</v>
      </c>
      <c r="AD328">
        <v>15138.49</v>
      </c>
      <c r="AE328">
        <f t="shared" si="85"/>
        <v>15138.4875</v>
      </c>
      <c r="AF328">
        <v>11235.72</v>
      </c>
      <c r="AG328">
        <v>3902.77</v>
      </c>
      <c r="AH328">
        <f t="shared" si="86"/>
        <v>3902.7675</v>
      </c>
      <c r="AI328">
        <f t="shared" si="87"/>
        <v>0.25780432160082</v>
      </c>
      <c r="AJ328" t="s">
        <v>77</v>
      </c>
      <c r="AK328" t="str">
        <f t="shared" si="88"/>
        <v>Paid</v>
      </c>
      <c r="AL328" t="s">
        <v>78</v>
      </c>
      <c r="AM328" t="str">
        <f t="shared" si="89"/>
        <v>Completed</v>
      </c>
      <c r="AN328">
        <v>7</v>
      </c>
      <c r="AO328">
        <v>2025</v>
      </c>
      <c r="AP328" t="s">
        <v>79</v>
      </c>
    </row>
    <row r="329" spans="1:42">
      <c r="A329" t="s">
        <v>1715</v>
      </c>
      <c r="B329" s="3" t="s">
        <v>1716</v>
      </c>
      <c r="C329" s="3">
        <v>45497</v>
      </c>
      <c r="D329" t="s">
        <v>307</v>
      </c>
      <c r="E329" s="3">
        <v>45500</v>
      </c>
      <c r="F329" t="s">
        <v>1717</v>
      </c>
      <c r="G329" t="s">
        <v>95</v>
      </c>
      <c r="H329" t="str">
        <f t="shared" si="75"/>
        <v>Isha Nair</v>
      </c>
      <c r="I329" t="s">
        <v>71</v>
      </c>
      <c r="J329" t="str">
        <f t="shared" si="76"/>
        <v>Consumer</v>
      </c>
      <c r="K329" t="s">
        <v>11</v>
      </c>
      <c r="L329" t="str">
        <f t="shared" si="77"/>
        <v>West</v>
      </c>
      <c r="M329" t="s">
        <v>72</v>
      </c>
      <c r="N329" t="str">
        <f t="shared" si="78"/>
        <v>Rajasthan</v>
      </c>
      <c r="O329" t="s">
        <v>175</v>
      </c>
      <c r="P329" t="str">
        <f t="shared" si="79"/>
        <v>Udaipur</v>
      </c>
      <c r="Q329" t="s">
        <v>24</v>
      </c>
      <c r="R329" t="str">
        <f t="shared" si="80"/>
        <v>Technology</v>
      </c>
      <c r="S329" t="s">
        <v>126</v>
      </c>
      <c r="T329" t="str">
        <f t="shared" si="81"/>
        <v>Accessories</v>
      </c>
      <c r="U329" t="s">
        <v>1718</v>
      </c>
      <c r="V329" t="str">
        <f t="shared" si="82"/>
        <v>Classic Accessories 489</v>
      </c>
      <c r="W329" t="s">
        <v>76</v>
      </c>
      <c r="X329" t="str">
        <f t="shared" si="83"/>
        <v>Second Class</v>
      </c>
      <c r="Y329">
        <v>3</v>
      </c>
      <c r="Z329">
        <v>3</v>
      </c>
      <c r="AA329">
        <v>1834.55</v>
      </c>
      <c r="AB329">
        <v>0.2</v>
      </c>
      <c r="AC329">
        <f t="shared" si="84"/>
        <v>0.2</v>
      </c>
      <c r="AD329">
        <v>4402.92</v>
      </c>
      <c r="AE329">
        <f t="shared" si="85"/>
        <v>4402.92</v>
      </c>
      <c r="AF329">
        <v>2993.94</v>
      </c>
      <c r="AG329">
        <v>1408.98</v>
      </c>
      <c r="AH329">
        <f t="shared" si="86"/>
        <v>1408.98</v>
      </c>
      <c r="AI329">
        <f t="shared" si="87"/>
        <v>0.320010356763239</v>
      </c>
      <c r="AJ329" t="s">
        <v>177</v>
      </c>
      <c r="AK329" t="str">
        <f t="shared" si="88"/>
        <v>Pending</v>
      </c>
      <c r="AL329" t="s">
        <v>118</v>
      </c>
      <c r="AM329" t="str">
        <f t="shared" si="89"/>
        <v>Cancelled</v>
      </c>
      <c r="AN329">
        <v>7</v>
      </c>
      <c r="AO329">
        <v>2024</v>
      </c>
      <c r="AP329" t="s">
        <v>79</v>
      </c>
    </row>
    <row r="330" spans="1:42">
      <c r="A330" t="s">
        <v>1719</v>
      </c>
      <c r="B330" s="3" t="s">
        <v>1720</v>
      </c>
      <c r="C330" s="3">
        <v>45806</v>
      </c>
      <c r="D330" t="s">
        <v>1485</v>
      </c>
      <c r="E330" s="3">
        <v>45812</v>
      </c>
      <c r="F330" t="s">
        <v>1721</v>
      </c>
      <c r="G330" t="s">
        <v>251</v>
      </c>
      <c r="H330" t="str">
        <f t="shared" si="75"/>
        <v>Diya Patel</v>
      </c>
      <c r="I330" t="s">
        <v>71</v>
      </c>
      <c r="J330" t="str">
        <f t="shared" si="76"/>
        <v>Consumer</v>
      </c>
      <c r="K330" t="s">
        <v>11</v>
      </c>
      <c r="L330" t="str">
        <f t="shared" si="77"/>
        <v>West</v>
      </c>
      <c r="M330" t="s">
        <v>114</v>
      </c>
      <c r="N330" t="str">
        <f t="shared" si="78"/>
        <v>Maharashtra</v>
      </c>
      <c r="O330" t="s">
        <v>115</v>
      </c>
      <c r="P330" t="str">
        <f t="shared" si="79"/>
        <v>Mumbai</v>
      </c>
      <c r="Q330" t="s">
        <v>22</v>
      </c>
      <c r="R330" t="str">
        <f t="shared" si="80"/>
        <v>Office Supplies</v>
      </c>
      <c r="S330" t="s">
        <v>196</v>
      </c>
      <c r="T330" t="str">
        <f t="shared" si="81"/>
        <v>Storage</v>
      </c>
      <c r="U330" t="s">
        <v>1722</v>
      </c>
      <c r="V330" t="str">
        <f t="shared" si="82"/>
        <v>Smart Storage 439</v>
      </c>
      <c r="W330" t="s">
        <v>98</v>
      </c>
      <c r="X330" t="str">
        <f t="shared" si="83"/>
        <v>First Class</v>
      </c>
      <c r="Y330">
        <v>6</v>
      </c>
      <c r="Z330">
        <v>6</v>
      </c>
      <c r="AA330">
        <v>3100.68</v>
      </c>
      <c r="AB330">
        <v>0</v>
      </c>
      <c r="AC330">
        <f t="shared" si="84"/>
        <v>0</v>
      </c>
      <c r="AD330">
        <v>18604.08</v>
      </c>
      <c r="AE330">
        <f t="shared" si="85"/>
        <v>18604.08</v>
      </c>
      <c r="AF330">
        <v>15834.3</v>
      </c>
      <c r="AG330">
        <v>2769.78</v>
      </c>
      <c r="AH330">
        <f t="shared" si="86"/>
        <v>2769.78</v>
      </c>
      <c r="AI330">
        <f t="shared" si="87"/>
        <v>0.148880245623541</v>
      </c>
      <c r="AJ330" t="s">
        <v>77</v>
      </c>
      <c r="AK330" t="str">
        <f t="shared" si="88"/>
        <v>Paid</v>
      </c>
      <c r="AL330" t="s">
        <v>78</v>
      </c>
      <c r="AM330" t="str">
        <f t="shared" si="89"/>
        <v>Completed</v>
      </c>
      <c r="AN330">
        <v>5</v>
      </c>
      <c r="AO330">
        <v>2025</v>
      </c>
      <c r="AP330" t="s">
        <v>79</v>
      </c>
    </row>
    <row r="331" spans="1:42">
      <c r="A331" t="s">
        <v>1723</v>
      </c>
      <c r="B331" s="3" t="s">
        <v>1724</v>
      </c>
      <c r="C331" s="3">
        <v>45789</v>
      </c>
      <c r="D331" t="s">
        <v>1725</v>
      </c>
      <c r="E331" s="3">
        <v>45795</v>
      </c>
      <c r="F331" t="s">
        <v>1726</v>
      </c>
      <c r="G331" t="s">
        <v>132</v>
      </c>
      <c r="H331" t="str">
        <f t="shared" si="75"/>
        <v>Neha Gupta</v>
      </c>
      <c r="I331" t="s">
        <v>85</v>
      </c>
      <c r="J331" t="str">
        <f t="shared" si="76"/>
        <v>Small Business</v>
      </c>
      <c r="K331" t="s">
        <v>11</v>
      </c>
      <c r="L331" t="str">
        <f t="shared" si="77"/>
        <v>West</v>
      </c>
      <c r="M331" t="s">
        <v>114</v>
      </c>
      <c r="N331" t="str">
        <f t="shared" si="78"/>
        <v>Maharashtra</v>
      </c>
      <c r="O331" t="s">
        <v>115</v>
      </c>
      <c r="P331" t="str">
        <f t="shared" si="79"/>
        <v>Mumbai</v>
      </c>
      <c r="Q331" t="s">
        <v>22</v>
      </c>
      <c r="R331" t="str">
        <f t="shared" si="80"/>
        <v>Office Supplies</v>
      </c>
      <c r="S331" t="s">
        <v>196</v>
      </c>
      <c r="T331" t="str">
        <f t="shared" si="81"/>
        <v>Storage</v>
      </c>
      <c r="U331" t="s">
        <v>1727</v>
      </c>
      <c r="V331" t="str">
        <f t="shared" si="82"/>
        <v>Prime Storage 232</v>
      </c>
      <c r="W331" t="s">
        <v>108</v>
      </c>
      <c r="X331" t="str">
        <f t="shared" si="83"/>
        <v>Standard Class</v>
      </c>
      <c r="Y331">
        <v>6</v>
      </c>
      <c r="Z331">
        <v>4</v>
      </c>
      <c r="AA331">
        <v>4053.03</v>
      </c>
      <c r="AB331">
        <v>0.05</v>
      </c>
      <c r="AC331">
        <f t="shared" si="84"/>
        <v>0.05</v>
      </c>
      <c r="AD331">
        <v>15401.51</v>
      </c>
      <c r="AE331">
        <f t="shared" si="85"/>
        <v>15401.514</v>
      </c>
      <c r="AF331">
        <v>8650.42</v>
      </c>
      <c r="AG331">
        <v>6751.09</v>
      </c>
      <c r="AH331">
        <f t="shared" si="86"/>
        <v>6751.094</v>
      </c>
      <c r="AI331">
        <f t="shared" si="87"/>
        <v>0.438339633363317</v>
      </c>
      <c r="AJ331" t="s">
        <v>77</v>
      </c>
      <c r="AK331" t="str">
        <f t="shared" si="88"/>
        <v>Paid</v>
      </c>
      <c r="AL331" t="s">
        <v>78</v>
      </c>
      <c r="AM331" t="str">
        <f t="shared" si="89"/>
        <v>Completed</v>
      </c>
      <c r="AN331">
        <v>5</v>
      </c>
      <c r="AO331">
        <v>2025</v>
      </c>
      <c r="AP331" t="s">
        <v>79</v>
      </c>
    </row>
    <row r="332" spans="1:42">
      <c r="A332" t="s">
        <v>1728</v>
      </c>
      <c r="B332" s="3" t="s">
        <v>1179</v>
      </c>
      <c r="C332" s="3">
        <v>45428</v>
      </c>
      <c r="D332" t="s">
        <v>758</v>
      </c>
      <c r="E332" s="3">
        <v>45436</v>
      </c>
      <c r="F332" t="s">
        <v>1729</v>
      </c>
      <c r="G332" t="s">
        <v>103</v>
      </c>
      <c r="H332" t="str">
        <f t="shared" si="75"/>
        <v>Arjun Bose</v>
      </c>
      <c r="I332" t="s">
        <v>154</v>
      </c>
      <c r="J332" t="str">
        <f t="shared" si="76"/>
        <v>Home Office</v>
      </c>
      <c r="K332" t="s">
        <v>8</v>
      </c>
      <c r="L332" t="str">
        <f t="shared" si="77"/>
        <v>North</v>
      </c>
      <c r="M332" t="s">
        <v>194</v>
      </c>
      <c r="N332" t="str">
        <f t="shared" si="78"/>
        <v>Punjab</v>
      </c>
      <c r="O332" t="s">
        <v>195</v>
      </c>
      <c r="P332" t="str">
        <f t="shared" si="79"/>
        <v>Ludhiana</v>
      </c>
      <c r="Q332" t="s">
        <v>24</v>
      </c>
      <c r="R332" t="str">
        <f t="shared" si="80"/>
        <v>Technology</v>
      </c>
      <c r="S332" t="s">
        <v>126</v>
      </c>
      <c r="T332" t="str">
        <f t="shared" si="81"/>
        <v>Accessories</v>
      </c>
      <c r="U332" t="s">
        <v>1730</v>
      </c>
      <c r="V332" t="str">
        <f t="shared" si="82"/>
        <v>Prime Accessories 335</v>
      </c>
      <c r="W332" t="s">
        <v>90</v>
      </c>
      <c r="X332" t="str">
        <f t="shared" si="83"/>
        <v>Same Day</v>
      </c>
      <c r="Y332">
        <v>8</v>
      </c>
      <c r="Z332">
        <v>1</v>
      </c>
      <c r="AA332">
        <v>783.09</v>
      </c>
      <c r="AB332">
        <v>0</v>
      </c>
      <c r="AC332">
        <f t="shared" si="84"/>
        <v>0</v>
      </c>
      <c r="AD332">
        <v>783.09</v>
      </c>
      <c r="AE332">
        <f t="shared" si="85"/>
        <v>783.09</v>
      </c>
      <c r="AF332">
        <v>503.89</v>
      </c>
      <c r="AG332">
        <v>279.2</v>
      </c>
      <c r="AH332">
        <f t="shared" si="86"/>
        <v>279.2</v>
      </c>
      <c r="AI332">
        <f t="shared" si="87"/>
        <v>0.356536285739826</v>
      </c>
      <c r="AJ332" t="s">
        <v>241</v>
      </c>
      <c r="AK332" t="str">
        <f t="shared" si="88"/>
        <v>Failed</v>
      </c>
      <c r="AL332" t="s">
        <v>118</v>
      </c>
      <c r="AM332" t="str">
        <f t="shared" si="89"/>
        <v>Cancelled</v>
      </c>
      <c r="AN332">
        <v>5</v>
      </c>
      <c r="AO332">
        <v>2024</v>
      </c>
      <c r="AP332" t="s">
        <v>79</v>
      </c>
    </row>
    <row r="333" spans="1:42">
      <c r="A333" t="s">
        <v>1731</v>
      </c>
      <c r="B333" s="3" t="s">
        <v>754</v>
      </c>
      <c r="C333" s="3">
        <v>45630</v>
      </c>
      <c r="D333" t="s">
        <v>1732</v>
      </c>
      <c r="E333" s="3">
        <v>45632</v>
      </c>
      <c r="F333" t="s">
        <v>1733</v>
      </c>
      <c r="G333" t="s">
        <v>208</v>
      </c>
      <c r="H333" t="str">
        <f t="shared" si="75"/>
        <v>Sneha Kapoor</v>
      </c>
      <c r="I333" t="s">
        <v>154</v>
      </c>
      <c r="J333" t="str">
        <f t="shared" si="76"/>
        <v>Home Office</v>
      </c>
      <c r="K333" t="s">
        <v>7</v>
      </c>
      <c r="L333" t="str">
        <f t="shared" si="77"/>
        <v>East</v>
      </c>
      <c r="M333" t="s">
        <v>86</v>
      </c>
      <c r="N333" t="str">
        <f t="shared" si="78"/>
        <v>Odisha</v>
      </c>
      <c r="O333" t="s">
        <v>87</v>
      </c>
      <c r="P333" t="str">
        <f t="shared" si="79"/>
        <v>Bhubaneswar</v>
      </c>
      <c r="Q333" t="s">
        <v>22</v>
      </c>
      <c r="R333" t="str">
        <f t="shared" si="80"/>
        <v>Office Supplies</v>
      </c>
      <c r="S333" t="s">
        <v>239</v>
      </c>
      <c r="T333" t="str">
        <f t="shared" si="81"/>
        <v>Binders</v>
      </c>
      <c r="U333" t="s">
        <v>1734</v>
      </c>
      <c r="V333" t="str">
        <f t="shared" si="82"/>
        <v>Smart Binders 939</v>
      </c>
      <c r="W333" t="s">
        <v>76</v>
      </c>
      <c r="X333" t="str">
        <f t="shared" si="83"/>
        <v>Second Class</v>
      </c>
      <c r="Y333">
        <v>2</v>
      </c>
      <c r="Z333">
        <v>4</v>
      </c>
      <c r="AA333">
        <v>2685.66</v>
      </c>
      <c r="AB333">
        <v>0</v>
      </c>
      <c r="AC333">
        <f t="shared" si="84"/>
        <v>0</v>
      </c>
      <c r="AD333">
        <v>10742.64</v>
      </c>
      <c r="AE333">
        <f t="shared" si="85"/>
        <v>10742.64</v>
      </c>
      <c r="AF333">
        <v>6477.37</v>
      </c>
      <c r="AG333">
        <v>4265.27</v>
      </c>
      <c r="AH333">
        <f t="shared" si="86"/>
        <v>4265.27</v>
      </c>
      <c r="AI333">
        <f t="shared" si="87"/>
        <v>0.397041137001705</v>
      </c>
      <c r="AJ333" t="s">
        <v>77</v>
      </c>
      <c r="AK333" t="str">
        <f t="shared" si="88"/>
        <v>Paid</v>
      </c>
      <c r="AL333" t="s">
        <v>164</v>
      </c>
      <c r="AM333" t="str">
        <f t="shared" si="89"/>
        <v>Returned</v>
      </c>
      <c r="AN333">
        <v>12</v>
      </c>
      <c r="AO333">
        <v>2024</v>
      </c>
      <c r="AP333" t="s">
        <v>79</v>
      </c>
    </row>
    <row r="334" spans="1:42">
      <c r="A334" t="s">
        <v>1735</v>
      </c>
      <c r="B334" s="3" t="s">
        <v>1736</v>
      </c>
      <c r="C334" s="3">
        <v>45804</v>
      </c>
      <c r="D334" t="s">
        <v>1737</v>
      </c>
      <c r="E334" s="3">
        <v>45805</v>
      </c>
      <c r="F334" t="s">
        <v>1738</v>
      </c>
      <c r="G334" t="s">
        <v>202</v>
      </c>
      <c r="H334" t="str">
        <f t="shared" si="75"/>
        <v>Aarav Sharma</v>
      </c>
      <c r="I334" t="s">
        <v>71</v>
      </c>
      <c r="J334" t="str">
        <f t="shared" si="76"/>
        <v>Consumer</v>
      </c>
      <c r="K334" t="s">
        <v>10</v>
      </c>
      <c r="L334" t="str">
        <f t="shared" si="77"/>
        <v>South</v>
      </c>
      <c r="M334" t="s">
        <v>139</v>
      </c>
      <c r="N334" t="str">
        <f t="shared" si="78"/>
        <v>Andhra Pradesh</v>
      </c>
      <c r="O334" t="s">
        <v>140</v>
      </c>
      <c r="P334" t="str">
        <f t="shared" si="79"/>
        <v>Vijayawada</v>
      </c>
      <c r="Q334" t="s">
        <v>24</v>
      </c>
      <c r="R334" t="str">
        <f t="shared" si="80"/>
        <v>Technology</v>
      </c>
      <c r="S334" t="s">
        <v>1739</v>
      </c>
      <c r="T334" t="str">
        <f t="shared" si="81"/>
        <v>Machines</v>
      </c>
      <c r="U334" t="s">
        <v>1740</v>
      </c>
      <c r="V334" t="str">
        <f t="shared" si="82"/>
        <v>Basic Machines 601</v>
      </c>
      <c r="W334" t="s">
        <v>76</v>
      </c>
      <c r="X334" t="str">
        <f t="shared" si="83"/>
        <v>Second Class</v>
      </c>
      <c r="Y334">
        <v>1</v>
      </c>
      <c r="Z334">
        <v>2</v>
      </c>
      <c r="AA334">
        <v>3911.96</v>
      </c>
      <c r="AB334">
        <v>0</v>
      </c>
      <c r="AC334">
        <f t="shared" si="84"/>
        <v>0</v>
      </c>
      <c r="AD334">
        <v>7823.92</v>
      </c>
      <c r="AE334">
        <f t="shared" si="85"/>
        <v>7823.92</v>
      </c>
      <c r="AF334">
        <v>6034.63</v>
      </c>
      <c r="AG334">
        <v>1789.29</v>
      </c>
      <c r="AH334">
        <f t="shared" si="86"/>
        <v>1789.29</v>
      </c>
      <c r="AI334">
        <f t="shared" si="87"/>
        <v>0.22869482305545</v>
      </c>
      <c r="AJ334" t="s">
        <v>77</v>
      </c>
      <c r="AK334" t="str">
        <f t="shared" si="88"/>
        <v>Paid</v>
      </c>
      <c r="AL334" t="s">
        <v>78</v>
      </c>
      <c r="AM334" t="str">
        <f t="shared" si="89"/>
        <v>Completed</v>
      </c>
      <c r="AN334">
        <v>5</v>
      </c>
      <c r="AO334">
        <v>2025</v>
      </c>
      <c r="AP334" t="s">
        <v>79</v>
      </c>
    </row>
    <row r="335" spans="1:42">
      <c r="A335" t="s">
        <v>1741</v>
      </c>
      <c r="B335" s="3" t="s">
        <v>1742</v>
      </c>
      <c r="C335" s="3">
        <v>45830</v>
      </c>
      <c r="D335" t="s">
        <v>1743</v>
      </c>
      <c r="E335" s="3">
        <v>45835</v>
      </c>
      <c r="F335" t="s">
        <v>1744</v>
      </c>
      <c r="G335" t="s">
        <v>220</v>
      </c>
      <c r="H335" t="str">
        <f t="shared" si="75"/>
        <v>Rohan Mehta</v>
      </c>
      <c r="I335" t="s">
        <v>154</v>
      </c>
      <c r="J335" t="str">
        <f t="shared" si="76"/>
        <v>Home Office</v>
      </c>
      <c r="L335" t="str">
        <f t="shared" si="77"/>
        <v/>
      </c>
      <c r="M335" t="s">
        <v>552</v>
      </c>
      <c r="N335" t="str">
        <f t="shared" si="78"/>
        <v>Delhi</v>
      </c>
      <c r="O335" t="s">
        <v>553</v>
      </c>
      <c r="P335" t="str">
        <f t="shared" si="79"/>
        <v>New Delhi</v>
      </c>
      <c r="Q335" t="s">
        <v>24</v>
      </c>
      <c r="R335" t="str">
        <f t="shared" si="80"/>
        <v>Technology</v>
      </c>
      <c r="S335" t="s">
        <v>265</v>
      </c>
      <c r="T335" t="str">
        <f t="shared" si="81"/>
        <v>Phones</v>
      </c>
      <c r="U335" t="s">
        <v>1745</v>
      </c>
      <c r="V335" t="str">
        <f t="shared" si="82"/>
        <v>Pro Phones 968</v>
      </c>
      <c r="W335" t="s">
        <v>98</v>
      </c>
      <c r="X335" t="str">
        <f t="shared" si="83"/>
        <v>First Class</v>
      </c>
      <c r="Y335">
        <v>5</v>
      </c>
      <c r="Z335">
        <v>2</v>
      </c>
      <c r="AA335">
        <v>1468.05</v>
      </c>
      <c r="AB335">
        <v>0</v>
      </c>
      <c r="AC335">
        <f t="shared" si="84"/>
        <v>0</v>
      </c>
      <c r="AD335">
        <v>2936.1</v>
      </c>
      <c r="AE335">
        <f t="shared" si="85"/>
        <v>2936.1</v>
      </c>
      <c r="AF335">
        <v>1923.1</v>
      </c>
      <c r="AG335">
        <v>1013</v>
      </c>
      <c r="AH335">
        <f t="shared" si="86"/>
        <v>1013</v>
      </c>
      <c r="AI335">
        <f t="shared" si="87"/>
        <v>0.345015496747386</v>
      </c>
      <c r="AJ335" t="s">
        <v>77</v>
      </c>
      <c r="AK335" t="str">
        <f t="shared" si="88"/>
        <v>Paid</v>
      </c>
      <c r="AL335" t="s">
        <v>78</v>
      </c>
      <c r="AM335" t="str">
        <f t="shared" si="89"/>
        <v>Completed</v>
      </c>
      <c r="AN335">
        <v>6</v>
      </c>
      <c r="AO335">
        <v>2025</v>
      </c>
      <c r="AP335" t="s">
        <v>79</v>
      </c>
    </row>
    <row r="336" spans="1:42">
      <c r="A336" t="s">
        <v>1746</v>
      </c>
      <c r="B336" s="3" t="s">
        <v>1747</v>
      </c>
      <c r="C336" s="3">
        <v>45547</v>
      </c>
      <c r="D336" t="s">
        <v>1748</v>
      </c>
      <c r="E336" s="3">
        <v>45552</v>
      </c>
      <c r="F336" t="s">
        <v>1749</v>
      </c>
      <c r="G336" t="s">
        <v>113</v>
      </c>
      <c r="H336" t="str">
        <f t="shared" si="75"/>
        <v>Ananya Rao</v>
      </c>
      <c r="I336" t="s">
        <v>71</v>
      </c>
      <c r="J336" t="str">
        <f t="shared" si="76"/>
        <v>Consumer</v>
      </c>
      <c r="K336" t="s">
        <v>7</v>
      </c>
      <c r="L336" t="str">
        <f t="shared" si="77"/>
        <v>East</v>
      </c>
      <c r="M336" t="s">
        <v>354</v>
      </c>
      <c r="N336" t="str">
        <f t="shared" si="78"/>
        <v>Jharkhand</v>
      </c>
      <c r="O336" t="s">
        <v>355</v>
      </c>
      <c r="P336" t="str">
        <f t="shared" si="79"/>
        <v>Ranchi</v>
      </c>
      <c r="Q336" t="s">
        <v>22</v>
      </c>
      <c r="R336" t="str">
        <f t="shared" si="80"/>
        <v>Office Supplies</v>
      </c>
      <c r="S336" t="s">
        <v>196</v>
      </c>
      <c r="T336" t="str">
        <f t="shared" si="81"/>
        <v>Storage</v>
      </c>
      <c r="U336" t="s">
        <v>1750</v>
      </c>
      <c r="V336" t="str">
        <f t="shared" si="82"/>
        <v>Pro Storage 563</v>
      </c>
      <c r="W336" t="s">
        <v>98</v>
      </c>
      <c r="X336" t="str">
        <f t="shared" si="83"/>
        <v>First Class</v>
      </c>
      <c r="Y336">
        <v>5</v>
      </c>
      <c r="Z336">
        <v>9</v>
      </c>
      <c r="AA336">
        <v>1921.47</v>
      </c>
      <c r="AB336">
        <v>0.25</v>
      </c>
      <c r="AC336">
        <f t="shared" si="84"/>
        <v>0.25</v>
      </c>
      <c r="AD336">
        <v>12969.92</v>
      </c>
      <c r="AE336">
        <f t="shared" si="85"/>
        <v>12969.9225</v>
      </c>
      <c r="AF336">
        <v>9398.46</v>
      </c>
      <c r="AG336">
        <v>3571.46</v>
      </c>
      <c r="AH336">
        <f t="shared" si="86"/>
        <v>3571.4625</v>
      </c>
      <c r="AI336">
        <f t="shared" si="87"/>
        <v>0.27536498386941</v>
      </c>
      <c r="AJ336" t="s">
        <v>77</v>
      </c>
      <c r="AK336" t="str">
        <f t="shared" si="88"/>
        <v>Paid</v>
      </c>
      <c r="AL336" t="s">
        <v>78</v>
      </c>
      <c r="AM336" t="str">
        <f t="shared" si="89"/>
        <v>Completed</v>
      </c>
      <c r="AN336">
        <v>9</v>
      </c>
      <c r="AO336">
        <v>2024</v>
      </c>
      <c r="AP336" t="s">
        <v>79</v>
      </c>
    </row>
    <row r="337" spans="1:42">
      <c r="A337" t="s">
        <v>1751</v>
      </c>
      <c r="B337" s="3" t="s">
        <v>1752</v>
      </c>
      <c r="C337" s="3">
        <v>45824</v>
      </c>
      <c r="D337" t="s">
        <v>1753</v>
      </c>
      <c r="E337" s="3">
        <v>45826</v>
      </c>
      <c r="F337" t="s">
        <v>1754</v>
      </c>
      <c r="G337" t="s">
        <v>188</v>
      </c>
      <c r="H337" t="str">
        <f t="shared" si="75"/>
        <v>Rahul Verma</v>
      </c>
      <c r="I337" t="s">
        <v>154</v>
      </c>
      <c r="J337" t="str">
        <f t="shared" si="76"/>
        <v>Home Office</v>
      </c>
      <c r="K337" t="s">
        <v>11</v>
      </c>
      <c r="L337" t="str">
        <f t="shared" si="77"/>
        <v>West</v>
      </c>
      <c r="M337" t="s">
        <v>124</v>
      </c>
      <c r="N337" t="str">
        <f t="shared" si="78"/>
        <v>Madhya Pradesh</v>
      </c>
      <c r="O337" t="s">
        <v>125</v>
      </c>
      <c r="P337" t="str">
        <f t="shared" si="79"/>
        <v>Indore</v>
      </c>
      <c r="Q337" t="s">
        <v>22</v>
      </c>
      <c r="R337" t="str">
        <f t="shared" si="80"/>
        <v>Office Supplies</v>
      </c>
      <c r="S337" t="s">
        <v>74</v>
      </c>
      <c r="T337" t="str">
        <f t="shared" si="81"/>
        <v>Paper</v>
      </c>
      <c r="U337" t="s">
        <v>1755</v>
      </c>
      <c r="V337" t="str">
        <f t="shared" si="82"/>
        <v>Prime Paper 559</v>
      </c>
      <c r="W337" t="s">
        <v>98</v>
      </c>
      <c r="X337" t="str">
        <f t="shared" si="83"/>
        <v>First Class</v>
      </c>
      <c r="Y337">
        <v>2</v>
      </c>
      <c r="Z337">
        <v>3</v>
      </c>
      <c r="AA337">
        <v>4289.37</v>
      </c>
      <c r="AB337">
        <v>0.1</v>
      </c>
      <c r="AC337">
        <f t="shared" si="84"/>
        <v>0.1</v>
      </c>
      <c r="AD337">
        <v>11581.3</v>
      </c>
      <c r="AE337">
        <f t="shared" si="85"/>
        <v>11581.299</v>
      </c>
      <c r="AF337">
        <v>6829.43</v>
      </c>
      <c r="AG337">
        <v>4751.87</v>
      </c>
      <c r="AH337">
        <f t="shared" si="86"/>
        <v>4751.869</v>
      </c>
      <c r="AI337">
        <f t="shared" si="87"/>
        <v>0.410305355211017</v>
      </c>
      <c r="AJ337" t="s">
        <v>77</v>
      </c>
      <c r="AK337" t="str">
        <f t="shared" si="88"/>
        <v>Paid</v>
      </c>
      <c r="AL337" t="s">
        <v>78</v>
      </c>
      <c r="AM337" t="str">
        <f t="shared" si="89"/>
        <v>Completed</v>
      </c>
      <c r="AN337">
        <v>6</v>
      </c>
      <c r="AO337">
        <v>2025</v>
      </c>
      <c r="AP337" t="s">
        <v>79</v>
      </c>
    </row>
    <row r="338" spans="1:42">
      <c r="A338" t="s">
        <v>1756</v>
      </c>
      <c r="B338" s="3" t="s">
        <v>347</v>
      </c>
      <c r="C338" s="3">
        <v>45368</v>
      </c>
      <c r="D338" t="s">
        <v>1757</v>
      </c>
      <c r="E338" s="3">
        <v>45372</v>
      </c>
      <c r="F338" t="s">
        <v>1373</v>
      </c>
      <c r="G338" t="s">
        <v>202</v>
      </c>
      <c r="H338" t="str">
        <f t="shared" si="75"/>
        <v>Aarav Sharma</v>
      </c>
      <c r="I338" t="s">
        <v>71</v>
      </c>
      <c r="J338" t="str">
        <f t="shared" si="76"/>
        <v>Consumer</v>
      </c>
      <c r="K338" t="s">
        <v>8</v>
      </c>
      <c r="L338" t="str">
        <f t="shared" si="77"/>
        <v>North</v>
      </c>
      <c r="M338" t="s">
        <v>72</v>
      </c>
      <c r="N338" t="str">
        <f t="shared" si="78"/>
        <v>Rajasthan</v>
      </c>
      <c r="O338" t="s">
        <v>73</v>
      </c>
      <c r="P338" t="str">
        <f t="shared" si="79"/>
        <v>Jaipur</v>
      </c>
      <c r="Q338" t="s">
        <v>24</v>
      </c>
      <c r="R338" t="str">
        <f t="shared" si="80"/>
        <v>Technology</v>
      </c>
      <c r="S338" t="s">
        <v>133</v>
      </c>
      <c r="T338" t="str">
        <f t="shared" si="81"/>
        <v>Copiers</v>
      </c>
      <c r="U338" t="s">
        <v>1758</v>
      </c>
      <c r="V338" t="str">
        <f t="shared" si="82"/>
        <v>Pro Copiers 999</v>
      </c>
      <c r="W338" t="s">
        <v>98</v>
      </c>
      <c r="X338" t="str">
        <f t="shared" si="83"/>
        <v>First Class</v>
      </c>
      <c r="Y338">
        <v>4</v>
      </c>
      <c r="Z338">
        <v>8</v>
      </c>
      <c r="AA338">
        <v>1992.57</v>
      </c>
      <c r="AB338">
        <v>0</v>
      </c>
      <c r="AC338">
        <f t="shared" si="84"/>
        <v>0</v>
      </c>
      <c r="AD338">
        <v>15940.56</v>
      </c>
      <c r="AE338">
        <f t="shared" si="85"/>
        <v>15940.56</v>
      </c>
      <c r="AF338">
        <v>12347.15</v>
      </c>
      <c r="AG338">
        <v>3593.41</v>
      </c>
      <c r="AH338">
        <f t="shared" si="86"/>
        <v>3593.41</v>
      </c>
      <c r="AI338">
        <f t="shared" si="87"/>
        <v>0.22542558103354</v>
      </c>
      <c r="AJ338" t="s">
        <v>77</v>
      </c>
      <c r="AK338" t="str">
        <f t="shared" si="88"/>
        <v>Paid</v>
      </c>
      <c r="AL338" t="s">
        <v>78</v>
      </c>
      <c r="AM338" t="str">
        <f t="shared" si="89"/>
        <v>Completed</v>
      </c>
      <c r="AN338">
        <v>3</v>
      </c>
      <c r="AO338">
        <v>2024</v>
      </c>
      <c r="AP338" t="s">
        <v>79</v>
      </c>
    </row>
    <row r="339" spans="1:42">
      <c r="A339" t="s">
        <v>1759</v>
      </c>
      <c r="B339" s="3" t="s">
        <v>1760</v>
      </c>
      <c r="C339" s="3">
        <v>45516</v>
      </c>
      <c r="D339" t="s">
        <v>1761</v>
      </c>
      <c r="E339" s="3">
        <v>45522</v>
      </c>
      <c r="F339" t="s">
        <v>1762</v>
      </c>
      <c r="G339" t="s">
        <v>113</v>
      </c>
      <c r="H339" t="str">
        <f t="shared" si="75"/>
        <v>Ananya Rao</v>
      </c>
      <c r="I339" t="s">
        <v>71</v>
      </c>
      <c r="J339" t="str">
        <f t="shared" si="76"/>
        <v>Consumer</v>
      </c>
      <c r="K339" t="s">
        <v>7</v>
      </c>
      <c r="L339" t="str">
        <f t="shared" si="77"/>
        <v>East</v>
      </c>
      <c r="M339" t="s">
        <v>258</v>
      </c>
      <c r="N339" t="str">
        <f t="shared" si="78"/>
        <v>Assam</v>
      </c>
      <c r="O339" t="s">
        <v>259</v>
      </c>
      <c r="P339" t="str">
        <f t="shared" si="79"/>
        <v>Guwahati</v>
      </c>
      <c r="Q339" t="s">
        <v>22</v>
      </c>
      <c r="R339" t="str">
        <f t="shared" si="80"/>
        <v>Office Supplies</v>
      </c>
      <c r="S339" t="s">
        <v>148</v>
      </c>
      <c r="T339" t="str">
        <f t="shared" si="81"/>
        <v>Labels</v>
      </c>
      <c r="U339" t="s">
        <v>1763</v>
      </c>
      <c r="V339" t="str">
        <f t="shared" si="82"/>
        <v>Classic Labels 206</v>
      </c>
      <c r="W339" t="s">
        <v>90</v>
      </c>
      <c r="X339" t="str">
        <f t="shared" si="83"/>
        <v>Same Day</v>
      </c>
      <c r="Y339">
        <v>6</v>
      </c>
      <c r="Z339">
        <v>6</v>
      </c>
      <c r="AA339">
        <v>1181.74</v>
      </c>
      <c r="AB339">
        <v>0</v>
      </c>
      <c r="AC339">
        <f t="shared" si="84"/>
        <v>0</v>
      </c>
      <c r="AD339">
        <v>7090.44</v>
      </c>
      <c r="AE339">
        <f t="shared" si="85"/>
        <v>7090.44</v>
      </c>
      <c r="AF339">
        <v>5672.27</v>
      </c>
      <c r="AG339">
        <v>1262.87</v>
      </c>
      <c r="AH339">
        <f t="shared" si="86"/>
        <v>1418.17</v>
      </c>
      <c r="AI339">
        <f t="shared" si="87"/>
        <v>0.200011564867625</v>
      </c>
      <c r="AJ339" t="s">
        <v>77</v>
      </c>
      <c r="AK339" t="str">
        <f t="shared" si="88"/>
        <v>Paid</v>
      </c>
      <c r="AL339" t="s">
        <v>78</v>
      </c>
      <c r="AM339" t="str">
        <f t="shared" si="89"/>
        <v>Completed</v>
      </c>
      <c r="AN339">
        <v>8</v>
      </c>
      <c r="AO339">
        <v>2024</v>
      </c>
      <c r="AP339" t="s">
        <v>79</v>
      </c>
    </row>
    <row r="340" spans="1:42">
      <c r="A340" t="s">
        <v>1764</v>
      </c>
      <c r="B340" s="3" t="s">
        <v>1765</v>
      </c>
      <c r="C340" s="3">
        <v>45634</v>
      </c>
      <c r="D340" t="s">
        <v>1518</v>
      </c>
      <c r="E340" s="3">
        <v>45634</v>
      </c>
      <c r="F340" t="s">
        <v>1766</v>
      </c>
      <c r="G340" t="s">
        <v>103</v>
      </c>
      <c r="H340" t="str">
        <f t="shared" si="75"/>
        <v>Arjun Bose</v>
      </c>
      <c r="I340" t="s">
        <v>85</v>
      </c>
      <c r="J340" t="str">
        <f t="shared" si="76"/>
        <v>Small Business</v>
      </c>
      <c r="K340" t="s">
        <v>10</v>
      </c>
      <c r="L340" t="str">
        <f t="shared" si="77"/>
        <v>South</v>
      </c>
      <c r="M340" t="s">
        <v>139</v>
      </c>
      <c r="N340" t="str">
        <f t="shared" si="78"/>
        <v>Andhra Pradesh</v>
      </c>
      <c r="O340" t="s">
        <v>140</v>
      </c>
      <c r="P340" t="str">
        <f t="shared" si="79"/>
        <v>Vijayawada</v>
      </c>
      <c r="Q340" t="s">
        <v>24</v>
      </c>
      <c r="R340" t="str">
        <f t="shared" si="80"/>
        <v>Technology</v>
      </c>
      <c r="S340" t="s">
        <v>126</v>
      </c>
      <c r="T340" t="str">
        <f t="shared" si="81"/>
        <v>Accessories</v>
      </c>
      <c r="U340" t="s">
        <v>1767</v>
      </c>
      <c r="V340" t="str">
        <f t="shared" si="82"/>
        <v>Eco Accessories 315</v>
      </c>
      <c r="W340" t="s">
        <v>98</v>
      </c>
      <c r="X340" t="str">
        <f t="shared" si="83"/>
        <v>First Class</v>
      </c>
      <c r="Y340">
        <v>0</v>
      </c>
      <c r="Z340">
        <v>8</v>
      </c>
      <c r="AA340">
        <v>4402.36</v>
      </c>
      <c r="AB340">
        <v>0.25</v>
      </c>
      <c r="AC340">
        <f t="shared" si="84"/>
        <v>0.25</v>
      </c>
      <c r="AD340">
        <v>26414.16</v>
      </c>
      <c r="AE340">
        <f t="shared" si="85"/>
        <v>26414.16</v>
      </c>
      <c r="AF340">
        <v>21822.53</v>
      </c>
      <c r="AG340">
        <v>4591.63</v>
      </c>
      <c r="AH340">
        <f t="shared" si="86"/>
        <v>4591.63</v>
      </c>
      <c r="AI340">
        <f t="shared" si="87"/>
        <v>0.173832141548321</v>
      </c>
      <c r="AJ340" t="s">
        <v>77</v>
      </c>
      <c r="AK340" t="str">
        <f t="shared" si="88"/>
        <v>Paid</v>
      </c>
      <c r="AL340" t="s">
        <v>78</v>
      </c>
      <c r="AM340" t="str">
        <f t="shared" si="89"/>
        <v>Completed</v>
      </c>
      <c r="AN340">
        <v>12</v>
      </c>
      <c r="AO340">
        <v>2024</v>
      </c>
      <c r="AP340" t="s">
        <v>79</v>
      </c>
    </row>
    <row r="341" spans="1:42">
      <c r="A341" t="s">
        <v>1768</v>
      </c>
      <c r="B341" s="3" t="s">
        <v>966</v>
      </c>
      <c r="C341" s="3">
        <v>45708</v>
      </c>
      <c r="D341" t="s">
        <v>1769</v>
      </c>
      <c r="E341" s="3">
        <v>45710</v>
      </c>
      <c r="F341" t="s">
        <v>1770</v>
      </c>
      <c r="G341" t="s">
        <v>132</v>
      </c>
      <c r="H341" t="str">
        <f t="shared" si="75"/>
        <v>Neha Gupta</v>
      </c>
      <c r="I341" t="s">
        <v>147</v>
      </c>
      <c r="J341" t="str">
        <f t="shared" si="76"/>
        <v>Corporate</v>
      </c>
      <c r="K341" t="s">
        <v>7</v>
      </c>
      <c r="L341" t="str">
        <f t="shared" si="77"/>
        <v>East</v>
      </c>
      <c r="M341" t="s">
        <v>354</v>
      </c>
      <c r="N341" t="str">
        <f t="shared" si="78"/>
        <v>Jharkhand</v>
      </c>
      <c r="O341" t="s">
        <v>355</v>
      </c>
      <c r="P341" t="str">
        <f t="shared" si="79"/>
        <v>Ranchi</v>
      </c>
      <c r="Q341" t="s">
        <v>19</v>
      </c>
      <c r="R341" t="str">
        <f t="shared" si="80"/>
        <v>Furniture</v>
      </c>
      <c r="S341" t="s">
        <v>245</v>
      </c>
      <c r="T341" t="str">
        <f t="shared" si="81"/>
        <v>Bookcases</v>
      </c>
      <c r="U341" t="s">
        <v>1771</v>
      </c>
      <c r="V341" t="str">
        <f t="shared" si="82"/>
        <v>Elite Bookcases 988</v>
      </c>
      <c r="W341" t="s">
        <v>108</v>
      </c>
      <c r="X341" t="str">
        <f t="shared" si="83"/>
        <v>Standard Class</v>
      </c>
      <c r="Y341">
        <v>2</v>
      </c>
      <c r="Z341">
        <v>8</v>
      </c>
      <c r="AA341">
        <v>3265.76</v>
      </c>
      <c r="AB341">
        <v>0.2</v>
      </c>
      <c r="AC341">
        <f t="shared" si="84"/>
        <v>0.2</v>
      </c>
      <c r="AD341">
        <v>20900.86</v>
      </c>
      <c r="AE341">
        <f t="shared" si="85"/>
        <v>20900.864</v>
      </c>
      <c r="AF341">
        <v>12513.14</v>
      </c>
      <c r="AG341">
        <v>8387.72</v>
      </c>
      <c r="AH341">
        <f t="shared" si="86"/>
        <v>8387.724</v>
      </c>
      <c r="AI341">
        <f t="shared" si="87"/>
        <v>0.401309917140268</v>
      </c>
      <c r="AJ341" t="s">
        <v>77</v>
      </c>
      <c r="AK341" t="str">
        <f t="shared" si="88"/>
        <v>Paid</v>
      </c>
      <c r="AL341" t="s">
        <v>78</v>
      </c>
      <c r="AM341" t="str">
        <f t="shared" si="89"/>
        <v>Completed</v>
      </c>
      <c r="AN341">
        <v>2</v>
      </c>
      <c r="AO341">
        <v>2025</v>
      </c>
      <c r="AP341" t="s">
        <v>79</v>
      </c>
    </row>
    <row r="342" spans="1:42">
      <c r="A342" t="s">
        <v>1772</v>
      </c>
      <c r="B342" s="3" t="s">
        <v>1773</v>
      </c>
      <c r="C342" s="3">
        <v>45312</v>
      </c>
      <c r="D342" t="s">
        <v>1774</v>
      </c>
      <c r="E342" s="3">
        <v>45320</v>
      </c>
      <c r="F342" t="s">
        <v>1775</v>
      </c>
      <c r="G342" t="s">
        <v>132</v>
      </c>
      <c r="H342" t="str">
        <f t="shared" si="75"/>
        <v>Neha Gupta</v>
      </c>
      <c r="I342" t="s">
        <v>71</v>
      </c>
      <c r="J342" t="str">
        <f t="shared" si="76"/>
        <v>Consumer</v>
      </c>
      <c r="K342" t="s">
        <v>10</v>
      </c>
      <c r="L342" t="str">
        <f t="shared" si="77"/>
        <v>South</v>
      </c>
      <c r="M342" t="s">
        <v>272</v>
      </c>
      <c r="N342" t="str">
        <f t="shared" si="78"/>
        <v>Karnataka</v>
      </c>
      <c r="O342" t="s">
        <v>273</v>
      </c>
      <c r="P342" t="str">
        <f t="shared" si="79"/>
        <v>Bengaluru</v>
      </c>
      <c r="Q342" t="s">
        <v>22</v>
      </c>
      <c r="R342" t="str">
        <f t="shared" si="80"/>
        <v>Office Supplies</v>
      </c>
      <c r="S342" t="s">
        <v>239</v>
      </c>
      <c r="T342" t="str">
        <f t="shared" si="81"/>
        <v>Binders</v>
      </c>
      <c r="U342" t="s">
        <v>1776</v>
      </c>
      <c r="V342" t="str">
        <f t="shared" si="82"/>
        <v>Smart Binders 414</v>
      </c>
      <c r="W342" t="s">
        <v>108</v>
      </c>
      <c r="X342" t="str">
        <f t="shared" si="83"/>
        <v>Standard Class</v>
      </c>
      <c r="Y342">
        <v>8</v>
      </c>
      <c r="Z342">
        <v>5</v>
      </c>
      <c r="AA342">
        <v>4058.08</v>
      </c>
      <c r="AB342">
        <v>0.1</v>
      </c>
      <c r="AC342">
        <f t="shared" si="84"/>
        <v>0.1</v>
      </c>
      <c r="AD342">
        <v>18261.36</v>
      </c>
      <c r="AE342">
        <f t="shared" si="85"/>
        <v>18261.36</v>
      </c>
      <c r="AF342">
        <v>11399.94</v>
      </c>
      <c r="AG342">
        <v>6861.42</v>
      </c>
      <c r="AH342">
        <f t="shared" si="86"/>
        <v>6861.42</v>
      </c>
      <c r="AI342">
        <f t="shared" si="87"/>
        <v>0.375734337420652</v>
      </c>
      <c r="AJ342" t="s">
        <v>77</v>
      </c>
      <c r="AK342" t="str">
        <f t="shared" si="88"/>
        <v>Paid</v>
      </c>
      <c r="AL342" t="s">
        <v>78</v>
      </c>
      <c r="AM342" t="str">
        <f t="shared" si="89"/>
        <v>Completed</v>
      </c>
      <c r="AN342">
        <v>1</v>
      </c>
      <c r="AO342">
        <v>2024</v>
      </c>
      <c r="AP342" t="s">
        <v>79</v>
      </c>
    </row>
    <row r="343" spans="1:42">
      <c r="A343" t="s">
        <v>1777</v>
      </c>
      <c r="B343" s="3" t="s">
        <v>1778</v>
      </c>
      <c r="C343" s="3">
        <v>45908</v>
      </c>
      <c r="D343" t="s">
        <v>1779</v>
      </c>
      <c r="E343" s="3">
        <v>45909</v>
      </c>
      <c r="F343" t="s">
        <v>1780</v>
      </c>
      <c r="G343" t="s">
        <v>220</v>
      </c>
      <c r="H343" t="str">
        <f t="shared" si="75"/>
        <v>Rohan Mehta</v>
      </c>
      <c r="I343" t="s">
        <v>154</v>
      </c>
      <c r="J343" t="str">
        <f t="shared" si="76"/>
        <v>Home Office</v>
      </c>
      <c r="K343" t="s">
        <v>11</v>
      </c>
      <c r="L343" t="str">
        <f t="shared" si="77"/>
        <v>West</v>
      </c>
      <c r="M343" t="s">
        <v>278</v>
      </c>
      <c r="N343" t="str">
        <f t="shared" si="78"/>
        <v>Gujarat</v>
      </c>
      <c r="O343" t="s">
        <v>279</v>
      </c>
      <c r="P343" t="str">
        <f t="shared" si="79"/>
        <v>Ahmedabad</v>
      </c>
      <c r="Q343" t="s">
        <v>19</v>
      </c>
      <c r="R343" t="str">
        <f t="shared" si="80"/>
        <v>Furniture</v>
      </c>
      <c r="S343" t="s">
        <v>116</v>
      </c>
      <c r="T343" t="str">
        <f t="shared" si="81"/>
        <v>Chairs</v>
      </c>
      <c r="U343" t="s">
        <v>1781</v>
      </c>
      <c r="V343" t="str">
        <f t="shared" si="82"/>
        <v>Eco Chairs 552</v>
      </c>
      <c r="W343" t="s">
        <v>76</v>
      </c>
      <c r="X343" t="str">
        <f t="shared" si="83"/>
        <v>Second Class</v>
      </c>
      <c r="Y343">
        <v>1</v>
      </c>
      <c r="Z343">
        <v>2</v>
      </c>
      <c r="AA343">
        <v>3960.33</v>
      </c>
      <c r="AB343">
        <v>0.05</v>
      </c>
      <c r="AC343">
        <f t="shared" si="84"/>
        <v>0.05</v>
      </c>
      <c r="AD343">
        <v>7524.63</v>
      </c>
      <c r="AE343">
        <f t="shared" si="85"/>
        <v>7524.627</v>
      </c>
      <c r="AF343">
        <v>6229.6</v>
      </c>
      <c r="AG343">
        <v>1295.03</v>
      </c>
      <c r="AH343">
        <f t="shared" si="86"/>
        <v>1295.027</v>
      </c>
      <c r="AI343">
        <f t="shared" si="87"/>
        <v>0.172105142221668</v>
      </c>
      <c r="AJ343" t="s">
        <v>77</v>
      </c>
      <c r="AK343" t="str">
        <f t="shared" si="88"/>
        <v>Paid</v>
      </c>
      <c r="AL343" t="s">
        <v>78</v>
      </c>
      <c r="AM343" t="str">
        <f t="shared" si="89"/>
        <v>Completed</v>
      </c>
      <c r="AN343">
        <v>9</v>
      </c>
      <c r="AO343">
        <v>2025</v>
      </c>
      <c r="AP343" t="s">
        <v>79</v>
      </c>
    </row>
    <row r="344" spans="1:42">
      <c r="A344" t="s">
        <v>1782</v>
      </c>
      <c r="B344" s="3" t="s">
        <v>1783</v>
      </c>
      <c r="C344" s="3">
        <v>45862</v>
      </c>
      <c r="D344" t="s">
        <v>1784</v>
      </c>
      <c r="E344" s="3">
        <v>45870</v>
      </c>
      <c r="F344" t="s">
        <v>1785</v>
      </c>
      <c r="G344" t="s">
        <v>411</v>
      </c>
      <c r="H344" t="str">
        <f t="shared" si="75"/>
        <v>Kabir Singh</v>
      </c>
      <c r="I344" t="s">
        <v>85</v>
      </c>
      <c r="J344" t="str">
        <f t="shared" si="76"/>
        <v>Small Business</v>
      </c>
      <c r="K344" t="s">
        <v>7</v>
      </c>
      <c r="L344" t="str">
        <f t="shared" si="77"/>
        <v>East</v>
      </c>
      <c r="M344" t="s">
        <v>354</v>
      </c>
      <c r="N344" t="str">
        <f t="shared" si="78"/>
        <v>Jharkhand</v>
      </c>
      <c r="O344" t="s">
        <v>355</v>
      </c>
      <c r="P344" t="str">
        <f t="shared" si="79"/>
        <v>Ranchi</v>
      </c>
      <c r="Q344" t="s">
        <v>22</v>
      </c>
      <c r="R344" t="str">
        <f t="shared" si="80"/>
        <v>Office Supplies</v>
      </c>
      <c r="S344" t="s">
        <v>239</v>
      </c>
      <c r="T344" t="str">
        <f t="shared" si="81"/>
        <v>Binders</v>
      </c>
      <c r="U344" t="s">
        <v>1786</v>
      </c>
      <c r="V344" t="str">
        <f t="shared" si="82"/>
        <v>Smart Binders 574</v>
      </c>
      <c r="W344" t="s">
        <v>98</v>
      </c>
      <c r="X344" t="str">
        <f t="shared" si="83"/>
        <v>First Class</v>
      </c>
      <c r="Y344">
        <v>8</v>
      </c>
      <c r="Z344">
        <v>8</v>
      </c>
      <c r="AA344">
        <v>1528.92</v>
      </c>
      <c r="AB344">
        <v>0</v>
      </c>
      <c r="AC344">
        <f t="shared" si="84"/>
        <v>0</v>
      </c>
      <c r="AD344">
        <v>12231.36</v>
      </c>
      <c r="AE344">
        <f t="shared" si="85"/>
        <v>12231.36</v>
      </c>
      <c r="AF344">
        <v>8766.9</v>
      </c>
      <c r="AG344">
        <v>3464.46</v>
      </c>
      <c r="AH344">
        <f t="shared" si="86"/>
        <v>3464.46</v>
      </c>
      <c r="AI344">
        <f t="shared" si="87"/>
        <v>0.283244054626795</v>
      </c>
      <c r="AJ344" t="s">
        <v>77</v>
      </c>
      <c r="AK344" t="str">
        <f t="shared" si="88"/>
        <v>Paid</v>
      </c>
      <c r="AL344" t="s">
        <v>78</v>
      </c>
      <c r="AM344" t="str">
        <f t="shared" si="89"/>
        <v>Completed</v>
      </c>
      <c r="AN344">
        <v>7</v>
      </c>
      <c r="AO344">
        <v>2025</v>
      </c>
      <c r="AP344" t="s">
        <v>79</v>
      </c>
    </row>
    <row r="345" spans="1:42">
      <c r="A345" t="s">
        <v>1787</v>
      </c>
      <c r="B345" s="3" t="s">
        <v>1788</v>
      </c>
      <c r="C345" s="3">
        <v>45933</v>
      </c>
      <c r="D345" t="s">
        <v>1244</v>
      </c>
      <c r="E345" s="3">
        <v>45938</v>
      </c>
      <c r="F345" t="s">
        <v>1789</v>
      </c>
      <c r="G345" t="s">
        <v>202</v>
      </c>
      <c r="H345" t="str">
        <f t="shared" si="75"/>
        <v>Aarav Sharma</v>
      </c>
      <c r="I345" t="s">
        <v>147</v>
      </c>
      <c r="J345" t="str">
        <f t="shared" si="76"/>
        <v>Corporate</v>
      </c>
      <c r="K345" t="s">
        <v>11</v>
      </c>
      <c r="L345" t="str">
        <f t="shared" si="77"/>
        <v>West</v>
      </c>
      <c r="M345" t="s">
        <v>124</v>
      </c>
      <c r="N345" t="str">
        <f t="shared" si="78"/>
        <v>Madhya Pradesh</v>
      </c>
      <c r="O345" t="s">
        <v>125</v>
      </c>
      <c r="P345" t="str">
        <f t="shared" si="79"/>
        <v>Indore</v>
      </c>
      <c r="Q345" t="s">
        <v>24</v>
      </c>
      <c r="R345" t="str">
        <f t="shared" si="80"/>
        <v>Technology</v>
      </c>
      <c r="S345" t="s">
        <v>427</v>
      </c>
      <c r="T345" t="str">
        <f t="shared" si="81"/>
        <v>Machines</v>
      </c>
      <c r="U345" t="s">
        <v>1790</v>
      </c>
      <c r="V345" t="str">
        <f t="shared" si="82"/>
        <v>Pro Machines 444</v>
      </c>
      <c r="W345" t="s">
        <v>90</v>
      </c>
      <c r="X345" t="str">
        <f t="shared" si="83"/>
        <v>Same Day</v>
      </c>
      <c r="Y345">
        <v>5</v>
      </c>
      <c r="Z345">
        <v>9</v>
      </c>
      <c r="AA345">
        <v>3837</v>
      </c>
      <c r="AB345">
        <v>0.1</v>
      </c>
      <c r="AC345">
        <f t="shared" si="84"/>
        <v>0.1</v>
      </c>
      <c r="AD345">
        <v>31079.7</v>
      </c>
      <c r="AE345">
        <f t="shared" si="85"/>
        <v>31079.7</v>
      </c>
      <c r="AF345">
        <v>17758.25</v>
      </c>
      <c r="AG345">
        <v>13321.45</v>
      </c>
      <c r="AH345">
        <f t="shared" si="86"/>
        <v>13321.45</v>
      </c>
      <c r="AI345">
        <f t="shared" si="87"/>
        <v>0.428622219648195</v>
      </c>
      <c r="AJ345" t="s">
        <v>77</v>
      </c>
      <c r="AK345" t="str">
        <f t="shared" si="88"/>
        <v>Paid</v>
      </c>
      <c r="AL345" t="s">
        <v>78</v>
      </c>
      <c r="AM345" t="str">
        <f t="shared" si="89"/>
        <v>Completed</v>
      </c>
      <c r="AN345">
        <v>10</v>
      </c>
      <c r="AO345">
        <v>2025</v>
      </c>
      <c r="AP345" t="s">
        <v>79</v>
      </c>
    </row>
    <row r="346" spans="1:42">
      <c r="A346" t="s">
        <v>1791</v>
      </c>
      <c r="B346" s="3" t="s">
        <v>1561</v>
      </c>
      <c r="C346" s="3">
        <v>45362</v>
      </c>
      <c r="D346" t="s">
        <v>1561</v>
      </c>
      <c r="E346" s="3">
        <v>45362</v>
      </c>
      <c r="F346" t="s">
        <v>1792</v>
      </c>
      <c r="G346" t="s">
        <v>182</v>
      </c>
      <c r="H346" t="str">
        <f t="shared" si="75"/>
        <v>Priya Menon</v>
      </c>
      <c r="I346" t="s">
        <v>71</v>
      </c>
      <c r="J346" t="str">
        <f t="shared" si="76"/>
        <v>Consumer</v>
      </c>
      <c r="K346" t="s">
        <v>8</v>
      </c>
      <c r="L346" t="str">
        <f t="shared" si="77"/>
        <v>North</v>
      </c>
      <c r="M346" t="s">
        <v>194</v>
      </c>
      <c r="N346" t="str">
        <f t="shared" si="78"/>
        <v>Punjab</v>
      </c>
      <c r="O346" t="s">
        <v>195</v>
      </c>
      <c r="P346" t="str">
        <f t="shared" si="79"/>
        <v>Ludhiana</v>
      </c>
      <c r="Q346" t="s">
        <v>19</v>
      </c>
      <c r="R346" t="str">
        <f t="shared" si="80"/>
        <v>Furniture</v>
      </c>
      <c r="S346" t="s">
        <v>245</v>
      </c>
      <c r="T346" t="str">
        <f t="shared" si="81"/>
        <v>Bookcases</v>
      </c>
      <c r="U346" t="s">
        <v>1793</v>
      </c>
      <c r="V346" t="str">
        <f t="shared" si="82"/>
        <v>Elite Bookcases 184</v>
      </c>
      <c r="W346" t="s">
        <v>90</v>
      </c>
      <c r="X346" t="str">
        <f t="shared" si="83"/>
        <v>Same Day</v>
      </c>
      <c r="Y346">
        <v>0</v>
      </c>
      <c r="Z346">
        <v>9</v>
      </c>
      <c r="AA346">
        <v>3456.38</v>
      </c>
      <c r="AB346">
        <v>0</v>
      </c>
      <c r="AC346">
        <f t="shared" si="84"/>
        <v>0</v>
      </c>
      <c r="AD346">
        <v>31107.42</v>
      </c>
      <c r="AE346">
        <f t="shared" si="85"/>
        <v>31107.42</v>
      </c>
      <c r="AF346">
        <v>20146.66</v>
      </c>
      <c r="AG346">
        <v>10960.76</v>
      </c>
      <c r="AH346">
        <f t="shared" si="86"/>
        <v>10960.76</v>
      </c>
      <c r="AI346">
        <f t="shared" si="87"/>
        <v>0.352351946898843</v>
      </c>
      <c r="AJ346" t="s">
        <v>177</v>
      </c>
      <c r="AK346" t="str">
        <f t="shared" si="88"/>
        <v>Pending</v>
      </c>
      <c r="AL346" t="s">
        <v>164</v>
      </c>
      <c r="AM346" t="str">
        <f t="shared" si="89"/>
        <v>Returned</v>
      </c>
      <c r="AN346">
        <v>3</v>
      </c>
      <c r="AO346">
        <v>2024</v>
      </c>
      <c r="AP346" t="s">
        <v>79</v>
      </c>
    </row>
    <row r="347" spans="1:42">
      <c r="A347" t="s">
        <v>1794</v>
      </c>
      <c r="B347" s="3" t="s">
        <v>1795</v>
      </c>
      <c r="C347" s="3">
        <v>45549</v>
      </c>
      <c r="D347" t="s">
        <v>1796</v>
      </c>
      <c r="E347" s="3">
        <v>45557</v>
      </c>
      <c r="F347" t="s">
        <v>1797</v>
      </c>
      <c r="G347" t="s">
        <v>70</v>
      </c>
      <c r="H347" t="str">
        <f t="shared" si="75"/>
        <v>Karan Malhotra</v>
      </c>
      <c r="I347" t="s">
        <v>71</v>
      </c>
      <c r="J347" t="str">
        <f t="shared" si="76"/>
        <v>Consumer</v>
      </c>
      <c r="K347" t="s">
        <v>11</v>
      </c>
      <c r="L347" t="str">
        <f t="shared" si="77"/>
        <v>West</v>
      </c>
      <c r="M347" t="s">
        <v>124</v>
      </c>
      <c r="N347" t="str">
        <f t="shared" si="78"/>
        <v>Madhya Pradesh</v>
      </c>
      <c r="O347" t="s">
        <v>125</v>
      </c>
      <c r="P347" t="str">
        <f t="shared" si="79"/>
        <v>Indore</v>
      </c>
      <c r="Q347" t="s">
        <v>19</v>
      </c>
      <c r="R347" t="str">
        <f t="shared" si="80"/>
        <v>Furniture</v>
      </c>
      <c r="S347" t="s">
        <v>106</v>
      </c>
      <c r="T347" t="str">
        <f t="shared" si="81"/>
        <v>Furnishings</v>
      </c>
      <c r="U347" t="s">
        <v>1798</v>
      </c>
      <c r="V347" t="str">
        <f t="shared" si="82"/>
        <v>Elite Furnishings 138</v>
      </c>
      <c r="W347" t="s">
        <v>76</v>
      </c>
      <c r="X347" t="str">
        <f t="shared" si="83"/>
        <v>Second Class</v>
      </c>
      <c r="Y347">
        <v>8</v>
      </c>
      <c r="Z347">
        <v>2</v>
      </c>
      <c r="AA347">
        <v>2765.3</v>
      </c>
      <c r="AB347">
        <v>0</v>
      </c>
      <c r="AC347">
        <f t="shared" si="84"/>
        <v>0</v>
      </c>
      <c r="AD347">
        <v>5530.6</v>
      </c>
      <c r="AE347">
        <f t="shared" si="85"/>
        <v>5530.6</v>
      </c>
      <c r="AF347">
        <v>4453.11</v>
      </c>
      <c r="AG347">
        <v>1077.49</v>
      </c>
      <c r="AH347">
        <f t="shared" si="86"/>
        <v>1077.49</v>
      </c>
      <c r="AI347">
        <f t="shared" si="87"/>
        <v>0.194823346472354</v>
      </c>
      <c r="AJ347" t="s">
        <v>77</v>
      </c>
      <c r="AK347" t="str">
        <f t="shared" si="88"/>
        <v>Paid</v>
      </c>
      <c r="AL347" t="s">
        <v>78</v>
      </c>
      <c r="AM347" t="str">
        <f t="shared" si="89"/>
        <v>Completed</v>
      </c>
      <c r="AN347">
        <v>9</v>
      </c>
      <c r="AO347">
        <v>2024</v>
      </c>
      <c r="AP347" t="s">
        <v>79</v>
      </c>
    </row>
    <row r="348" spans="1:42">
      <c r="A348" t="s">
        <v>1799</v>
      </c>
      <c r="B348" s="3" t="s">
        <v>1712</v>
      </c>
      <c r="C348" s="3">
        <v>45860</v>
      </c>
      <c r="D348" t="s">
        <v>1800</v>
      </c>
      <c r="E348" s="3">
        <v>45866</v>
      </c>
      <c r="F348" t="s">
        <v>1801</v>
      </c>
      <c r="G348" t="s">
        <v>188</v>
      </c>
      <c r="H348" t="str">
        <f t="shared" si="75"/>
        <v>Rahul Verma</v>
      </c>
      <c r="I348" t="s">
        <v>147</v>
      </c>
      <c r="J348" t="str">
        <f t="shared" si="76"/>
        <v>Corporate</v>
      </c>
      <c r="K348" t="s">
        <v>10</v>
      </c>
      <c r="L348" t="str">
        <f t="shared" si="77"/>
        <v>South</v>
      </c>
      <c r="M348" t="s">
        <v>285</v>
      </c>
      <c r="N348" t="str">
        <f t="shared" si="78"/>
        <v>Kerala</v>
      </c>
      <c r="O348" t="s">
        <v>286</v>
      </c>
      <c r="P348" t="str">
        <f t="shared" si="79"/>
        <v>Kochi</v>
      </c>
      <c r="Q348" t="s">
        <v>19</v>
      </c>
      <c r="R348" t="str">
        <f t="shared" si="80"/>
        <v>Furniture</v>
      </c>
      <c r="S348" t="s">
        <v>116</v>
      </c>
      <c r="T348" t="str">
        <f t="shared" si="81"/>
        <v>Chairs</v>
      </c>
      <c r="U348" t="s">
        <v>1802</v>
      </c>
      <c r="V348" t="str">
        <f t="shared" si="82"/>
        <v>Eco Chairs 369</v>
      </c>
      <c r="W348" t="s">
        <v>76</v>
      </c>
      <c r="X348" t="str">
        <f t="shared" si="83"/>
        <v>Second Class</v>
      </c>
      <c r="Y348">
        <v>6</v>
      </c>
      <c r="Z348">
        <v>6</v>
      </c>
      <c r="AA348">
        <v>1607.46</v>
      </c>
      <c r="AB348">
        <v>0.2</v>
      </c>
      <c r="AC348">
        <f t="shared" si="84"/>
        <v>0.2</v>
      </c>
      <c r="AD348">
        <v>7715.81</v>
      </c>
      <c r="AE348">
        <f t="shared" si="85"/>
        <v>7715.808</v>
      </c>
      <c r="AF348">
        <v>4258.42</v>
      </c>
      <c r="AG348">
        <v>3457.39</v>
      </c>
      <c r="AH348">
        <f t="shared" si="86"/>
        <v>3457.388</v>
      </c>
      <c r="AI348">
        <f t="shared" si="87"/>
        <v>0.448091502536092</v>
      </c>
      <c r="AJ348" t="s">
        <v>77</v>
      </c>
      <c r="AK348" t="str">
        <f t="shared" si="88"/>
        <v>Paid</v>
      </c>
      <c r="AL348" t="s">
        <v>78</v>
      </c>
      <c r="AM348" t="str">
        <f t="shared" si="89"/>
        <v>Completed</v>
      </c>
      <c r="AN348">
        <v>7</v>
      </c>
      <c r="AO348">
        <v>2025</v>
      </c>
      <c r="AP348" t="s">
        <v>79</v>
      </c>
    </row>
    <row r="349" spans="1:42">
      <c r="A349" t="s">
        <v>1803</v>
      </c>
      <c r="B349" s="3" t="s">
        <v>1804</v>
      </c>
      <c r="C349" s="3">
        <v>45627</v>
      </c>
      <c r="D349" t="s">
        <v>1518</v>
      </c>
      <c r="E349" s="3">
        <v>45634</v>
      </c>
      <c r="F349" t="s">
        <v>1805</v>
      </c>
      <c r="G349" t="s">
        <v>202</v>
      </c>
      <c r="H349" t="str">
        <f t="shared" si="75"/>
        <v>Aarav Sharma</v>
      </c>
      <c r="I349" t="s">
        <v>85</v>
      </c>
      <c r="J349" t="str">
        <f t="shared" si="76"/>
        <v>Small Business</v>
      </c>
      <c r="K349" t="s">
        <v>11</v>
      </c>
      <c r="L349" t="str">
        <f t="shared" si="77"/>
        <v>West</v>
      </c>
      <c r="M349" t="s">
        <v>292</v>
      </c>
      <c r="N349" t="str">
        <f t="shared" si="78"/>
        <v>Goa</v>
      </c>
      <c r="O349" t="s">
        <v>293</v>
      </c>
      <c r="P349" t="str">
        <f t="shared" si="79"/>
        <v>Panaji</v>
      </c>
      <c r="Q349" t="s">
        <v>19</v>
      </c>
      <c r="R349" t="str">
        <f t="shared" si="80"/>
        <v>Furniture</v>
      </c>
      <c r="S349" t="s">
        <v>116</v>
      </c>
      <c r="T349" t="str">
        <f t="shared" si="81"/>
        <v>Chairs</v>
      </c>
      <c r="U349" t="s">
        <v>1806</v>
      </c>
      <c r="V349" t="str">
        <f t="shared" si="82"/>
        <v>Max Chairs 487</v>
      </c>
      <c r="W349" t="s">
        <v>76</v>
      </c>
      <c r="X349" t="str">
        <f t="shared" si="83"/>
        <v>Second Class</v>
      </c>
      <c r="Y349">
        <v>7</v>
      </c>
      <c r="Z349">
        <v>5</v>
      </c>
      <c r="AA349">
        <v>2981.49</v>
      </c>
      <c r="AB349">
        <v>0.2</v>
      </c>
      <c r="AC349">
        <f t="shared" si="84"/>
        <v>0.2</v>
      </c>
      <c r="AD349">
        <v>11925.96</v>
      </c>
      <c r="AE349">
        <f t="shared" si="85"/>
        <v>11925.96</v>
      </c>
      <c r="AF349">
        <v>10103.51</v>
      </c>
      <c r="AG349">
        <v>1822.45</v>
      </c>
      <c r="AH349">
        <f t="shared" si="86"/>
        <v>1822.45</v>
      </c>
      <c r="AI349">
        <f t="shared" si="87"/>
        <v>0.152813693824229</v>
      </c>
      <c r="AJ349" t="s">
        <v>163</v>
      </c>
      <c r="AK349" t="str">
        <f t="shared" si="88"/>
        <v>Refunded</v>
      </c>
      <c r="AL349" t="s">
        <v>164</v>
      </c>
      <c r="AM349" t="str">
        <f t="shared" si="89"/>
        <v>Returned</v>
      </c>
      <c r="AN349">
        <v>12</v>
      </c>
      <c r="AO349">
        <v>2024</v>
      </c>
      <c r="AP349" t="s">
        <v>79</v>
      </c>
    </row>
    <row r="350" spans="1:42">
      <c r="A350" t="s">
        <v>1807</v>
      </c>
      <c r="B350" s="3" t="s">
        <v>1355</v>
      </c>
      <c r="C350" s="3">
        <v>45445</v>
      </c>
      <c r="D350" t="s">
        <v>1808</v>
      </c>
      <c r="E350" s="3">
        <v>45450</v>
      </c>
      <c r="F350" t="s">
        <v>1809</v>
      </c>
      <c r="G350" t="s">
        <v>202</v>
      </c>
      <c r="H350" t="str">
        <f t="shared" si="75"/>
        <v>Aarav Sharma</v>
      </c>
      <c r="I350" t="s">
        <v>147</v>
      </c>
      <c r="J350" t="str">
        <f t="shared" si="76"/>
        <v>Corporate</v>
      </c>
      <c r="K350" t="s">
        <v>10</v>
      </c>
      <c r="L350" t="str">
        <f t="shared" si="77"/>
        <v>South</v>
      </c>
      <c r="M350" t="s">
        <v>272</v>
      </c>
      <c r="N350" t="str">
        <f t="shared" si="78"/>
        <v>Karnataka</v>
      </c>
      <c r="O350" t="s">
        <v>273</v>
      </c>
      <c r="P350" t="str">
        <f t="shared" si="79"/>
        <v>Bengaluru</v>
      </c>
      <c r="Q350" t="s">
        <v>24</v>
      </c>
      <c r="R350" t="str">
        <f t="shared" si="80"/>
        <v>Technology</v>
      </c>
      <c r="S350" t="s">
        <v>265</v>
      </c>
      <c r="T350" t="str">
        <f t="shared" si="81"/>
        <v>Phones</v>
      </c>
      <c r="U350" t="s">
        <v>1810</v>
      </c>
      <c r="V350" t="str">
        <f t="shared" si="82"/>
        <v>Classic Phones 989</v>
      </c>
      <c r="W350" t="s">
        <v>90</v>
      </c>
      <c r="X350" t="str">
        <f t="shared" si="83"/>
        <v>Same Day</v>
      </c>
      <c r="Y350">
        <v>5</v>
      </c>
      <c r="Z350">
        <v>9</v>
      </c>
      <c r="AA350">
        <v>2860.26</v>
      </c>
      <c r="AB350">
        <v>0.25</v>
      </c>
      <c r="AC350">
        <f t="shared" si="84"/>
        <v>0.25</v>
      </c>
      <c r="AD350">
        <v>19306.76</v>
      </c>
      <c r="AE350">
        <f t="shared" si="85"/>
        <v>19306.755</v>
      </c>
      <c r="AF350">
        <v>14442.38</v>
      </c>
      <c r="AG350">
        <v>4864.38</v>
      </c>
      <c r="AH350">
        <f t="shared" si="86"/>
        <v>4864.37500000001</v>
      </c>
      <c r="AI350">
        <f t="shared" si="87"/>
        <v>0.251951972250127</v>
      </c>
      <c r="AJ350" t="s">
        <v>77</v>
      </c>
      <c r="AK350" t="str">
        <f t="shared" si="88"/>
        <v>Paid</v>
      </c>
      <c r="AL350" t="s">
        <v>78</v>
      </c>
      <c r="AM350" t="str">
        <f t="shared" si="89"/>
        <v>Completed</v>
      </c>
      <c r="AN350">
        <v>6</v>
      </c>
      <c r="AO350">
        <v>2024</v>
      </c>
      <c r="AP350" t="s">
        <v>79</v>
      </c>
    </row>
    <row r="351" spans="1:42">
      <c r="A351" t="s">
        <v>1811</v>
      </c>
      <c r="B351" s="3" t="s">
        <v>1812</v>
      </c>
      <c r="C351" s="3">
        <v>45927</v>
      </c>
      <c r="D351" t="s">
        <v>797</v>
      </c>
      <c r="E351" s="3">
        <v>45929</v>
      </c>
      <c r="F351" t="s">
        <v>1813</v>
      </c>
      <c r="G351" t="s">
        <v>411</v>
      </c>
      <c r="H351" t="str">
        <f t="shared" si="75"/>
        <v>Kabir Singh</v>
      </c>
      <c r="I351" t="s">
        <v>154</v>
      </c>
      <c r="J351" t="str">
        <f t="shared" si="76"/>
        <v>Home Office</v>
      </c>
      <c r="K351" t="s">
        <v>7</v>
      </c>
      <c r="L351" t="str">
        <f t="shared" si="77"/>
        <v>East</v>
      </c>
      <c r="M351" t="s">
        <v>354</v>
      </c>
      <c r="N351" t="str">
        <f t="shared" si="78"/>
        <v>Jharkhand</v>
      </c>
      <c r="O351" t="s">
        <v>355</v>
      </c>
      <c r="P351" t="str">
        <f t="shared" si="79"/>
        <v>Ranchi</v>
      </c>
      <c r="Q351" t="s">
        <v>19</v>
      </c>
      <c r="R351" t="str">
        <f t="shared" si="80"/>
        <v>Furniture</v>
      </c>
      <c r="S351" t="s">
        <v>106</v>
      </c>
      <c r="T351" t="str">
        <f t="shared" si="81"/>
        <v>Furnishings</v>
      </c>
      <c r="U351" t="s">
        <v>1814</v>
      </c>
      <c r="V351" t="str">
        <f t="shared" si="82"/>
        <v>Max Furnishings 628</v>
      </c>
      <c r="W351" t="s">
        <v>76</v>
      </c>
      <c r="X351" t="str">
        <f t="shared" si="83"/>
        <v>Second Class</v>
      </c>
      <c r="Y351">
        <v>2</v>
      </c>
      <c r="Z351">
        <v>9</v>
      </c>
      <c r="AA351">
        <v>2867.55</v>
      </c>
      <c r="AB351">
        <v>0.25</v>
      </c>
      <c r="AC351">
        <f t="shared" si="84"/>
        <v>0.25</v>
      </c>
      <c r="AD351">
        <v>19355.96</v>
      </c>
      <c r="AE351">
        <f t="shared" si="85"/>
        <v>19355.9625</v>
      </c>
      <c r="AF351">
        <v>15012.45</v>
      </c>
      <c r="AG351">
        <v>4017.4</v>
      </c>
      <c r="AH351">
        <f t="shared" si="86"/>
        <v>4343.5125</v>
      </c>
      <c r="AI351">
        <f t="shared" si="87"/>
        <v>0.224401783171465</v>
      </c>
      <c r="AJ351" t="s">
        <v>77</v>
      </c>
      <c r="AK351" t="str">
        <f t="shared" si="88"/>
        <v>Paid</v>
      </c>
      <c r="AL351" t="s">
        <v>78</v>
      </c>
      <c r="AM351" t="str">
        <f t="shared" si="89"/>
        <v>Completed</v>
      </c>
      <c r="AN351">
        <v>9</v>
      </c>
      <c r="AO351">
        <v>2025</v>
      </c>
      <c r="AP351" t="s">
        <v>79</v>
      </c>
    </row>
    <row r="352" spans="1:42">
      <c r="A352" t="s">
        <v>1815</v>
      </c>
      <c r="B352" s="3" t="s">
        <v>1816</v>
      </c>
      <c r="C352" s="3">
        <v>45298</v>
      </c>
      <c r="D352" t="s">
        <v>1817</v>
      </c>
      <c r="E352" s="3">
        <v>45305</v>
      </c>
      <c r="F352" t="s">
        <v>1818</v>
      </c>
      <c r="G352" t="s">
        <v>208</v>
      </c>
      <c r="H352" t="str">
        <f t="shared" si="75"/>
        <v>Sneha Kapoor</v>
      </c>
      <c r="I352" t="s">
        <v>85</v>
      </c>
      <c r="J352" t="str">
        <f t="shared" si="76"/>
        <v>Small Business</v>
      </c>
      <c r="K352" t="s">
        <v>7</v>
      </c>
      <c r="L352" t="str">
        <f t="shared" si="77"/>
        <v>East</v>
      </c>
      <c r="M352" t="s">
        <v>354</v>
      </c>
      <c r="N352" t="str">
        <f t="shared" si="78"/>
        <v>Jharkhand</v>
      </c>
      <c r="O352" t="s">
        <v>355</v>
      </c>
      <c r="P352" t="str">
        <f t="shared" si="79"/>
        <v>Ranchi</v>
      </c>
      <c r="Q352" t="s">
        <v>19</v>
      </c>
      <c r="R352" t="str">
        <f t="shared" si="80"/>
        <v>Furniture</v>
      </c>
      <c r="S352" t="s">
        <v>106</v>
      </c>
      <c r="T352" t="str">
        <f t="shared" si="81"/>
        <v>Furnishings</v>
      </c>
      <c r="U352" t="s">
        <v>1819</v>
      </c>
      <c r="V352" t="str">
        <f t="shared" si="82"/>
        <v>Elite Furnishings 279</v>
      </c>
      <c r="W352" t="s">
        <v>76</v>
      </c>
      <c r="X352" t="str">
        <f t="shared" si="83"/>
        <v>Second Class</v>
      </c>
      <c r="Y352">
        <v>7</v>
      </c>
      <c r="Z352">
        <v>4</v>
      </c>
      <c r="AA352">
        <v>3309.54</v>
      </c>
      <c r="AB352">
        <v>0.1</v>
      </c>
      <c r="AC352">
        <f t="shared" si="84"/>
        <v>0.1</v>
      </c>
      <c r="AD352">
        <v>11914.34</v>
      </c>
      <c r="AE352">
        <f t="shared" si="85"/>
        <v>11914.344</v>
      </c>
      <c r="AF352">
        <v>9771.24</v>
      </c>
      <c r="AG352">
        <v>2143.1</v>
      </c>
      <c r="AH352">
        <f t="shared" si="86"/>
        <v>2143.104</v>
      </c>
      <c r="AI352">
        <f t="shared" si="87"/>
        <v>0.179875954563676</v>
      </c>
      <c r="AJ352" t="s">
        <v>163</v>
      </c>
      <c r="AK352" t="str">
        <f t="shared" si="88"/>
        <v>Refunded</v>
      </c>
      <c r="AL352" t="s">
        <v>164</v>
      </c>
      <c r="AM352" t="str">
        <f t="shared" si="89"/>
        <v>Returned</v>
      </c>
      <c r="AN352">
        <v>1</v>
      </c>
      <c r="AO352">
        <v>2024</v>
      </c>
      <c r="AP352" t="s">
        <v>79</v>
      </c>
    </row>
    <row r="353" spans="1:42">
      <c r="A353" t="s">
        <v>1820</v>
      </c>
      <c r="B353" s="3" t="s">
        <v>1821</v>
      </c>
      <c r="C353" s="3">
        <v>45800</v>
      </c>
      <c r="D353" t="s">
        <v>1736</v>
      </c>
      <c r="E353" s="3">
        <v>45804</v>
      </c>
      <c r="F353" t="s">
        <v>1822</v>
      </c>
      <c r="G353" t="s">
        <v>123</v>
      </c>
      <c r="H353" t="str">
        <f t="shared" si="75"/>
        <v>Vikram Iyer</v>
      </c>
      <c r="I353" t="s">
        <v>85</v>
      </c>
      <c r="J353" t="str">
        <f t="shared" si="76"/>
        <v>Small Business</v>
      </c>
      <c r="K353" t="s">
        <v>10</v>
      </c>
      <c r="L353" t="str">
        <f t="shared" si="77"/>
        <v>South</v>
      </c>
      <c r="M353" t="s">
        <v>104</v>
      </c>
      <c r="N353" t="str">
        <f t="shared" si="78"/>
        <v>Telangana</v>
      </c>
      <c r="O353" t="s">
        <v>105</v>
      </c>
      <c r="P353" t="str">
        <f t="shared" si="79"/>
        <v>Hyderabad</v>
      </c>
      <c r="Q353" t="s">
        <v>22</v>
      </c>
      <c r="R353" t="str">
        <f t="shared" si="80"/>
        <v>Office Supplies</v>
      </c>
      <c r="S353" t="s">
        <v>196</v>
      </c>
      <c r="T353" t="str">
        <f t="shared" si="81"/>
        <v>Storage</v>
      </c>
      <c r="U353" t="s">
        <v>1823</v>
      </c>
      <c r="V353" t="str">
        <f t="shared" si="82"/>
        <v>Pro Storage 847</v>
      </c>
      <c r="W353" t="s">
        <v>98</v>
      </c>
      <c r="X353" t="str">
        <f t="shared" si="83"/>
        <v>First Class</v>
      </c>
      <c r="Y353">
        <v>4</v>
      </c>
      <c r="Z353">
        <v>6</v>
      </c>
      <c r="AA353">
        <v>719.44</v>
      </c>
      <c r="AB353">
        <v>0.25</v>
      </c>
      <c r="AC353">
        <f t="shared" si="84"/>
        <v>0.25</v>
      </c>
      <c r="AD353">
        <v>3237.48</v>
      </c>
      <c r="AE353">
        <f t="shared" si="85"/>
        <v>3237.48</v>
      </c>
      <c r="AF353">
        <v>2118.34</v>
      </c>
      <c r="AG353">
        <v>1119.14</v>
      </c>
      <c r="AH353">
        <f t="shared" si="86"/>
        <v>1119.14</v>
      </c>
      <c r="AI353">
        <f t="shared" si="87"/>
        <v>0.345682444370313</v>
      </c>
      <c r="AJ353" t="s">
        <v>177</v>
      </c>
      <c r="AK353" t="str">
        <f t="shared" si="88"/>
        <v>Pending</v>
      </c>
      <c r="AL353" t="s">
        <v>118</v>
      </c>
      <c r="AM353" t="str">
        <f t="shared" si="89"/>
        <v>Cancelled</v>
      </c>
      <c r="AN353">
        <v>5</v>
      </c>
      <c r="AO353">
        <v>2025</v>
      </c>
      <c r="AP353" t="s">
        <v>79</v>
      </c>
    </row>
    <row r="354" spans="1:42">
      <c r="A354" t="s">
        <v>1824</v>
      </c>
      <c r="B354" s="3" t="s">
        <v>1825</v>
      </c>
      <c r="C354" s="3">
        <v>45884</v>
      </c>
      <c r="D354" t="s">
        <v>1446</v>
      </c>
      <c r="E354" s="3">
        <v>45886</v>
      </c>
      <c r="F354" t="s">
        <v>1826</v>
      </c>
      <c r="G354" t="s">
        <v>251</v>
      </c>
      <c r="H354" t="str">
        <f t="shared" si="75"/>
        <v>Diya Patel</v>
      </c>
      <c r="I354" t="s">
        <v>85</v>
      </c>
      <c r="J354" t="str">
        <f t="shared" si="76"/>
        <v>Small Business</v>
      </c>
      <c r="K354" t="s">
        <v>7</v>
      </c>
      <c r="L354" t="str">
        <f t="shared" si="77"/>
        <v>East</v>
      </c>
      <c r="M354" t="s">
        <v>258</v>
      </c>
      <c r="N354" t="str">
        <f t="shared" si="78"/>
        <v>Assam</v>
      </c>
      <c r="O354" t="s">
        <v>259</v>
      </c>
      <c r="P354" t="str">
        <f t="shared" si="79"/>
        <v>Guwahati</v>
      </c>
      <c r="Q354" t="s">
        <v>24</v>
      </c>
      <c r="R354" t="str">
        <f t="shared" si="80"/>
        <v>Technology</v>
      </c>
      <c r="S354" t="s">
        <v>133</v>
      </c>
      <c r="T354" t="str">
        <f t="shared" si="81"/>
        <v>Copiers</v>
      </c>
      <c r="U354" t="s">
        <v>1827</v>
      </c>
      <c r="V354" t="str">
        <f t="shared" si="82"/>
        <v>Elite Copiers 706</v>
      </c>
      <c r="W354" t="s">
        <v>98</v>
      </c>
      <c r="X354" t="str">
        <f t="shared" si="83"/>
        <v>First Class</v>
      </c>
      <c r="Y354">
        <v>2</v>
      </c>
      <c r="Z354">
        <v>5</v>
      </c>
      <c r="AA354">
        <v>2862.6</v>
      </c>
      <c r="AB354">
        <v>0.25</v>
      </c>
      <c r="AC354">
        <f t="shared" si="84"/>
        <v>0.25</v>
      </c>
      <c r="AD354">
        <v>10734.75</v>
      </c>
      <c r="AE354">
        <f t="shared" si="85"/>
        <v>10734.75</v>
      </c>
      <c r="AF354">
        <v>6475.73</v>
      </c>
      <c r="AG354">
        <v>4259.02</v>
      </c>
      <c r="AH354">
        <f t="shared" si="86"/>
        <v>4259.02</v>
      </c>
      <c r="AI354">
        <f t="shared" si="87"/>
        <v>0.396750739421039</v>
      </c>
      <c r="AJ354" t="s">
        <v>77</v>
      </c>
      <c r="AK354" t="str">
        <f t="shared" si="88"/>
        <v>Paid</v>
      </c>
      <c r="AL354" t="s">
        <v>78</v>
      </c>
      <c r="AM354" t="str">
        <f t="shared" si="89"/>
        <v>Completed</v>
      </c>
      <c r="AN354">
        <v>8</v>
      </c>
      <c r="AO354">
        <v>2025</v>
      </c>
      <c r="AP354" t="s">
        <v>79</v>
      </c>
    </row>
    <row r="355" spans="1:42">
      <c r="A355" t="s">
        <v>1828</v>
      </c>
      <c r="B355" s="3" t="s">
        <v>1829</v>
      </c>
      <c r="C355" s="3">
        <v>45709</v>
      </c>
      <c r="D355" t="s">
        <v>1216</v>
      </c>
      <c r="E355" s="3">
        <v>45715</v>
      </c>
      <c r="F355" t="s">
        <v>1830</v>
      </c>
      <c r="G355" t="s">
        <v>113</v>
      </c>
      <c r="H355" t="str">
        <f t="shared" si="75"/>
        <v>Ananya Rao</v>
      </c>
      <c r="I355" t="s">
        <v>71</v>
      </c>
      <c r="J355" t="str">
        <f t="shared" si="76"/>
        <v>Consumer</v>
      </c>
      <c r="K355" t="s">
        <v>8</v>
      </c>
      <c r="L355" t="str">
        <f t="shared" si="77"/>
        <v>North</v>
      </c>
      <c r="M355" t="s">
        <v>72</v>
      </c>
      <c r="N355" t="str">
        <f t="shared" si="78"/>
        <v>Rajasthan</v>
      </c>
      <c r="O355" t="s">
        <v>73</v>
      </c>
      <c r="P355" t="str">
        <f t="shared" si="79"/>
        <v>Jaipur</v>
      </c>
      <c r="Q355" t="s">
        <v>22</v>
      </c>
      <c r="R355" t="str">
        <f t="shared" si="80"/>
        <v>Office Supplies</v>
      </c>
      <c r="S355" t="s">
        <v>96</v>
      </c>
      <c r="T355" t="str">
        <f t="shared" si="81"/>
        <v>Art</v>
      </c>
      <c r="U355" t="s">
        <v>1831</v>
      </c>
      <c r="V355" t="str">
        <f t="shared" si="82"/>
        <v>Prime Art 978</v>
      </c>
      <c r="W355" t="s">
        <v>90</v>
      </c>
      <c r="X355" t="str">
        <f t="shared" si="83"/>
        <v>Same Day</v>
      </c>
      <c r="Y355">
        <v>6</v>
      </c>
      <c r="Z355">
        <v>9</v>
      </c>
      <c r="AA355">
        <v>1431.67</v>
      </c>
      <c r="AB355">
        <v>0.2</v>
      </c>
      <c r="AC355">
        <f t="shared" si="84"/>
        <v>0.2</v>
      </c>
      <c r="AD355">
        <v>10308.02</v>
      </c>
      <c r="AE355">
        <f t="shared" si="85"/>
        <v>10308.024</v>
      </c>
      <c r="AF355">
        <v>5822.31</v>
      </c>
      <c r="AG355">
        <v>4485.71</v>
      </c>
      <c r="AH355">
        <f t="shared" si="86"/>
        <v>4485.714</v>
      </c>
      <c r="AI355">
        <f t="shared" si="87"/>
        <v>0.435167205664248</v>
      </c>
      <c r="AJ355" t="s">
        <v>77</v>
      </c>
      <c r="AK355" t="str">
        <f t="shared" si="88"/>
        <v>Paid</v>
      </c>
      <c r="AL355" t="s">
        <v>78</v>
      </c>
      <c r="AM355" t="str">
        <f t="shared" si="89"/>
        <v>Completed</v>
      </c>
      <c r="AN355">
        <v>2</v>
      </c>
      <c r="AO355">
        <v>2025</v>
      </c>
      <c r="AP355" t="s">
        <v>79</v>
      </c>
    </row>
    <row r="356" spans="1:42">
      <c r="A356" t="s">
        <v>1832</v>
      </c>
      <c r="B356" s="3" t="s">
        <v>185</v>
      </c>
      <c r="C356" s="3">
        <v>45653</v>
      </c>
      <c r="D356" t="s">
        <v>1833</v>
      </c>
      <c r="E356" s="3">
        <v>45657</v>
      </c>
      <c r="F356" t="s">
        <v>1834</v>
      </c>
      <c r="G356" t="s">
        <v>411</v>
      </c>
      <c r="H356" t="str">
        <f t="shared" si="75"/>
        <v>Kabir Singh</v>
      </c>
      <c r="I356" t="s">
        <v>1835</v>
      </c>
      <c r="J356" t="str">
        <f t="shared" si="76"/>
        <v>Corporate</v>
      </c>
      <c r="K356" t="s">
        <v>8</v>
      </c>
      <c r="L356" t="str">
        <f t="shared" si="77"/>
        <v>North</v>
      </c>
      <c r="M356" t="s">
        <v>194</v>
      </c>
      <c r="N356" t="str">
        <f t="shared" si="78"/>
        <v>Punjab</v>
      </c>
      <c r="O356" t="s">
        <v>195</v>
      </c>
      <c r="P356" t="str">
        <f t="shared" si="79"/>
        <v>Ludhiana</v>
      </c>
      <c r="Q356" t="s">
        <v>19</v>
      </c>
      <c r="R356" t="str">
        <f t="shared" si="80"/>
        <v>Furniture</v>
      </c>
      <c r="S356" t="s">
        <v>106</v>
      </c>
      <c r="T356" t="str">
        <f t="shared" si="81"/>
        <v>Furnishings</v>
      </c>
      <c r="U356" t="s">
        <v>1836</v>
      </c>
      <c r="V356" t="str">
        <f t="shared" si="82"/>
        <v>Classic Furnishings 498</v>
      </c>
      <c r="W356" t="s">
        <v>108</v>
      </c>
      <c r="X356" t="str">
        <f t="shared" si="83"/>
        <v>Standard Class</v>
      </c>
      <c r="Y356">
        <v>4</v>
      </c>
      <c r="Z356">
        <v>6</v>
      </c>
      <c r="AA356">
        <v>3346.78</v>
      </c>
      <c r="AB356">
        <v>-0.06</v>
      </c>
      <c r="AC356">
        <f t="shared" si="84"/>
        <v>0</v>
      </c>
      <c r="AD356">
        <v>20080.68</v>
      </c>
      <c r="AE356">
        <f t="shared" si="85"/>
        <v>20080.68</v>
      </c>
      <c r="AF356">
        <v>12908.84</v>
      </c>
      <c r="AG356">
        <v>7171.84</v>
      </c>
      <c r="AH356">
        <f t="shared" si="86"/>
        <v>7171.84</v>
      </c>
      <c r="AI356">
        <f t="shared" si="87"/>
        <v>0.357151251850037</v>
      </c>
      <c r="AJ356" t="s">
        <v>177</v>
      </c>
      <c r="AK356" t="str">
        <f t="shared" si="88"/>
        <v>Pending</v>
      </c>
      <c r="AL356" t="s">
        <v>118</v>
      </c>
      <c r="AM356" t="str">
        <f t="shared" si="89"/>
        <v>Cancelled</v>
      </c>
      <c r="AN356">
        <v>12</v>
      </c>
      <c r="AO356">
        <v>2024</v>
      </c>
      <c r="AP356" t="s">
        <v>222</v>
      </c>
    </row>
    <row r="357" spans="1:42">
      <c r="A357" t="s">
        <v>1837</v>
      </c>
      <c r="B357" s="3" t="s">
        <v>1838</v>
      </c>
      <c r="C357" s="3">
        <v>45424</v>
      </c>
      <c r="D357" t="s">
        <v>1839</v>
      </c>
      <c r="E357" s="3">
        <v>45421</v>
      </c>
      <c r="F357" t="s">
        <v>1840</v>
      </c>
      <c r="G357" t="s">
        <v>182</v>
      </c>
      <c r="H357" t="str">
        <f t="shared" si="75"/>
        <v>Priya Menon</v>
      </c>
      <c r="I357" t="s">
        <v>147</v>
      </c>
      <c r="J357" t="str">
        <f t="shared" si="76"/>
        <v>Corporate</v>
      </c>
      <c r="K357" t="s">
        <v>11</v>
      </c>
      <c r="L357" t="str">
        <f t="shared" si="77"/>
        <v>West</v>
      </c>
      <c r="M357" t="s">
        <v>72</v>
      </c>
      <c r="N357" t="str">
        <f t="shared" si="78"/>
        <v>Rajasthan</v>
      </c>
      <c r="O357" t="s">
        <v>175</v>
      </c>
      <c r="P357" t="str">
        <f t="shared" si="79"/>
        <v>Udaipur</v>
      </c>
      <c r="Q357" t="s">
        <v>19</v>
      </c>
      <c r="R357" t="str">
        <f t="shared" si="80"/>
        <v>Furniture</v>
      </c>
      <c r="S357" t="s">
        <v>88</v>
      </c>
      <c r="T357" t="str">
        <f t="shared" si="81"/>
        <v>Tables</v>
      </c>
      <c r="U357" t="s">
        <v>1841</v>
      </c>
      <c r="V357" t="str">
        <f t="shared" si="82"/>
        <v>Max Tables 829</v>
      </c>
      <c r="W357" t="s">
        <v>108</v>
      </c>
      <c r="X357" t="str">
        <f t="shared" si="83"/>
        <v>Standard Class</v>
      </c>
      <c r="Y357">
        <v>-3</v>
      </c>
      <c r="Z357">
        <v>5</v>
      </c>
      <c r="AA357">
        <v>3203.48</v>
      </c>
      <c r="AB357">
        <v>0</v>
      </c>
      <c r="AC357">
        <f t="shared" si="84"/>
        <v>0</v>
      </c>
      <c r="AD357">
        <v>16017.4</v>
      </c>
      <c r="AE357">
        <f t="shared" si="85"/>
        <v>16017.4</v>
      </c>
      <c r="AF357">
        <v>9557.8</v>
      </c>
      <c r="AG357">
        <v>6459.6</v>
      </c>
      <c r="AH357">
        <f t="shared" si="86"/>
        <v>6459.6</v>
      </c>
      <c r="AI357">
        <f t="shared" si="87"/>
        <v>0.403286426011712</v>
      </c>
      <c r="AJ357" t="s">
        <v>177</v>
      </c>
      <c r="AK357" t="str">
        <f t="shared" si="88"/>
        <v>Pending</v>
      </c>
      <c r="AL357" t="s">
        <v>118</v>
      </c>
      <c r="AM357" t="str">
        <f t="shared" si="89"/>
        <v>Cancelled</v>
      </c>
      <c r="AN357">
        <v>5</v>
      </c>
      <c r="AO357">
        <v>2024</v>
      </c>
      <c r="AP357" t="s">
        <v>253</v>
      </c>
    </row>
    <row r="358" spans="1:42">
      <c r="A358" t="s">
        <v>1842</v>
      </c>
      <c r="B358" s="3" t="s">
        <v>1843</v>
      </c>
      <c r="C358" s="3">
        <v>45835</v>
      </c>
      <c r="D358" t="s">
        <v>1844</v>
      </c>
      <c r="E358" s="3">
        <v>45837</v>
      </c>
      <c r="F358" t="s">
        <v>1845</v>
      </c>
      <c r="G358" t="s">
        <v>220</v>
      </c>
      <c r="H358" t="str">
        <f t="shared" si="75"/>
        <v>Rohan Mehta</v>
      </c>
      <c r="I358" t="s">
        <v>154</v>
      </c>
      <c r="J358" t="str">
        <f t="shared" si="76"/>
        <v>Home Office</v>
      </c>
      <c r="K358" t="s">
        <v>10</v>
      </c>
      <c r="L358" t="str">
        <f t="shared" si="77"/>
        <v>South</v>
      </c>
      <c r="M358" t="s">
        <v>104</v>
      </c>
      <c r="N358" t="str">
        <f t="shared" si="78"/>
        <v>Telangana</v>
      </c>
      <c r="O358" t="s">
        <v>105</v>
      </c>
      <c r="P358" t="str">
        <f t="shared" si="79"/>
        <v>Hyderabad</v>
      </c>
      <c r="Q358" t="s">
        <v>19</v>
      </c>
      <c r="R358" t="str">
        <f t="shared" si="80"/>
        <v>Furniture</v>
      </c>
      <c r="S358" t="s">
        <v>116</v>
      </c>
      <c r="T358" t="str">
        <f t="shared" si="81"/>
        <v>Chairs</v>
      </c>
      <c r="U358" t="s">
        <v>1846</v>
      </c>
      <c r="V358" t="str">
        <f t="shared" si="82"/>
        <v>Eco Chairs 346</v>
      </c>
      <c r="W358" t="s">
        <v>98</v>
      </c>
      <c r="X358" t="str">
        <f t="shared" si="83"/>
        <v>First Class</v>
      </c>
      <c r="Y358">
        <v>2</v>
      </c>
      <c r="Z358">
        <v>5</v>
      </c>
      <c r="AA358">
        <v>621.7</v>
      </c>
      <c r="AB358">
        <v>0.2</v>
      </c>
      <c r="AC358">
        <f t="shared" si="84"/>
        <v>0.2</v>
      </c>
      <c r="AD358">
        <v>2486.8</v>
      </c>
      <c r="AE358">
        <f t="shared" si="85"/>
        <v>2486.8</v>
      </c>
      <c r="AF358">
        <v>2131.73</v>
      </c>
      <c r="AG358">
        <v>355.07</v>
      </c>
      <c r="AH358">
        <f t="shared" si="86"/>
        <v>355.07</v>
      </c>
      <c r="AI358">
        <f t="shared" si="87"/>
        <v>0.142781888370597</v>
      </c>
      <c r="AJ358" t="s">
        <v>177</v>
      </c>
      <c r="AK358" t="str">
        <f t="shared" si="88"/>
        <v>Pending</v>
      </c>
      <c r="AL358" t="s">
        <v>164</v>
      </c>
      <c r="AM358" t="str">
        <f t="shared" si="89"/>
        <v>Returned</v>
      </c>
      <c r="AN358">
        <v>6</v>
      </c>
      <c r="AO358">
        <v>2025</v>
      </c>
      <c r="AP358" t="s">
        <v>79</v>
      </c>
    </row>
    <row r="359" spans="1:42">
      <c r="A359" t="s">
        <v>1847</v>
      </c>
      <c r="B359" s="3" t="s">
        <v>237</v>
      </c>
      <c r="C359" s="3">
        <v>45678</v>
      </c>
      <c r="D359" t="s">
        <v>1848</v>
      </c>
      <c r="E359" s="3">
        <v>45686</v>
      </c>
      <c r="F359" t="s">
        <v>1849</v>
      </c>
      <c r="G359" t="s">
        <v>84</v>
      </c>
      <c r="H359" t="str">
        <f t="shared" si="75"/>
        <v>Mira Das</v>
      </c>
      <c r="I359" t="s">
        <v>154</v>
      </c>
      <c r="J359" t="str">
        <f t="shared" si="76"/>
        <v>Home Office</v>
      </c>
      <c r="K359" t="s">
        <v>10</v>
      </c>
      <c r="L359" t="str">
        <f t="shared" si="77"/>
        <v>South</v>
      </c>
      <c r="M359" t="s">
        <v>139</v>
      </c>
      <c r="N359" t="str">
        <f t="shared" si="78"/>
        <v>Andhra Pradesh</v>
      </c>
      <c r="O359" t="s">
        <v>140</v>
      </c>
      <c r="P359" t="str">
        <f t="shared" si="79"/>
        <v>Vijayawada</v>
      </c>
      <c r="Q359" t="s">
        <v>24</v>
      </c>
      <c r="R359" t="str">
        <f t="shared" si="80"/>
        <v>Technology</v>
      </c>
      <c r="S359" t="s">
        <v>427</v>
      </c>
      <c r="T359" t="str">
        <f t="shared" si="81"/>
        <v>Machines</v>
      </c>
      <c r="U359" t="s">
        <v>1850</v>
      </c>
      <c r="V359" t="str">
        <f t="shared" si="82"/>
        <v>Max Machines 770</v>
      </c>
      <c r="W359" t="s">
        <v>76</v>
      </c>
      <c r="X359" t="str">
        <f t="shared" si="83"/>
        <v>Second Class</v>
      </c>
      <c r="Y359">
        <v>8</v>
      </c>
      <c r="Z359">
        <v>8</v>
      </c>
      <c r="AA359">
        <v>546.13</v>
      </c>
      <c r="AB359">
        <v>0</v>
      </c>
      <c r="AC359">
        <f t="shared" si="84"/>
        <v>0</v>
      </c>
      <c r="AD359">
        <v>4369.04</v>
      </c>
      <c r="AE359">
        <f t="shared" si="85"/>
        <v>4369.04</v>
      </c>
      <c r="AF359">
        <v>3716.88</v>
      </c>
      <c r="AG359">
        <v>652.16</v>
      </c>
      <c r="AH359">
        <f t="shared" si="86"/>
        <v>652.16</v>
      </c>
      <c r="AI359">
        <f t="shared" si="87"/>
        <v>0.149268489187556</v>
      </c>
      <c r="AJ359" t="s">
        <v>77</v>
      </c>
      <c r="AK359" t="str">
        <f t="shared" si="88"/>
        <v>Paid</v>
      </c>
      <c r="AL359" t="s">
        <v>118</v>
      </c>
      <c r="AM359" t="str">
        <f t="shared" si="89"/>
        <v>Cancelled</v>
      </c>
      <c r="AN359">
        <v>1</v>
      </c>
      <c r="AO359">
        <v>2025</v>
      </c>
      <c r="AP359" t="s">
        <v>79</v>
      </c>
    </row>
    <row r="360" spans="1:42">
      <c r="A360" t="s">
        <v>1851</v>
      </c>
      <c r="B360" s="3" t="s">
        <v>1852</v>
      </c>
      <c r="C360" s="3">
        <v>45878</v>
      </c>
      <c r="D360" t="s">
        <v>1853</v>
      </c>
      <c r="E360" s="3">
        <v>45876</v>
      </c>
      <c r="F360" t="s">
        <v>1854</v>
      </c>
      <c r="G360" t="s">
        <v>123</v>
      </c>
      <c r="H360" t="str">
        <f t="shared" si="75"/>
        <v>Vikram Iyer</v>
      </c>
      <c r="I360" t="s">
        <v>154</v>
      </c>
      <c r="J360" t="str">
        <f t="shared" si="76"/>
        <v>Home Office</v>
      </c>
      <c r="K360" t="s">
        <v>11</v>
      </c>
      <c r="L360" t="str">
        <f t="shared" si="77"/>
        <v>West</v>
      </c>
      <c r="M360" t="s">
        <v>278</v>
      </c>
      <c r="N360" t="str">
        <f t="shared" si="78"/>
        <v>Gujarat</v>
      </c>
      <c r="O360" t="s">
        <v>279</v>
      </c>
      <c r="P360" t="str">
        <f t="shared" si="79"/>
        <v>Ahmedabad</v>
      </c>
      <c r="Q360" t="s">
        <v>19</v>
      </c>
      <c r="R360" t="str">
        <f t="shared" si="80"/>
        <v>Furniture</v>
      </c>
      <c r="S360" t="s">
        <v>245</v>
      </c>
      <c r="T360" t="str">
        <f t="shared" si="81"/>
        <v>Bookcases</v>
      </c>
      <c r="U360" t="s">
        <v>1855</v>
      </c>
      <c r="V360" t="str">
        <f t="shared" si="82"/>
        <v>Smart Bookcases 134</v>
      </c>
      <c r="W360" t="s">
        <v>76</v>
      </c>
      <c r="X360" t="str">
        <f t="shared" si="83"/>
        <v>Second Class</v>
      </c>
      <c r="Y360">
        <v>-2</v>
      </c>
      <c r="Z360">
        <v>5</v>
      </c>
      <c r="AA360">
        <v>1253.92</v>
      </c>
      <c r="AB360">
        <v>0.05</v>
      </c>
      <c r="AC360">
        <f t="shared" si="84"/>
        <v>0.05</v>
      </c>
      <c r="AD360">
        <v>5956.12</v>
      </c>
      <c r="AE360">
        <f t="shared" si="85"/>
        <v>5956.12</v>
      </c>
      <c r="AF360">
        <v>4379.18</v>
      </c>
      <c r="AG360">
        <v>1576.94</v>
      </c>
      <c r="AH360">
        <f t="shared" si="86"/>
        <v>1576.94</v>
      </c>
      <c r="AI360">
        <f t="shared" si="87"/>
        <v>0.264759608604259</v>
      </c>
      <c r="AJ360" t="s">
        <v>177</v>
      </c>
      <c r="AK360" t="str">
        <f t="shared" si="88"/>
        <v>Pending</v>
      </c>
      <c r="AL360" t="s">
        <v>164</v>
      </c>
      <c r="AM360" t="str">
        <f t="shared" si="89"/>
        <v>Returned</v>
      </c>
      <c r="AN360">
        <v>8</v>
      </c>
      <c r="AO360">
        <v>2025</v>
      </c>
      <c r="AP360" t="s">
        <v>253</v>
      </c>
    </row>
    <row r="361" spans="1:42">
      <c r="A361" t="s">
        <v>1856</v>
      </c>
      <c r="B361" s="3" t="s">
        <v>1680</v>
      </c>
      <c r="C361" s="3">
        <v>45525</v>
      </c>
      <c r="D361" t="s">
        <v>1857</v>
      </c>
      <c r="E361" s="3">
        <v>45526</v>
      </c>
      <c r="F361" t="s">
        <v>1858</v>
      </c>
      <c r="G361" t="s">
        <v>95</v>
      </c>
      <c r="H361" t="str">
        <f t="shared" si="75"/>
        <v>Isha Nair</v>
      </c>
      <c r="I361" t="s">
        <v>71</v>
      </c>
      <c r="J361" t="str">
        <f t="shared" si="76"/>
        <v>Consumer</v>
      </c>
      <c r="K361" t="s">
        <v>10</v>
      </c>
      <c r="L361" t="str">
        <f t="shared" si="77"/>
        <v>South</v>
      </c>
      <c r="M361" t="s">
        <v>382</v>
      </c>
      <c r="N361" t="str">
        <f t="shared" si="78"/>
        <v>Tamil Nadu</v>
      </c>
      <c r="O361" t="s">
        <v>383</v>
      </c>
      <c r="P361" t="str">
        <f t="shared" si="79"/>
        <v>Chennai</v>
      </c>
      <c r="Q361" t="s">
        <v>24</v>
      </c>
      <c r="R361" t="str">
        <f t="shared" si="80"/>
        <v>Technology</v>
      </c>
      <c r="S361" t="s">
        <v>265</v>
      </c>
      <c r="T361" t="str">
        <f t="shared" si="81"/>
        <v>Phones</v>
      </c>
      <c r="U361" t="s">
        <v>1859</v>
      </c>
      <c r="V361" t="str">
        <f t="shared" si="82"/>
        <v>Classic Phones 586</v>
      </c>
      <c r="W361" t="s">
        <v>90</v>
      </c>
      <c r="X361" t="str">
        <f t="shared" si="83"/>
        <v>Same Day</v>
      </c>
      <c r="Y361">
        <v>1</v>
      </c>
      <c r="Z361">
        <v>9</v>
      </c>
      <c r="AA361">
        <v>616.96</v>
      </c>
      <c r="AB361">
        <v>0.1</v>
      </c>
      <c r="AC361">
        <f t="shared" si="84"/>
        <v>0.1</v>
      </c>
      <c r="AD361">
        <v>4997.38</v>
      </c>
      <c r="AE361">
        <f t="shared" si="85"/>
        <v>4997.376</v>
      </c>
      <c r="AF361">
        <v>2971.39</v>
      </c>
      <c r="AG361">
        <v>2025.99</v>
      </c>
      <c r="AH361">
        <f t="shared" si="86"/>
        <v>2025.986</v>
      </c>
      <c r="AI361">
        <f t="shared" si="87"/>
        <v>0.40540995914656</v>
      </c>
      <c r="AJ361" t="s">
        <v>77</v>
      </c>
      <c r="AK361" t="str">
        <f t="shared" si="88"/>
        <v>Paid</v>
      </c>
      <c r="AL361" t="s">
        <v>78</v>
      </c>
      <c r="AM361" t="str">
        <f t="shared" si="89"/>
        <v>Completed</v>
      </c>
      <c r="AN361">
        <v>8</v>
      </c>
      <c r="AO361">
        <v>2024</v>
      </c>
      <c r="AP361" t="s">
        <v>79</v>
      </c>
    </row>
    <row r="362" spans="1:42">
      <c r="A362" t="s">
        <v>1860</v>
      </c>
      <c r="B362" s="3" t="s">
        <v>1861</v>
      </c>
      <c r="C362" s="3">
        <v>45460</v>
      </c>
      <c r="D362" t="s">
        <v>1862</v>
      </c>
      <c r="E362" s="3">
        <v>45463</v>
      </c>
      <c r="F362" t="s">
        <v>1863</v>
      </c>
      <c r="G362" t="s">
        <v>208</v>
      </c>
      <c r="H362" t="str">
        <f t="shared" si="75"/>
        <v>Sneha Kapoor</v>
      </c>
      <c r="I362" t="s">
        <v>85</v>
      </c>
      <c r="J362" t="str">
        <f t="shared" si="76"/>
        <v>Small Business</v>
      </c>
      <c r="K362" t="s">
        <v>11</v>
      </c>
      <c r="L362" t="str">
        <f t="shared" si="77"/>
        <v>West</v>
      </c>
      <c r="M362" t="s">
        <v>278</v>
      </c>
      <c r="N362" t="str">
        <f t="shared" si="78"/>
        <v>Gujarat</v>
      </c>
      <c r="O362" t="s">
        <v>279</v>
      </c>
      <c r="P362" t="str">
        <f t="shared" si="79"/>
        <v>Ahmedabad</v>
      </c>
      <c r="Q362" t="s">
        <v>19</v>
      </c>
      <c r="R362" t="str">
        <f t="shared" si="80"/>
        <v>Furniture</v>
      </c>
      <c r="S362" t="s">
        <v>106</v>
      </c>
      <c r="T362" t="str">
        <f t="shared" si="81"/>
        <v>Furnishings</v>
      </c>
      <c r="U362" t="s">
        <v>1864</v>
      </c>
      <c r="V362" t="str">
        <f t="shared" si="82"/>
        <v>Elite Furnishings 634</v>
      </c>
      <c r="W362" t="s">
        <v>108</v>
      </c>
      <c r="X362" t="str">
        <f t="shared" si="83"/>
        <v>Standard Class</v>
      </c>
      <c r="Y362">
        <v>3</v>
      </c>
      <c r="Z362">
        <v>7</v>
      </c>
      <c r="AA362">
        <v>3155.25</v>
      </c>
      <c r="AB362">
        <v>0.2</v>
      </c>
      <c r="AC362">
        <f t="shared" si="84"/>
        <v>0.2</v>
      </c>
      <c r="AD362">
        <v>17669.4</v>
      </c>
      <c r="AE362">
        <f t="shared" si="85"/>
        <v>17669.4</v>
      </c>
      <c r="AF362">
        <v>13718.77</v>
      </c>
      <c r="AG362">
        <v>3950.63</v>
      </c>
      <c r="AH362">
        <f t="shared" si="86"/>
        <v>3950.63</v>
      </c>
      <c r="AI362">
        <f t="shared" si="87"/>
        <v>0.223585973490894</v>
      </c>
      <c r="AJ362" t="s">
        <v>163</v>
      </c>
      <c r="AK362" t="str">
        <f t="shared" si="88"/>
        <v>Refunded</v>
      </c>
      <c r="AL362" t="s">
        <v>118</v>
      </c>
      <c r="AM362" t="str">
        <f t="shared" si="89"/>
        <v>Cancelled</v>
      </c>
      <c r="AN362">
        <v>6</v>
      </c>
      <c r="AO362">
        <v>2024</v>
      </c>
      <c r="AP362" t="s">
        <v>79</v>
      </c>
    </row>
    <row r="363" spans="1:42">
      <c r="A363" t="s">
        <v>1865</v>
      </c>
      <c r="B363" s="3" t="s">
        <v>1210</v>
      </c>
      <c r="C363" s="3">
        <v>45748</v>
      </c>
      <c r="D363" t="s">
        <v>1866</v>
      </c>
      <c r="E363" s="3">
        <v>45749</v>
      </c>
      <c r="F363" t="s">
        <v>1867</v>
      </c>
      <c r="G363" t="s">
        <v>220</v>
      </c>
      <c r="H363" t="str">
        <f t="shared" si="75"/>
        <v>Rohan Mehta</v>
      </c>
      <c r="I363" t="s">
        <v>147</v>
      </c>
      <c r="J363" t="str">
        <f t="shared" si="76"/>
        <v>Corporate</v>
      </c>
      <c r="K363" t="s">
        <v>7</v>
      </c>
      <c r="L363" t="str">
        <f t="shared" si="77"/>
        <v>East</v>
      </c>
      <c r="M363" t="s">
        <v>86</v>
      </c>
      <c r="N363" t="str">
        <f t="shared" si="78"/>
        <v>Odisha</v>
      </c>
      <c r="O363" t="s">
        <v>87</v>
      </c>
      <c r="P363" t="str">
        <f t="shared" si="79"/>
        <v>Bhubaneswar</v>
      </c>
      <c r="Q363" t="s">
        <v>19</v>
      </c>
      <c r="R363" t="str">
        <f t="shared" si="80"/>
        <v>Furniture</v>
      </c>
      <c r="S363" t="s">
        <v>116</v>
      </c>
      <c r="T363" t="str">
        <f t="shared" si="81"/>
        <v>Chairs</v>
      </c>
      <c r="U363" t="s">
        <v>1868</v>
      </c>
      <c r="V363" t="str">
        <f t="shared" si="82"/>
        <v>Basic Chairs 113</v>
      </c>
      <c r="W363" t="s">
        <v>76</v>
      </c>
      <c r="X363" t="str">
        <f t="shared" si="83"/>
        <v>Second Class</v>
      </c>
      <c r="Y363">
        <v>1</v>
      </c>
      <c r="Z363">
        <v>9</v>
      </c>
      <c r="AA363">
        <v>4165.58</v>
      </c>
      <c r="AB363">
        <v>0.05</v>
      </c>
      <c r="AC363">
        <f t="shared" si="84"/>
        <v>0.05</v>
      </c>
      <c r="AD363">
        <v>35615.71</v>
      </c>
      <c r="AE363">
        <f t="shared" si="85"/>
        <v>35615.709</v>
      </c>
      <c r="AF363">
        <v>20389.71</v>
      </c>
      <c r="AG363">
        <v>15226</v>
      </c>
      <c r="AH363">
        <f t="shared" si="86"/>
        <v>15225.999</v>
      </c>
      <c r="AI363">
        <f t="shared" si="87"/>
        <v>0.427507957233141</v>
      </c>
      <c r="AJ363" t="s">
        <v>177</v>
      </c>
      <c r="AK363" t="str">
        <f t="shared" si="88"/>
        <v>Pending</v>
      </c>
      <c r="AL363" t="s">
        <v>164</v>
      </c>
      <c r="AM363" t="str">
        <f t="shared" si="89"/>
        <v>Returned</v>
      </c>
      <c r="AN363">
        <v>4</v>
      </c>
      <c r="AO363">
        <v>2025</v>
      </c>
      <c r="AP363" t="s">
        <v>79</v>
      </c>
    </row>
    <row r="364" spans="1:42">
      <c r="A364" t="s">
        <v>1869</v>
      </c>
      <c r="B364" s="3" t="s">
        <v>1870</v>
      </c>
      <c r="C364" s="3">
        <v>45527</v>
      </c>
      <c r="D364" t="s">
        <v>1871</v>
      </c>
      <c r="E364" s="3">
        <v>45529</v>
      </c>
      <c r="F364" t="s">
        <v>1872</v>
      </c>
      <c r="G364" t="s">
        <v>123</v>
      </c>
      <c r="H364" t="str">
        <f t="shared" si="75"/>
        <v>Vikram Iyer</v>
      </c>
      <c r="I364" t="s">
        <v>71</v>
      </c>
      <c r="J364" t="str">
        <f t="shared" si="76"/>
        <v>Consumer</v>
      </c>
      <c r="K364" t="s">
        <v>11</v>
      </c>
      <c r="L364" t="str">
        <f t="shared" si="77"/>
        <v>West</v>
      </c>
      <c r="M364" t="s">
        <v>292</v>
      </c>
      <c r="N364" t="str">
        <f t="shared" si="78"/>
        <v>Goa</v>
      </c>
      <c r="O364" t="s">
        <v>293</v>
      </c>
      <c r="P364" t="str">
        <f t="shared" si="79"/>
        <v>Panaji</v>
      </c>
      <c r="Q364" t="s">
        <v>24</v>
      </c>
      <c r="R364" t="str">
        <f t="shared" si="80"/>
        <v>Technology</v>
      </c>
      <c r="S364" t="s">
        <v>427</v>
      </c>
      <c r="T364" t="str">
        <f t="shared" si="81"/>
        <v>Machines</v>
      </c>
      <c r="U364" t="s">
        <v>1873</v>
      </c>
      <c r="V364" t="str">
        <f t="shared" si="82"/>
        <v>Elite Machines 216</v>
      </c>
      <c r="W364" t="s">
        <v>90</v>
      </c>
      <c r="X364" t="str">
        <f t="shared" si="83"/>
        <v>Same Day</v>
      </c>
      <c r="Y364">
        <v>2</v>
      </c>
      <c r="Z364">
        <v>4</v>
      </c>
      <c r="AA364">
        <v>491.16</v>
      </c>
      <c r="AB364">
        <v>0.05</v>
      </c>
      <c r="AC364">
        <f t="shared" si="84"/>
        <v>0.05</v>
      </c>
      <c r="AD364">
        <v>1866.41</v>
      </c>
      <c r="AE364">
        <f t="shared" si="85"/>
        <v>1866.408</v>
      </c>
      <c r="AF364">
        <v>1576.49</v>
      </c>
      <c r="AG364">
        <v>289.92</v>
      </c>
      <c r="AH364">
        <f t="shared" si="86"/>
        <v>289.918</v>
      </c>
      <c r="AI364">
        <f t="shared" si="87"/>
        <v>0.155334739242438</v>
      </c>
      <c r="AJ364" t="s">
        <v>77</v>
      </c>
      <c r="AK364" t="str">
        <f t="shared" si="88"/>
        <v>Paid</v>
      </c>
      <c r="AL364" t="s">
        <v>78</v>
      </c>
      <c r="AM364" t="str">
        <f t="shared" si="89"/>
        <v>Completed</v>
      </c>
      <c r="AN364">
        <v>8</v>
      </c>
      <c r="AO364">
        <v>2024</v>
      </c>
      <c r="AP364" t="s">
        <v>79</v>
      </c>
    </row>
    <row r="365" spans="1:42">
      <c r="A365" t="s">
        <v>1874</v>
      </c>
      <c r="B365" s="3" t="s">
        <v>1875</v>
      </c>
      <c r="C365" s="3">
        <v>45845</v>
      </c>
      <c r="D365" t="s">
        <v>1876</v>
      </c>
      <c r="E365" s="3">
        <v>45850</v>
      </c>
      <c r="F365" t="s">
        <v>1877</v>
      </c>
      <c r="G365" t="s">
        <v>251</v>
      </c>
      <c r="H365" t="str">
        <f t="shared" si="75"/>
        <v>Diya Patel</v>
      </c>
      <c r="I365" t="s">
        <v>147</v>
      </c>
      <c r="J365" t="str">
        <f t="shared" si="76"/>
        <v>Corporate</v>
      </c>
      <c r="K365" t="s">
        <v>7</v>
      </c>
      <c r="L365" t="str">
        <f t="shared" si="77"/>
        <v>East</v>
      </c>
      <c r="M365" t="s">
        <v>160</v>
      </c>
      <c r="N365" t="str">
        <f t="shared" si="78"/>
        <v>West Bengal</v>
      </c>
      <c r="O365" t="s">
        <v>161</v>
      </c>
      <c r="P365" t="str">
        <f t="shared" si="79"/>
        <v>Kolkata</v>
      </c>
      <c r="Q365" t="s">
        <v>19</v>
      </c>
      <c r="R365" t="str">
        <f t="shared" si="80"/>
        <v>Furniture</v>
      </c>
      <c r="S365" t="s">
        <v>88</v>
      </c>
      <c r="T365" t="str">
        <f t="shared" si="81"/>
        <v>Tables</v>
      </c>
      <c r="U365" t="s">
        <v>1878</v>
      </c>
      <c r="V365" t="str">
        <f t="shared" si="82"/>
        <v>Smart Tables 943</v>
      </c>
      <c r="W365" t="s">
        <v>76</v>
      </c>
      <c r="X365" t="str">
        <f t="shared" si="83"/>
        <v>Second Class</v>
      </c>
      <c r="Y365">
        <v>5</v>
      </c>
      <c r="Z365">
        <v>5</v>
      </c>
      <c r="AA365">
        <v>1831.37</v>
      </c>
      <c r="AB365">
        <v>0.25</v>
      </c>
      <c r="AC365">
        <f t="shared" si="84"/>
        <v>0.25</v>
      </c>
      <c r="AD365">
        <v>6867.64</v>
      </c>
      <c r="AE365">
        <f t="shared" si="85"/>
        <v>6867.6375</v>
      </c>
      <c r="AF365">
        <v>5205.36</v>
      </c>
      <c r="AG365">
        <v>1662.28</v>
      </c>
      <c r="AH365">
        <f t="shared" si="86"/>
        <v>1662.2775</v>
      </c>
      <c r="AI365">
        <f t="shared" si="87"/>
        <v>0.242045026401</v>
      </c>
      <c r="AJ365" t="s">
        <v>77</v>
      </c>
      <c r="AK365" t="str">
        <f t="shared" si="88"/>
        <v>Paid</v>
      </c>
      <c r="AL365" t="s">
        <v>78</v>
      </c>
      <c r="AM365" t="str">
        <f t="shared" si="89"/>
        <v>Completed</v>
      </c>
      <c r="AN365">
        <v>7</v>
      </c>
      <c r="AO365">
        <v>2025</v>
      </c>
      <c r="AP365" t="s">
        <v>79</v>
      </c>
    </row>
    <row r="366" spans="1:42">
      <c r="A366" t="s">
        <v>1879</v>
      </c>
      <c r="B366" s="3" t="s">
        <v>1880</v>
      </c>
      <c r="C366" s="3">
        <v>45737</v>
      </c>
      <c r="D366" t="s">
        <v>1881</v>
      </c>
      <c r="E366" s="3">
        <v>45740</v>
      </c>
      <c r="F366" t="s">
        <v>1882</v>
      </c>
      <c r="G366" t="s">
        <v>202</v>
      </c>
      <c r="H366" t="str">
        <f t="shared" si="75"/>
        <v>Aarav Sharma</v>
      </c>
      <c r="I366" t="s">
        <v>85</v>
      </c>
      <c r="J366" t="str">
        <f t="shared" si="76"/>
        <v>Small Business</v>
      </c>
      <c r="K366" t="s">
        <v>10</v>
      </c>
      <c r="L366" t="str">
        <f t="shared" si="77"/>
        <v>South</v>
      </c>
      <c r="M366" t="s">
        <v>139</v>
      </c>
      <c r="N366" t="str">
        <f t="shared" si="78"/>
        <v>Andhra Pradesh</v>
      </c>
      <c r="O366" t="s">
        <v>140</v>
      </c>
      <c r="P366" t="str">
        <f t="shared" si="79"/>
        <v>Vijayawada</v>
      </c>
      <c r="Q366" t="s">
        <v>19</v>
      </c>
      <c r="R366" t="str">
        <f t="shared" si="80"/>
        <v>Furniture</v>
      </c>
      <c r="S366" t="s">
        <v>116</v>
      </c>
      <c r="T366" t="str">
        <f t="shared" si="81"/>
        <v>Chairs</v>
      </c>
      <c r="U366" t="s">
        <v>1883</v>
      </c>
      <c r="V366" t="str">
        <f t="shared" si="82"/>
        <v>Prime Chairs 101</v>
      </c>
      <c r="W366" t="s">
        <v>76</v>
      </c>
      <c r="X366" t="str">
        <f t="shared" si="83"/>
        <v>Second Class</v>
      </c>
      <c r="Y366">
        <v>3</v>
      </c>
      <c r="Z366">
        <v>5</v>
      </c>
      <c r="AA366">
        <v>1239.15</v>
      </c>
      <c r="AB366">
        <v>0</v>
      </c>
      <c r="AC366">
        <f t="shared" si="84"/>
        <v>0</v>
      </c>
      <c r="AD366">
        <v>6195.75</v>
      </c>
      <c r="AE366">
        <f t="shared" si="85"/>
        <v>6195.75</v>
      </c>
      <c r="AF366">
        <v>3967.02</v>
      </c>
      <c r="AG366">
        <v>2228.73</v>
      </c>
      <c r="AH366">
        <f t="shared" si="86"/>
        <v>2228.73</v>
      </c>
      <c r="AI366">
        <f t="shared" si="87"/>
        <v>0.359719162329016</v>
      </c>
      <c r="AJ366" t="s">
        <v>77</v>
      </c>
      <c r="AK366" t="str">
        <f t="shared" si="88"/>
        <v>Paid</v>
      </c>
      <c r="AL366" t="s">
        <v>78</v>
      </c>
      <c r="AM366" t="str">
        <f t="shared" si="89"/>
        <v>Completed</v>
      </c>
      <c r="AN366">
        <v>3</v>
      </c>
      <c r="AO366">
        <v>2025</v>
      </c>
      <c r="AP366" t="s">
        <v>79</v>
      </c>
    </row>
    <row r="367" spans="1:42">
      <c r="A367" t="s">
        <v>1884</v>
      </c>
      <c r="B367" s="3" t="s">
        <v>1885</v>
      </c>
      <c r="C367" s="3">
        <v>45458</v>
      </c>
      <c r="D367" t="s">
        <v>1886</v>
      </c>
      <c r="E367" s="3">
        <v>45464</v>
      </c>
      <c r="F367" t="s">
        <v>1887</v>
      </c>
      <c r="G367" t="s">
        <v>146</v>
      </c>
      <c r="H367" t="str">
        <f t="shared" si="75"/>
        <v>Aditi Sen</v>
      </c>
      <c r="I367" t="s">
        <v>147</v>
      </c>
      <c r="J367" t="str">
        <f t="shared" si="76"/>
        <v>Corporate</v>
      </c>
      <c r="K367" t="s">
        <v>11</v>
      </c>
      <c r="L367" t="str">
        <f t="shared" si="77"/>
        <v>West</v>
      </c>
      <c r="M367" t="s">
        <v>292</v>
      </c>
      <c r="N367" t="str">
        <f t="shared" si="78"/>
        <v>Goa</v>
      </c>
      <c r="O367" t="s">
        <v>293</v>
      </c>
      <c r="P367" t="str">
        <f t="shared" si="79"/>
        <v>Panaji</v>
      </c>
      <c r="Q367" t="s">
        <v>24</v>
      </c>
      <c r="R367" t="str">
        <f t="shared" si="80"/>
        <v>Technology</v>
      </c>
      <c r="S367" t="s">
        <v>126</v>
      </c>
      <c r="T367" t="str">
        <f t="shared" si="81"/>
        <v>Accessories</v>
      </c>
      <c r="U367" t="s">
        <v>1888</v>
      </c>
      <c r="V367" t="str">
        <f t="shared" si="82"/>
        <v>Basic Accessories 774</v>
      </c>
      <c r="W367" t="s">
        <v>98</v>
      </c>
      <c r="X367" t="str">
        <f t="shared" si="83"/>
        <v>First Class</v>
      </c>
      <c r="Y367">
        <v>6</v>
      </c>
      <c r="Z367">
        <v>8</v>
      </c>
      <c r="AA367">
        <v>1706.4</v>
      </c>
      <c r="AC367">
        <f t="shared" si="84"/>
        <v>0</v>
      </c>
      <c r="AD367">
        <v>12968.64</v>
      </c>
      <c r="AE367">
        <f t="shared" si="85"/>
        <v>13651.2</v>
      </c>
      <c r="AF367">
        <v>10119.61</v>
      </c>
      <c r="AG367">
        <v>2849.03</v>
      </c>
      <c r="AH367">
        <f t="shared" si="86"/>
        <v>3531.59</v>
      </c>
      <c r="AI367">
        <f t="shared" si="87"/>
        <v>0.258701799109236</v>
      </c>
      <c r="AJ367" t="s">
        <v>77</v>
      </c>
      <c r="AK367" t="str">
        <f t="shared" si="88"/>
        <v>Paid</v>
      </c>
      <c r="AL367" t="s">
        <v>78</v>
      </c>
      <c r="AM367" t="str">
        <f t="shared" si="89"/>
        <v>Completed</v>
      </c>
      <c r="AN367">
        <v>6</v>
      </c>
      <c r="AO367">
        <v>2024</v>
      </c>
      <c r="AP367" t="s">
        <v>222</v>
      </c>
    </row>
    <row r="368" spans="1:42">
      <c r="A368" t="s">
        <v>1889</v>
      </c>
      <c r="B368" s="3" t="s">
        <v>1890</v>
      </c>
      <c r="C368" s="3">
        <v>45673</v>
      </c>
      <c r="D368" t="s">
        <v>1891</v>
      </c>
      <c r="E368" s="3">
        <v>45679</v>
      </c>
      <c r="F368" t="s">
        <v>1892</v>
      </c>
      <c r="G368" t="s">
        <v>208</v>
      </c>
      <c r="H368" t="str">
        <f t="shared" si="75"/>
        <v>Sneha Kapoor</v>
      </c>
      <c r="I368" t="s">
        <v>147</v>
      </c>
      <c r="J368" t="str">
        <f t="shared" si="76"/>
        <v>Corporate</v>
      </c>
      <c r="K368" t="s">
        <v>8</v>
      </c>
      <c r="L368" t="str">
        <f t="shared" si="77"/>
        <v>North</v>
      </c>
      <c r="M368" t="s">
        <v>72</v>
      </c>
      <c r="N368" t="str">
        <f t="shared" si="78"/>
        <v>Rajasthan</v>
      </c>
      <c r="O368" t="s">
        <v>73</v>
      </c>
      <c r="P368" t="str">
        <f t="shared" si="79"/>
        <v>Jaipur</v>
      </c>
      <c r="Q368" t="s">
        <v>19</v>
      </c>
      <c r="R368" t="str">
        <f t="shared" si="80"/>
        <v>Furniture</v>
      </c>
      <c r="S368" t="s">
        <v>88</v>
      </c>
      <c r="T368" t="str">
        <f t="shared" si="81"/>
        <v>Tables</v>
      </c>
      <c r="U368" t="s">
        <v>1893</v>
      </c>
      <c r="V368" t="str">
        <f t="shared" si="82"/>
        <v>Max Tables 478</v>
      </c>
      <c r="W368" t="s">
        <v>90</v>
      </c>
      <c r="X368" t="str">
        <f t="shared" si="83"/>
        <v>Same Day</v>
      </c>
      <c r="Y368">
        <v>6</v>
      </c>
      <c r="Z368">
        <v>2</v>
      </c>
      <c r="AA368">
        <v>4418.28</v>
      </c>
      <c r="AB368">
        <v>0</v>
      </c>
      <c r="AC368">
        <f t="shared" si="84"/>
        <v>0</v>
      </c>
      <c r="AD368">
        <v>8836.56</v>
      </c>
      <c r="AE368">
        <f t="shared" si="85"/>
        <v>8836.56</v>
      </c>
      <c r="AF368">
        <v>5867.75</v>
      </c>
      <c r="AG368">
        <v>2968.81</v>
      </c>
      <c r="AH368">
        <f t="shared" si="86"/>
        <v>2968.81</v>
      </c>
      <c r="AI368">
        <f t="shared" si="87"/>
        <v>0.33596897435201</v>
      </c>
      <c r="AJ368" t="s">
        <v>77</v>
      </c>
      <c r="AK368" t="str">
        <f t="shared" si="88"/>
        <v>Paid</v>
      </c>
      <c r="AL368" t="s">
        <v>78</v>
      </c>
      <c r="AM368" t="str">
        <f t="shared" si="89"/>
        <v>Completed</v>
      </c>
      <c r="AN368">
        <v>1</v>
      </c>
      <c r="AO368">
        <v>2025</v>
      </c>
      <c r="AP368" t="s">
        <v>79</v>
      </c>
    </row>
    <row r="369" spans="1:42">
      <c r="A369" t="s">
        <v>1894</v>
      </c>
      <c r="B369" s="3" t="s">
        <v>1028</v>
      </c>
      <c r="C369" s="3">
        <v>45366</v>
      </c>
      <c r="D369" t="s">
        <v>1895</v>
      </c>
      <c r="E369" s="3">
        <v>45367</v>
      </c>
      <c r="F369" t="s">
        <v>1896</v>
      </c>
      <c r="G369" t="s">
        <v>220</v>
      </c>
      <c r="H369" t="str">
        <f t="shared" si="75"/>
        <v>Rohan Mehta</v>
      </c>
      <c r="I369" t="s">
        <v>71</v>
      </c>
      <c r="J369" t="str">
        <f t="shared" si="76"/>
        <v>Consumer</v>
      </c>
      <c r="K369" t="s">
        <v>8</v>
      </c>
      <c r="L369" t="str">
        <f t="shared" si="77"/>
        <v>North</v>
      </c>
      <c r="M369" t="s">
        <v>552</v>
      </c>
      <c r="N369" t="str">
        <f t="shared" si="78"/>
        <v>Delhi</v>
      </c>
      <c r="O369" t="s">
        <v>553</v>
      </c>
      <c r="P369" t="str">
        <f t="shared" si="79"/>
        <v>New Delhi</v>
      </c>
      <c r="Q369" t="s">
        <v>22</v>
      </c>
      <c r="R369" t="str">
        <f t="shared" si="80"/>
        <v>Office Supplies</v>
      </c>
      <c r="S369" t="s">
        <v>96</v>
      </c>
      <c r="T369" t="str">
        <f t="shared" si="81"/>
        <v>Art</v>
      </c>
      <c r="U369" t="s">
        <v>1897</v>
      </c>
      <c r="V369" t="str">
        <f t="shared" si="82"/>
        <v>Eco Art 646</v>
      </c>
      <c r="W369" t="s">
        <v>108</v>
      </c>
      <c r="X369" t="str">
        <f t="shared" si="83"/>
        <v>Standard Class</v>
      </c>
      <c r="Y369">
        <v>1</v>
      </c>
      <c r="Z369">
        <v>6</v>
      </c>
      <c r="AA369">
        <v>3815.09</v>
      </c>
      <c r="AB369">
        <v>0.15</v>
      </c>
      <c r="AC369">
        <f t="shared" si="84"/>
        <v>0.15</v>
      </c>
      <c r="AD369">
        <v>19456.96</v>
      </c>
      <c r="AE369">
        <f t="shared" si="85"/>
        <v>19456.959</v>
      </c>
      <c r="AF369">
        <v>14520.06</v>
      </c>
      <c r="AG369">
        <v>4936.9</v>
      </c>
      <c r="AH369">
        <f t="shared" si="86"/>
        <v>4936.899</v>
      </c>
      <c r="AI369">
        <f t="shared" si="87"/>
        <v>0.25373435797444</v>
      </c>
      <c r="AJ369" t="s">
        <v>241</v>
      </c>
      <c r="AK369" t="str">
        <f t="shared" si="88"/>
        <v>Failed</v>
      </c>
      <c r="AL369" t="s">
        <v>118</v>
      </c>
      <c r="AM369" t="str">
        <f t="shared" si="89"/>
        <v>Cancelled</v>
      </c>
      <c r="AN369">
        <v>3</v>
      </c>
      <c r="AO369">
        <v>2024</v>
      </c>
      <c r="AP369" t="s">
        <v>79</v>
      </c>
    </row>
    <row r="370" spans="1:42">
      <c r="A370" t="s">
        <v>1898</v>
      </c>
      <c r="B370" s="3" t="s">
        <v>1324</v>
      </c>
      <c r="C370" s="3">
        <v>45844</v>
      </c>
      <c r="D370" t="s">
        <v>1324</v>
      </c>
      <c r="E370" s="3">
        <v>45844</v>
      </c>
      <c r="F370" t="s">
        <v>1899</v>
      </c>
      <c r="G370" t="s">
        <v>202</v>
      </c>
      <c r="H370" t="str">
        <f t="shared" si="75"/>
        <v>Aarav Sharma</v>
      </c>
      <c r="I370" t="s">
        <v>154</v>
      </c>
      <c r="J370" t="str">
        <f t="shared" si="76"/>
        <v>Home Office</v>
      </c>
      <c r="K370" t="s">
        <v>8</v>
      </c>
      <c r="L370" t="str">
        <f t="shared" si="77"/>
        <v>North</v>
      </c>
      <c r="M370" t="s">
        <v>72</v>
      </c>
      <c r="N370" t="str">
        <f t="shared" si="78"/>
        <v>Rajasthan</v>
      </c>
      <c r="O370" t="s">
        <v>73</v>
      </c>
      <c r="P370" t="str">
        <f t="shared" si="79"/>
        <v>Jaipur</v>
      </c>
      <c r="Q370" t="s">
        <v>24</v>
      </c>
      <c r="R370" t="str">
        <f t="shared" si="80"/>
        <v>Technology</v>
      </c>
      <c r="S370" t="s">
        <v>126</v>
      </c>
      <c r="T370" t="str">
        <f t="shared" si="81"/>
        <v>Accessories</v>
      </c>
      <c r="U370" t="s">
        <v>1900</v>
      </c>
      <c r="V370" t="str">
        <f t="shared" si="82"/>
        <v>Prime Accessories 962</v>
      </c>
      <c r="W370" t="s">
        <v>90</v>
      </c>
      <c r="X370" t="str">
        <f t="shared" si="83"/>
        <v>Same Day</v>
      </c>
      <c r="Y370">
        <v>0</v>
      </c>
      <c r="Z370">
        <v>9</v>
      </c>
      <c r="AA370">
        <v>243.19</v>
      </c>
      <c r="AB370">
        <v>0.05</v>
      </c>
      <c r="AC370">
        <f t="shared" si="84"/>
        <v>0.05</v>
      </c>
      <c r="AD370">
        <v>2079.27</v>
      </c>
      <c r="AE370">
        <f t="shared" si="85"/>
        <v>2079.2745</v>
      </c>
      <c r="AF370">
        <v>1512.17</v>
      </c>
      <c r="AG370">
        <v>567.1</v>
      </c>
      <c r="AH370">
        <f t="shared" si="86"/>
        <v>567.1045</v>
      </c>
      <c r="AI370">
        <f t="shared" si="87"/>
        <v>0.272741525950518</v>
      </c>
      <c r="AJ370" t="s">
        <v>163</v>
      </c>
      <c r="AK370" t="str">
        <f t="shared" si="88"/>
        <v>Refunded</v>
      </c>
      <c r="AL370" t="s">
        <v>164</v>
      </c>
      <c r="AM370" t="str">
        <f t="shared" si="89"/>
        <v>Returned</v>
      </c>
      <c r="AN370">
        <v>7</v>
      </c>
      <c r="AO370">
        <v>2025</v>
      </c>
      <c r="AP370" t="s">
        <v>79</v>
      </c>
    </row>
    <row r="371" spans="1:42">
      <c r="A371" t="s">
        <v>1901</v>
      </c>
      <c r="B371" s="3" t="s">
        <v>1585</v>
      </c>
      <c r="C371" s="3">
        <v>45680</v>
      </c>
      <c r="D371" t="s">
        <v>232</v>
      </c>
      <c r="E371" s="3">
        <v>45687</v>
      </c>
      <c r="F371" t="s">
        <v>1902</v>
      </c>
      <c r="G371" t="s">
        <v>182</v>
      </c>
      <c r="H371" t="str">
        <f t="shared" si="75"/>
        <v>Priya Menon</v>
      </c>
      <c r="I371" t="s">
        <v>71</v>
      </c>
      <c r="J371" t="str">
        <f t="shared" si="76"/>
        <v>Consumer</v>
      </c>
      <c r="K371" t="s">
        <v>8</v>
      </c>
      <c r="L371" t="str">
        <f t="shared" si="77"/>
        <v>North</v>
      </c>
      <c r="M371" t="s">
        <v>552</v>
      </c>
      <c r="N371" t="str">
        <f t="shared" si="78"/>
        <v>Delhi</v>
      </c>
      <c r="O371" t="s">
        <v>553</v>
      </c>
      <c r="P371" t="str">
        <f t="shared" si="79"/>
        <v>New Delhi</v>
      </c>
      <c r="Q371" t="s">
        <v>22</v>
      </c>
      <c r="R371" t="str">
        <f t="shared" si="80"/>
        <v>Office Supplies</v>
      </c>
      <c r="S371" t="s">
        <v>148</v>
      </c>
      <c r="T371" t="str">
        <f t="shared" si="81"/>
        <v>Labels</v>
      </c>
      <c r="U371" t="s">
        <v>1903</v>
      </c>
      <c r="V371" t="str">
        <f t="shared" si="82"/>
        <v>Eco Labels 646</v>
      </c>
      <c r="W371" t="s">
        <v>108</v>
      </c>
      <c r="X371" t="str">
        <f t="shared" si="83"/>
        <v>Standard Class</v>
      </c>
      <c r="Y371">
        <v>7</v>
      </c>
      <c r="Z371">
        <v>9</v>
      </c>
      <c r="AA371">
        <v>1169.37</v>
      </c>
      <c r="AB371">
        <v>0.15</v>
      </c>
      <c r="AC371">
        <f t="shared" si="84"/>
        <v>0.15</v>
      </c>
      <c r="AD371">
        <v>8945.68</v>
      </c>
      <c r="AE371">
        <f t="shared" si="85"/>
        <v>8945.6805</v>
      </c>
      <c r="AF371">
        <v>6740.35</v>
      </c>
      <c r="AG371">
        <v>2205.33</v>
      </c>
      <c r="AH371">
        <f t="shared" si="86"/>
        <v>2205.3305</v>
      </c>
      <c r="AI371">
        <f t="shared" si="87"/>
        <v>0.246524621575742</v>
      </c>
      <c r="AJ371" t="s">
        <v>77</v>
      </c>
      <c r="AK371" t="str">
        <f t="shared" si="88"/>
        <v>Paid</v>
      </c>
      <c r="AL371" t="s">
        <v>78</v>
      </c>
      <c r="AM371" t="str">
        <f t="shared" si="89"/>
        <v>Completed</v>
      </c>
      <c r="AN371">
        <v>1</v>
      </c>
      <c r="AO371">
        <v>2025</v>
      </c>
      <c r="AP371" t="s">
        <v>79</v>
      </c>
    </row>
    <row r="372" spans="1:42">
      <c r="A372" t="s">
        <v>1904</v>
      </c>
      <c r="B372" s="3" t="s">
        <v>1905</v>
      </c>
      <c r="C372" s="3">
        <v>45519</v>
      </c>
      <c r="D372" t="s">
        <v>1680</v>
      </c>
      <c r="E372" s="3">
        <v>45525</v>
      </c>
      <c r="F372" t="s">
        <v>1906</v>
      </c>
      <c r="G372" t="s">
        <v>113</v>
      </c>
      <c r="H372" t="str">
        <f t="shared" si="75"/>
        <v>Ananya Rao</v>
      </c>
      <c r="I372" t="s">
        <v>85</v>
      </c>
      <c r="J372" t="str">
        <f t="shared" si="76"/>
        <v>Small Business</v>
      </c>
      <c r="K372" t="s">
        <v>11</v>
      </c>
      <c r="L372" t="str">
        <f t="shared" si="77"/>
        <v>West</v>
      </c>
      <c r="M372" t="s">
        <v>72</v>
      </c>
      <c r="N372" t="str">
        <f t="shared" si="78"/>
        <v>Rajasthan</v>
      </c>
      <c r="O372" t="s">
        <v>175</v>
      </c>
      <c r="P372" t="str">
        <f t="shared" si="79"/>
        <v>Udaipur</v>
      </c>
      <c r="Q372" t="s">
        <v>24</v>
      </c>
      <c r="R372" t="str">
        <f t="shared" si="80"/>
        <v>Technology</v>
      </c>
      <c r="S372" t="s">
        <v>133</v>
      </c>
      <c r="T372" t="str">
        <f t="shared" si="81"/>
        <v>Copiers</v>
      </c>
      <c r="U372" t="s">
        <v>1907</v>
      </c>
      <c r="V372" t="str">
        <f t="shared" si="82"/>
        <v>Classic Copiers 505</v>
      </c>
      <c r="W372" t="s">
        <v>98</v>
      </c>
      <c r="X372" t="str">
        <f t="shared" si="83"/>
        <v>First Class</v>
      </c>
      <c r="Y372">
        <v>6</v>
      </c>
      <c r="Z372">
        <v>7</v>
      </c>
      <c r="AA372">
        <v>2333.81</v>
      </c>
      <c r="AB372">
        <v>0.2</v>
      </c>
      <c r="AC372">
        <f t="shared" si="84"/>
        <v>0.2</v>
      </c>
      <c r="AD372">
        <v>13069.34</v>
      </c>
      <c r="AE372">
        <f t="shared" si="85"/>
        <v>13069.336</v>
      </c>
      <c r="AF372">
        <v>8768.59</v>
      </c>
      <c r="AG372">
        <v>4300.75</v>
      </c>
      <c r="AH372">
        <f t="shared" si="86"/>
        <v>4300.746</v>
      </c>
      <c r="AI372">
        <f t="shared" si="87"/>
        <v>0.329071499883391</v>
      </c>
      <c r="AJ372" t="s">
        <v>77</v>
      </c>
      <c r="AK372" t="str">
        <f t="shared" si="88"/>
        <v>Paid</v>
      </c>
      <c r="AL372" t="s">
        <v>78</v>
      </c>
      <c r="AM372" t="str">
        <f t="shared" si="89"/>
        <v>Completed</v>
      </c>
      <c r="AN372">
        <v>8</v>
      </c>
      <c r="AO372">
        <v>2024</v>
      </c>
      <c r="AP372" t="s">
        <v>79</v>
      </c>
    </row>
    <row r="373" spans="1:42">
      <c r="A373" t="s">
        <v>1908</v>
      </c>
      <c r="B373" s="3" t="s">
        <v>1109</v>
      </c>
      <c r="C373" s="3">
        <v>45313</v>
      </c>
      <c r="D373" t="s">
        <v>1909</v>
      </c>
      <c r="E373" s="3">
        <v>45315</v>
      </c>
      <c r="F373" t="s">
        <v>1910</v>
      </c>
      <c r="G373" t="s">
        <v>251</v>
      </c>
      <c r="H373" t="str">
        <f t="shared" si="75"/>
        <v>Diya Patel</v>
      </c>
      <c r="I373" t="s">
        <v>154</v>
      </c>
      <c r="J373" t="str">
        <f t="shared" si="76"/>
        <v>Home Office</v>
      </c>
      <c r="K373" t="s">
        <v>11</v>
      </c>
      <c r="L373" t="str">
        <f t="shared" si="77"/>
        <v>West</v>
      </c>
      <c r="M373" t="s">
        <v>114</v>
      </c>
      <c r="N373" t="str">
        <f t="shared" si="78"/>
        <v>Maharashtra</v>
      </c>
      <c r="O373" t="s">
        <v>115</v>
      </c>
      <c r="P373" t="str">
        <f t="shared" si="79"/>
        <v>Mumbai</v>
      </c>
      <c r="Q373" t="s">
        <v>22</v>
      </c>
      <c r="R373" t="str">
        <f t="shared" si="80"/>
        <v>Office Supplies</v>
      </c>
      <c r="S373" t="s">
        <v>96</v>
      </c>
      <c r="T373" t="str">
        <f t="shared" si="81"/>
        <v>Art</v>
      </c>
      <c r="U373" t="s">
        <v>1911</v>
      </c>
      <c r="V373" t="str">
        <f t="shared" si="82"/>
        <v>Pro Art 906</v>
      </c>
      <c r="W373" t="s">
        <v>108</v>
      </c>
      <c r="X373" t="str">
        <f t="shared" si="83"/>
        <v>Standard Class</v>
      </c>
      <c r="Y373">
        <v>2</v>
      </c>
      <c r="Z373">
        <v>6</v>
      </c>
      <c r="AA373">
        <v>1026.06</v>
      </c>
      <c r="AC373">
        <f t="shared" si="84"/>
        <v>0</v>
      </c>
      <c r="AD373">
        <v>4617.27</v>
      </c>
      <c r="AE373">
        <f t="shared" si="85"/>
        <v>6156.36</v>
      </c>
      <c r="AF373">
        <v>2981.94</v>
      </c>
      <c r="AG373">
        <v>1635.33</v>
      </c>
      <c r="AH373">
        <f t="shared" si="86"/>
        <v>3174.42</v>
      </c>
      <c r="AI373">
        <f t="shared" si="87"/>
        <v>0.515632614077149</v>
      </c>
      <c r="AJ373" t="s">
        <v>163</v>
      </c>
      <c r="AK373" t="str">
        <f t="shared" si="88"/>
        <v>Refunded</v>
      </c>
      <c r="AL373" t="s">
        <v>118</v>
      </c>
      <c r="AM373" t="str">
        <f t="shared" si="89"/>
        <v>Cancelled</v>
      </c>
      <c r="AN373">
        <v>1</v>
      </c>
      <c r="AO373">
        <v>2024</v>
      </c>
      <c r="AP373" t="s">
        <v>222</v>
      </c>
    </row>
    <row r="374" spans="1:42">
      <c r="A374" t="s">
        <v>1912</v>
      </c>
      <c r="B374" s="3" t="s">
        <v>1913</v>
      </c>
      <c r="C374" s="3">
        <v>45885</v>
      </c>
      <c r="D374" t="s">
        <v>971</v>
      </c>
      <c r="E374" s="3">
        <v>45887</v>
      </c>
      <c r="F374" t="s">
        <v>1020</v>
      </c>
      <c r="G374" t="s">
        <v>411</v>
      </c>
      <c r="H374" t="str">
        <f t="shared" si="75"/>
        <v>Kabir Singh</v>
      </c>
      <c r="I374" t="s">
        <v>71</v>
      </c>
      <c r="J374" t="str">
        <f t="shared" si="76"/>
        <v>Consumer</v>
      </c>
      <c r="K374" t="s">
        <v>7</v>
      </c>
      <c r="L374" t="str">
        <f t="shared" si="77"/>
        <v>East</v>
      </c>
      <c r="M374" t="s">
        <v>354</v>
      </c>
      <c r="N374" t="str">
        <f t="shared" si="78"/>
        <v>Jharkhand</v>
      </c>
      <c r="O374" t="s">
        <v>355</v>
      </c>
      <c r="P374" t="str">
        <f t="shared" si="79"/>
        <v>Ranchi</v>
      </c>
      <c r="Q374" t="s">
        <v>19</v>
      </c>
      <c r="R374" t="str">
        <f t="shared" si="80"/>
        <v>Furniture</v>
      </c>
      <c r="S374" t="s">
        <v>116</v>
      </c>
      <c r="T374" t="str">
        <f t="shared" si="81"/>
        <v>Chairs</v>
      </c>
      <c r="U374" t="s">
        <v>1914</v>
      </c>
      <c r="V374" t="str">
        <f t="shared" si="82"/>
        <v>Max Chairs 181</v>
      </c>
      <c r="W374" t="s">
        <v>90</v>
      </c>
      <c r="X374" t="str">
        <f t="shared" si="83"/>
        <v>Same Day</v>
      </c>
      <c r="Y374">
        <v>2</v>
      </c>
      <c r="Z374">
        <v>5</v>
      </c>
      <c r="AA374">
        <v>1530.36</v>
      </c>
      <c r="AB374">
        <v>0</v>
      </c>
      <c r="AC374">
        <f t="shared" si="84"/>
        <v>0</v>
      </c>
      <c r="AD374">
        <v>7651.8</v>
      </c>
      <c r="AE374">
        <f t="shared" si="85"/>
        <v>7651.8</v>
      </c>
      <c r="AF374">
        <v>5171.78</v>
      </c>
      <c r="AG374">
        <v>2480.02</v>
      </c>
      <c r="AH374">
        <f t="shared" si="86"/>
        <v>2480.02</v>
      </c>
      <c r="AI374">
        <f t="shared" si="87"/>
        <v>0.324109359889176</v>
      </c>
      <c r="AJ374" t="s">
        <v>77</v>
      </c>
      <c r="AK374" t="str">
        <f t="shared" si="88"/>
        <v>Paid</v>
      </c>
      <c r="AL374" t="s">
        <v>78</v>
      </c>
      <c r="AM374" t="str">
        <f t="shared" si="89"/>
        <v>Completed</v>
      </c>
      <c r="AN374">
        <v>8</v>
      </c>
      <c r="AO374">
        <v>2025</v>
      </c>
      <c r="AP374" t="s">
        <v>79</v>
      </c>
    </row>
    <row r="375" spans="1:42">
      <c r="A375" t="s">
        <v>1915</v>
      </c>
      <c r="B375" s="3" t="s">
        <v>1916</v>
      </c>
      <c r="C375" s="3">
        <v>45760</v>
      </c>
      <c r="D375" t="s">
        <v>1916</v>
      </c>
      <c r="E375" s="3">
        <v>45760</v>
      </c>
      <c r="F375" t="s">
        <v>1917</v>
      </c>
      <c r="G375" t="s">
        <v>208</v>
      </c>
      <c r="H375" t="str">
        <f t="shared" si="75"/>
        <v>Sneha Kapoor</v>
      </c>
      <c r="I375" t="s">
        <v>85</v>
      </c>
      <c r="J375" t="str">
        <f t="shared" si="76"/>
        <v>Small Business</v>
      </c>
      <c r="K375" t="s">
        <v>8</v>
      </c>
      <c r="L375" t="str">
        <f t="shared" si="77"/>
        <v>North</v>
      </c>
      <c r="M375" t="s">
        <v>214</v>
      </c>
      <c r="N375" t="str">
        <f t="shared" si="78"/>
        <v>Uttar Pradesh</v>
      </c>
      <c r="O375" t="s">
        <v>215</v>
      </c>
      <c r="P375" t="str">
        <f t="shared" si="79"/>
        <v>Noida</v>
      </c>
      <c r="Q375" t="s">
        <v>22</v>
      </c>
      <c r="R375" t="str">
        <f t="shared" si="80"/>
        <v>Office Supplies</v>
      </c>
      <c r="S375" t="s">
        <v>196</v>
      </c>
      <c r="T375" t="str">
        <f t="shared" si="81"/>
        <v>Storage</v>
      </c>
      <c r="U375" t="s">
        <v>1918</v>
      </c>
      <c r="V375" t="str">
        <f t="shared" si="82"/>
        <v>Prime Storage 951</v>
      </c>
      <c r="W375" t="s">
        <v>76</v>
      </c>
      <c r="X375" t="str">
        <f t="shared" si="83"/>
        <v>Second Class</v>
      </c>
      <c r="Y375">
        <v>0</v>
      </c>
      <c r="Z375">
        <v>9</v>
      </c>
      <c r="AA375">
        <v>1118.68</v>
      </c>
      <c r="AB375">
        <v>0</v>
      </c>
      <c r="AC375">
        <f t="shared" si="84"/>
        <v>0</v>
      </c>
      <c r="AD375">
        <v>10068.12</v>
      </c>
      <c r="AE375">
        <f t="shared" si="85"/>
        <v>10068.12</v>
      </c>
      <c r="AF375">
        <v>8595.37</v>
      </c>
      <c r="AG375">
        <v>1472.75</v>
      </c>
      <c r="AH375">
        <f t="shared" si="86"/>
        <v>1472.75</v>
      </c>
      <c r="AI375">
        <f t="shared" si="87"/>
        <v>0.146278550513899</v>
      </c>
      <c r="AJ375" t="s">
        <v>77</v>
      </c>
      <c r="AK375" t="str">
        <f t="shared" si="88"/>
        <v>Paid</v>
      </c>
      <c r="AL375" t="s">
        <v>78</v>
      </c>
      <c r="AM375" t="str">
        <f t="shared" si="89"/>
        <v>Completed</v>
      </c>
      <c r="AN375">
        <v>4</v>
      </c>
      <c r="AO375">
        <v>2025</v>
      </c>
      <c r="AP375" t="s">
        <v>79</v>
      </c>
    </row>
    <row r="376" spans="1:42">
      <c r="A376" t="s">
        <v>1919</v>
      </c>
      <c r="B376" s="3" t="s">
        <v>1920</v>
      </c>
      <c r="C376" s="3">
        <v>45715</v>
      </c>
      <c r="D376" t="s">
        <v>1921</v>
      </c>
      <c r="E376" s="3">
        <v>45716</v>
      </c>
      <c r="F376" t="s">
        <v>1922</v>
      </c>
      <c r="G376" t="s">
        <v>146</v>
      </c>
      <c r="H376" t="str">
        <f t="shared" si="75"/>
        <v>Aditi Sen</v>
      </c>
      <c r="I376" t="s">
        <v>85</v>
      </c>
      <c r="J376" t="str">
        <f t="shared" si="76"/>
        <v>Small Business</v>
      </c>
      <c r="K376" t="s">
        <v>8</v>
      </c>
      <c r="L376" t="str">
        <f t="shared" si="77"/>
        <v>North</v>
      </c>
      <c r="M376" t="s">
        <v>214</v>
      </c>
      <c r="N376" t="str">
        <f t="shared" si="78"/>
        <v>Uttar Pradesh</v>
      </c>
      <c r="O376" t="s">
        <v>215</v>
      </c>
      <c r="P376" t="str">
        <f t="shared" si="79"/>
        <v>Noida</v>
      </c>
      <c r="Q376" t="s">
        <v>22</v>
      </c>
      <c r="R376" t="str">
        <f t="shared" si="80"/>
        <v>Office Supplies</v>
      </c>
      <c r="S376" t="s">
        <v>148</v>
      </c>
      <c r="T376" t="str">
        <f t="shared" si="81"/>
        <v>Labels</v>
      </c>
      <c r="U376" t="s">
        <v>1923</v>
      </c>
      <c r="V376" t="str">
        <f t="shared" si="82"/>
        <v>Smart Labels 668</v>
      </c>
      <c r="W376" t="s">
        <v>108</v>
      </c>
      <c r="X376" t="str">
        <f t="shared" si="83"/>
        <v>Standard Class</v>
      </c>
      <c r="Y376">
        <v>1</v>
      </c>
      <c r="Z376">
        <v>6</v>
      </c>
      <c r="AA376">
        <v>2393.25</v>
      </c>
      <c r="AB376">
        <v>0</v>
      </c>
      <c r="AC376">
        <f t="shared" si="84"/>
        <v>0</v>
      </c>
      <c r="AD376">
        <v>14359.5</v>
      </c>
      <c r="AE376">
        <f t="shared" si="85"/>
        <v>14359.5</v>
      </c>
      <c r="AF376">
        <v>8117.71</v>
      </c>
      <c r="AG376">
        <v>6241.79</v>
      </c>
      <c r="AH376">
        <f t="shared" si="86"/>
        <v>6241.79</v>
      </c>
      <c r="AI376">
        <f t="shared" si="87"/>
        <v>0.434680176886382</v>
      </c>
      <c r="AJ376" t="s">
        <v>77</v>
      </c>
      <c r="AK376" t="str">
        <f t="shared" si="88"/>
        <v>Paid</v>
      </c>
      <c r="AL376" t="s">
        <v>78</v>
      </c>
      <c r="AM376" t="str">
        <f t="shared" si="89"/>
        <v>Completed</v>
      </c>
      <c r="AN376">
        <v>2</v>
      </c>
      <c r="AO376">
        <v>2025</v>
      </c>
      <c r="AP376" t="s">
        <v>79</v>
      </c>
    </row>
    <row r="377" spans="1:42">
      <c r="A377" t="s">
        <v>1924</v>
      </c>
      <c r="B377" s="3" t="s">
        <v>1925</v>
      </c>
      <c r="C377" s="3">
        <v>45657</v>
      </c>
      <c r="D377" t="s">
        <v>1926</v>
      </c>
      <c r="E377" s="3">
        <v>45661</v>
      </c>
      <c r="F377" t="s">
        <v>1927</v>
      </c>
      <c r="G377" t="s">
        <v>123</v>
      </c>
      <c r="H377" t="str">
        <f t="shared" si="75"/>
        <v>Vikram Iyer</v>
      </c>
      <c r="I377" t="s">
        <v>71</v>
      </c>
      <c r="J377" t="str">
        <f t="shared" si="76"/>
        <v>Consumer</v>
      </c>
      <c r="K377" t="s">
        <v>8</v>
      </c>
      <c r="L377" t="str">
        <f t="shared" si="77"/>
        <v>North</v>
      </c>
      <c r="M377" t="s">
        <v>552</v>
      </c>
      <c r="N377" t="str">
        <f t="shared" si="78"/>
        <v>Delhi</v>
      </c>
      <c r="O377" t="s">
        <v>553</v>
      </c>
      <c r="P377" t="str">
        <f t="shared" si="79"/>
        <v>New Delhi</v>
      </c>
      <c r="Q377" t="s">
        <v>19</v>
      </c>
      <c r="R377" t="str">
        <f t="shared" si="80"/>
        <v>Furniture</v>
      </c>
      <c r="S377" t="s">
        <v>116</v>
      </c>
      <c r="T377" t="str">
        <f t="shared" si="81"/>
        <v>Chairs</v>
      </c>
      <c r="U377" t="s">
        <v>1928</v>
      </c>
      <c r="V377" t="str">
        <f t="shared" si="82"/>
        <v>Pro Chairs 364</v>
      </c>
      <c r="W377" t="s">
        <v>90</v>
      </c>
      <c r="X377" t="str">
        <f t="shared" si="83"/>
        <v>Same Day</v>
      </c>
      <c r="Y377">
        <v>4</v>
      </c>
      <c r="Z377">
        <v>3</v>
      </c>
      <c r="AA377">
        <v>1166.61</v>
      </c>
      <c r="AB377">
        <v>0.25</v>
      </c>
      <c r="AC377">
        <f t="shared" si="84"/>
        <v>0.25</v>
      </c>
      <c r="AD377">
        <v>2624.87</v>
      </c>
      <c r="AE377">
        <f t="shared" si="85"/>
        <v>2624.8725</v>
      </c>
      <c r="AF377">
        <v>2253.88</v>
      </c>
      <c r="AG377">
        <v>370.99</v>
      </c>
      <c r="AH377">
        <f t="shared" si="86"/>
        <v>370.9925</v>
      </c>
      <c r="AI377">
        <f t="shared" si="87"/>
        <v>0.141337341147046</v>
      </c>
      <c r="AJ377" t="s">
        <v>77</v>
      </c>
      <c r="AK377" t="str">
        <f t="shared" si="88"/>
        <v>Paid</v>
      </c>
      <c r="AL377" t="s">
        <v>78</v>
      </c>
      <c r="AM377" t="str">
        <f t="shared" si="89"/>
        <v>Completed</v>
      </c>
      <c r="AN377">
        <v>12</v>
      </c>
      <c r="AO377">
        <v>2024</v>
      </c>
      <c r="AP377" t="s">
        <v>79</v>
      </c>
    </row>
    <row r="378" spans="1:42">
      <c r="A378" t="s">
        <v>1929</v>
      </c>
      <c r="B378" s="3" t="s">
        <v>1930</v>
      </c>
      <c r="C378" s="3">
        <v>45655</v>
      </c>
      <c r="D378" t="s">
        <v>1833</v>
      </c>
      <c r="E378" s="3">
        <v>45657</v>
      </c>
      <c r="F378" t="s">
        <v>1931</v>
      </c>
      <c r="G378" t="s">
        <v>95</v>
      </c>
      <c r="H378" t="str">
        <f t="shared" si="75"/>
        <v>Isha Nair</v>
      </c>
      <c r="I378" t="s">
        <v>85</v>
      </c>
      <c r="J378" t="str">
        <f t="shared" si="76"/>
        <v>Small Business</v>
      </c>
      <c r="K378" t="s">
        <v>7</v>
      </c>
      <c r="L378" t="str">
        <f t="shared" si="77"/>
        <v>East</v>
      </c>
      <c r="M378" t="s">
        <v>227</v>
      </c>
      <c r="N378" t="str">
        <f t="shared" si="78"/>
        <v>Bihar</v>
      </c>
      <c r="O378" t="s">
        <v>228</v>
      </c>
      <c r="P378" t="str">
        <f t="shared" si="79"/>
        <v>Patna</v>
      </c>
      <c r="Q378" t="s">
        <v>19</v>
      </c>
      <c r="R378" t="str">
        <f t="shared" si="80"/>
        <v>Furniture</v>
      </c>
      <c r="S378" t="s">
        <v>116</v>
      </c>
      <c r="T378" t="str">
        <f t="shared" si="81"/>
        <v>Chairs</v>
      </c>
      <c r="U378" t="s">
        <v>1932</v>
      </c>
      <c r="V378" t="str">
        <f t="shared" si="82"/>
        <v>Basic Chairs 248</v>
      </c>
      <c r="W378" t="s">
        <v>98</v>
      </c>
      <c r="X378" t="str">
        <f t="shared" si="83"/>
        <v>First Class</v>
      </c>
      <c r="Y378">
        <v>2</v>
      </c>
      <c r="Z378">
        <v>6</v>
      </c>
      <c r="AA378">
        <v>1844.78</v>
      </c>
      <c r="AB378">
        <v>0.2</v>
      </c>
      <c r="AC378">
        <f t="shared" si="84"/>
        <v>0.2</v>
      </c>
      <c r="AD378">
        <v>8854.94</v>
      </c>
      <c r="AE378">
        <f t="shared" si="85"/>
        <v>8854.944</v>
      </c>
      <c r="AF378">
        <v>7433.95</v>
      </c>
      <c r="AG378">
        <v>1420.99</v>
      </c>
      <c r="AH378">
        <f t="shared" si="86"/>
        <v>1420.994</v>
      </c>
      <c r="AI378">
        <f t="shared" si="87"/>
        <v>0.160474645576528</v>
      </c>
      <c r="AJ378" t="s">
        <v>77</v>
      </c>
      <c r="AK378" t="str">
        <f t="shared" si="88"/>
        <v>Paid</v>
      </c>
      <c r="AL378" t="s">
        <v>78</v>
      </c>
      <c r="AM378" t="str">
        <f t="shared" si="89"/>
        <v>Completed</v>
      </c>
      <c r="AN378">
        <v>12</v>
      </c>
      <c r="AO378">
        <v>2024</v>
      </c>
      <c r="AP378" t="s">
        <v>79</v>
      </c>
    </row>
    <row r="379" spans="1:42">
      <c r="A379" t="s">
        <v>1933</v>
      </c>
      <c r="B379" s="3" t="s">
        <v>1575</v>
      </c>
      <c r="C379" s="3">
        <v>45801</v>
      </c>
      <c r="D379" t="s">
        <v>1934</v>
      </c>
      <c r="E379" s="3">
        <v>45807</v>
      </c>
      <c r="F379" t="s">
        <v>1935</v>
      </c>
      <c r="G379" t="s">
        <v>411</v>
      </c>
      <c r="H379" t="str">
        <f t="shared" si="75"/>
        <v>Kabir Singh</v>
      </c>
      <c r="I379" t="s">
        <v>85</v>
      </c>
      <c r="J379" t="str">
        <f t="shared" si="76"/>
        <v>Small Business</v>
      </c>
      <c r="K379" t="s">
        <v>7</v>
      </c>
      <c r="L379" t="str">
        <f t="shared" si="77"/>
        <v>East</v>
      </c>
      <c r="M379" t="s">
        <v>86</v>
      </c>
      <c r="N379" t="str">
        <f t="shared" si="78"/>
        <v>Odisha</v>
      </c>
      <c r="O379" t="s">
        <v>87</v>
      </c>
      <c r="P379" t="str">
        <f t="shared" si="79"/>
        <v>Bhubaneswar</v>
      </c>
      <c r="Q379" t="s">
        <v>22</v>
      </c>
      <c r="R379" t="str">
        <f t="shared" si="80"/>
        <v>Office Supplies</v>
      </c>
      <c r="S379" t="s">
        <v>1936</v>
      </c>
      <c r="T379" t="str">
        <f t="shared" si="81"/>
        <v>Storage</v>
      </c>
      <c r="U379" t="s">
        <v>1937</v>
      </c>
      <c r="V379" t="str">
        <f t="shared" si="82"/>
        <v>Basic Storage 360</v>
      </c>
      <c r="W379" t="s">
        <v>90</v>
      </c>
      <c r="X379" t="str">
        <f t="shared" si="83"/>
        <v>Same Day</v>
      </c>
      <c r="Y379">
        <v>6</v>
      </c>
      <c r="Z379">
        <v>1</v>
      </c>
      <c r="AA379">
        <v>2564.74</v>
      </c>
      <c r="AB379">
        <v>0</v>
      </c>
      <c r="AC379">
        <f t="shared" si="84"/>
        <v>0</v>
      </c>
      <c r="AD379">
        <v>2564.74</v>
      </c>
      <c r="AE379">
        <f t="shared" si="85"/>
        <v>2564.74</v>
      </c>
      <c r="AF379">
        <v>1754.58</v>
      </c>
      <c r="AG379">
        <v>810.16</v>
      </c>
      <c r="AH379">
        <f t="shared" si="86"/>
        <v>810.16</v>
      </c>
      <c r="AI379">
        <f t="shared" si="87"/>
        <v>0.315883871269602</v>
      </c>
      <c r="AJ379" t="s">
        <v>77</v>
      </c>
      <c r="AK379" t="str">
        <f t="shared" si="88"/>
        <v>Paid</v>
      </c>
      <c r="AL379" t="s">
        <v>78</v>
      </c>
      <c r="AM379" t="str">
        <f t="shared" si="89"/>
        <v>Completed</v>
      </c>
      <c r="AN379">
        <v>5</v>
      </c>
      <c r="AO379">
        <v>2025</v>
      </c>
      <c r="AP379" t="s">
        <v>79</v>
      </c>
    </row>
    <row r="380" spans="1:42">
      <c r="A380" t="s">
        <v>1938</v>
      </c>
      <c r="B380" s="3" t="s">
        <v>1939</v>
      </c>
      <c r="C380" s="3">
        <v>45799</v>
      </c>
      <c r="D380" t="s">
        <v>1939</v>
      </c>
      <c r="E380" s="3">
        <v>45799</v>
      </c>
      <c r="F380" t="s">
        <v>1940</v>
      </c>
      <c r="G380" t="s">
        <v>84</v>
      </c>
      <c r="H380" t="str">
        <f t="shared" si="75"/>
        <v>Mira Das</v>
      </c>
      <c r="I380" t="s">
        <v>71</v>
      </c>
      <c r="J380" t="str">
        <f t="shared" si="76"/>
        <v>Consumer</v>
      </c>
      <c r="K380" t="s">
        <v>11</v>
      </c>
      <c r="L380" t="str">
        <f t="shared" si="77"/>
        <v>West</v>
      </c>
      <c r="M380" t="s">
        <v>292</v>
      </c>
      <c r="N380" t="str">
        <f t="shared" si="78"/>
        <v>Goa</v>
      </c>
      <c r="O380" t="s">
        <v>293</v>
      </c>
      <c r="P380" t="str">
        <f t="shared" si="79"/>
        <v>Panaji</v>
      </c>
      <c r="Q380" t="s">
        <v>24</v>
      </c>
      <c r="R380" t="str">
        <f t="shared" si="80"/>
        <v>Technology</v>
      </c>
      <c r="S380" t="s">
        <v>126</v>
      </c>
      <c r="T380" t="str">
        <f t="shared" si="81"/>
        <v>Accessories</v>
      </c>
      <c r="U380" t="s">
        <v>1941</v>
      </c>
      <c r="V380" t="str">
        <f t="shared" si="82"/>
        <v>Basic Accessories 988</v>
      </c>
      <c r="W380" t="s">
        <v>108</v>
      </c>
      <c r="X380" t="str">
        <f t="shared" si="83"/>
        <v>Standard Class</v>
      </c>
      <c r="Y380">
        <v>0</v>
      </c>
      <c r="Z380">
        <v>2</v>
      </c>
      <c r="AA380">
        <v>3910.61</v>
      </c>
      <c r="AB380">
        <v>0</v>
      </c>
      <c r="AC380">
        <f t="shared" si="84"/>
        <v>0</v>
      </c>
      <c r="AD380">
        <v>7821.22</v>
      </c>
      <c r="AE380">
        <f t="shared" si="85"/>
        <v>7821.22</v>
      </c>
      <c r="AF380">
        <v>4994.46</v>
      </c>
      <c r="AG380">
        <v>2826.76</v>
      </c>
      <c r="AH380">
        <f t="shared" si="86"/>
        <v>2826.76</v>
      </c>
      <c r="AI380">
        <f t="shared" si="87"/>
        <v>0.361421875359599</v>
      </c>
      <c r="AJ380" t="s">
        <v>77</v>
      </c>
      <c r="AK380" t="str">
        <f t="shared" si="88"/>
        <v>Paid</v>
      </c>
      <c r="AL380" t="s">
        <v>78</v>
      </c>
      <c r="AM380" t="str">
        <f t="shared" si="89"/>
        <v>Completed</v>
      </c>
      <c r="AN380">
        <v>5</v>
      </c>
      <c r="AO380">
        <v>2025</v>
      </c>
      <c r="AP380" t="s">
        <v>79</v>
      </c>
    </row>
    <row r="381" spans="1:42">
      <c r="A381" t="s">
        <v>1942</v>
      </c>
      <c r="B381" s="3" t="s">
        <v>1943</v>
      </c>
      <c r="C381" s="3">
        <v>45554</v>
      </c>
      <c r="D381" t="s">
        <v>1944</v>
      </c>
      <c r="E381" s="3">
        <v>45558</v>
      </c>
      <c r="F381" t="s">
        <v>1945</v>
      </c>
      <c r="G381" t="s">
        <v>84</v>
      </c>
      <c r="H381" t="str">
        <f t="shared" si="75"/>
        <v>Mira Das</v>
      </c>
      <c r="I381" t="s">
        <v>85</v>
      </c>
      <c r="J381" t="str">
        <f t="shared" si="76"/>
        <v>Small Business</v>
      </c>
      <c r="K381" t="s">
        <v>10</v>
      </c>
      <c r="L381" t="str">
        <f t="shared" si="77"/>
        <v>South</v>
      </c>
      <c r="M381" t="s">
        <v>285</v>
      </c>
      <c r="N381" t="str">
        <f t="shared" si="78"/>
        <v>Kerala</v>
      </c>
      <c r="O381" t="s">
        <v>286</v>
      </c>
      <c r="P381" t="str">
        <f t="shared" si="79"/>
        <v>Kochi</v>
      </c>
      <c r="Q381" t="s">
        <v>22</v>
      </c>
      <c r="R381" t="str">
        <f t="shared" si="80"/>
        <v>Office Supplies</v>
      </c>
      <c r="S381" t="s">
        <v>74</v>
      </c>
      <c r="T381" t="str">
        <f t="shared" si="81"/>
        <v>Paper</v>
      </c>
      <c r="U381" t="s">
        <v>1946</v>
      </c>
      <c r="V381" t="str">
        <f t="shared" si="82"/>
        <v>Max Paper 334</v>
      </c>
      <c r="W381" t="s">
        <v>108</v>
      </c>
      <c r="X381" t="str">
        <f t="shared" si="83"/>
        <v>Standard Class</v>
      </c>
      <c r="Y381">
        <v>4</v>
      </c>
      <c r="Z381">
        <v>7</v>
      </c>
      <c r="AA381">
        <v>1136.68</v>
      </c>
      <c r="AC381">
        <f t="shared" si="84"/>
        <v>0</v>
      </c>
      <c r="AD381">
        <v>7956.76</v>
      </c>
      <c r="AE381">
        <f t="shared" si="85"/>
        <v>7956.76</v>
      </c>
      <c r="AF381">
        <v>4799.54</v>
      </c>
      <c r="AG381">
        <v>3157.22</v>
      </c>
      <c r="AH381">
        <f t="shared" si="86"/>
        <v>3157.22</v>
      </c>
      <c r="AI381">
        <f t="shared" si="87"/>
        <v>0.396797188805494</v>
      </c>
      <c r="AJ381" t="s">
        <v>77</v>
      </c>
      <c r="AK381" t="str">
        <f t="shared" si="88"/>
        <v>Paid</v>
      </c>
      <c r="AL381" t="s">
        <v>78</v>
      </c>
      <c r="AM381" t="str">
        <f t="shared" si="89"/>
        <v>Completed</v>
      </c>
      <c r="AN381">
        <v>9</v>
      </c>
      <c r="AO381">
        <v>2024</v>
      </c>
      <c r="AP381" t="s">
        <v>222</v>
      </c>
    </row>
    <row r="382" spans="1:42">
      <c r="A382" t="s">
        <v>1947</v>
      </c>
      <c r="B382" s="3" t="s">
        <v>1948</v>
      </c>
      <c r="C382" s="3">
        <v>45389</v>
      </c>
      <c r="D382" t="s">
        <v>1473</v>
      </c>
      <c r="E382" s="3">
        <v>45396</v>
      </c>
      <c r="F382" t="s">
        <v>1949</v>
      </c>
      <c r="G382" t="s">
        <v>123</v>
      </c>
      <c r="H382" t="str">
        <f t="shared" si="75"/>
        <v>Vikram Iyer</v>
      </c>
      <c r="I382" t="s">
        <v>71</v>
      </c>
      <c r="J382" t="str">
        <f t="shared" si="76"/>
        <v>Consumer</v>
      </c>
      <c r="K382" t="s">
        <v>11</v>
      </c>
      <c r="L382" t="str">
        <f t="shared" si="77"/>
        <v>West</v>
      </c>
      <c r="M382" t="s">
        <v>114</v>
      </c>
      <c r="N382" t="str">
        <f t="shared" si="78"/>
        <v>Maharashtra</v>
      </c>
      <c r="O382" t="s">
        <v>115</v>
      </c>
      <c r="P382" t="str">
        <f t="shared" si="79"/>
        <v>Mumbai</v>
      </c>
      <c r="Q382" t="s">
        <v>19</v>
      </c>
      <c r="R382" t="str">
        <f t="shared" si="80"/>
        <v>Furniture</v>
      </c>
      <c r="S382" t="s">
        <v>245</v>
      </c>
      <c r="T382" t="str">
        <f t="shared" si="81"/>
        <v>Bookcases</v>
      </c>
      <c r="U382" t="s">
        <v>1950</v>
      </c>
      <c r="V382" t="str">
        <f t="shared" si="82"/>
        <v>Prime Bookcases 952</v>
      </c>
      <c r="W382" t="s">
        <v>90</v>
      </c>
      <c r="X382" t="str">
        <f t="shared" si="83"/>
        <v>Same Day</v>
      </c>
      <c r="Y382">
        <v>7</v>
      </c>
      <c r="Z382">
        <v>5</v>
      </c>
      <c r="AA382">
        <v>2235.85</v>
      </c>
      <c r="AB382">
        <v>0.25</v>
      </c>
      <c r="AC382">
        <f t="shared" si="84"/>
        <v>0.25</v>
      </c>
      <c r="AD382">
        <v>8384.44</v>
      </c>
      <c r="AE382">
        <f t="shared" si="85"/>
        <v>8384.4375</v>
      </c>
      <c r="AF382">
        <v>4765.96</v>
      </c>
      <c r="AG382">
        <v>3618.48</v>
      </c>
      <c r="AH382">
        <f t="shared" si="86"/>
        <v>3618.4775</v>
      </c>
      <c r="AI382">
        <f t="shared" si="87"/>
        <v>0.431570692726853</v>
      </c>
      <c r="AJ382" t="s">
        <v>77</v>
      </c>
      <c r="AK382" t="str">
        <f t="shared" si="88"/>
        <v>Paid</v>
      </c>
      <c r="AL382" t="s">
        <v>164</v>
      </c>
      <c r="AM382" t="str">
        <f t="shared" si="89"/>
        <v>Returned</v>
      </c>
      <c r="AN382">
        <v>4</v>
      </c>
      <c r="AO382">
        <v>2024</v>
      </c>
      <c r="AP382" t="s">
        <v>79</v>
      </c>
    </row>
    <row r="383" spans="1:42">
      <c r="A383" t="s">
        <v>1951</v>
      </c>
      <c r="B383" s="3" t="s">
        <v>1952</v>
      </c>
      <c r="C383" s="3">
        <v>45919</v>
      </c>
      <c r="D383" t="s">
        <v>1953</v>
      </c>
      <c r="E383" s="3">
        <v>45923</v>
      </c>
      <c r="F383" t="s">
        <v>1954</v>
      </c>
      <c r="G383" t="s">
        <v>103</v>
      </c>
      <c r="H383" t="str">
        <f t="shared" si="75"/>
        <v>Arjun Bose</v>
      </c>
      <c r="I383" t="s">
        <v>1955</v>
      </c>
      <c r="J383" t="str">
        <f t="shared" si="76"/>
        <v>Home Office</v>
      </c>
      <c r="K383" t="s">
        <v>8</v>
      </c>
      <c r="L383" t="str">
        <f t="shared" si="77"/>
        <v>North</v>
      </c>
      <c r="M383" t="s">
        <v>552</v>
      </c>
      <c r="N383" t="str">
        <f t="shared" si="78"/>
        <v>Delhi</v>
      </c>
      <c r="O383" t="s">
        <v>553</v>
      </c>
      <c r="P383" t="str">
        <f t="shared" si="79"/>
        <v>New Delhi</v>
      </c>
      <c r="Q383" t="s">
        <v>22</v>
      </c>
      <c r="R383" t="str">
        <f t="shared" si="80"/>
        <v>Office Supplies</v>
      </c>
      <c r="S383" t="s">
        <v>239</v>
      </c>
      <c r="T383" t="str">
        <f t="shared" si="81"/>
        <v>Binders</v>
      </c>
      <c r="U383" t="s">
        <v>1956</v>
      </c>
      <c r="V383" t="str">
        <f t="shared" si="82"/>
        <v>Prime Binders 523</v>
      </c>
      <c r="W383" t="s">
        <v>108</v>
      </c>
      <c r="X383" t="str">
        <f t="shared" si="83"/>
        <v>Standard Class</v>
      </c>
      <c r="Y383">
        <v>4</v>
      </c>
      <c r="Z383">
        <v>4</v>
      </c>
      <c r="AA383">
        <v>4387.15</v>
      </c>
      <c r="AB383">
        <v>0.05</v>
      </c>
      <c r="AC383">
        <f t="shared" si="84"/>
        <v>0.05</v>
      </c>
      <c r="AD383">
        <v>16671.17</v>
      </c>
      <c r="AE383">
        <f t="shared" si="85"/>
        <v>16671.17</v>
      </c>
      <c r="AF383">
        <v>10833.19</v>
      </c>
      <c r="AG383">
        <v>5837.98</v>
      </c>
      <c r="AH383">
        <f t="shared" si="86"/>
        <v>5837.98</v>
      </c>
      <c r="AI383">
        <f t="shared" si="87"/>
        <v>0.350184180234501</v>
      </c>
      <c r="AJ383" t="s">
        <v>241</v>
      </c>
      <c r="AK383" t="str">
        <f t="shared" si="88"/>
        <v>Failed</v>
      </c>
      <c r="AL383" t="s">
        <v>118</v>
      </c>
      <c r="AM383" t="str">
        <f t="shared" si="89"/>
        <v>Cancelled</v>
      </c>
      <c r="AN383">
        <v>9</v>
      </c>
      <c r="AO383">
        <v>2025</v>
      </c>
      <c r="AP383" t="s">
        <v>79</v>
      </c>
    </row>
    <row r="384" spans="1:42">
      <c r="A384" t="s">
        <v>1957</v>
      </c>
      <c r="B384" s="3" t="s">
        <v>1958</v>
      </c>
      <c r="C384" s="3">
        <v>45720</v>
      </c>
      <c r="D384" t="s">
        <v>601</v>
      </c>
      <c r="E384" s="3">
        <v>45724</v>
      </c>
      <c r="F384" t="s">
        <v>244</v>
      </c>
      <c r="G384" t="s">
        <v>103</v>
      </c>
      <c r="H384" t="str">
        <f t="shared" si="75"/>
        <v>Arjun Bose</v>
      </c>
      <c r="I384" t="s">
        <v>85</v>
      </c>
      <c r="J384" t="str">
        <f t="shared" si="76"/>
        <v>Small Business</v>
      </c>
      <c r="K384" t="s">
        <v>7</v>
      </c>
      <c r="L384" t="str">
        <f t="shared" si="77"/>
        <v>East</v>
      </c>
      <c r="M384" t="s">
        <v>227</v>
      </c>
      <c r="N384" t="str">
        <f t="shared" si="78"/>
        <v>Bihar</v>
      </c>
      <c r="O384" t="s">
        <v>228</v>
      </c>
      <c r="P384" t="str">
        <f t="shared" si="79"/>
        <v>Patna</v>
      </c>
      <c r="Q384" t="s">
        <v>1959</v>
      </c>
      <c r="R384" t="str">
        <f t="shared" si="80"/>
        <v>Technology</v>
      </c>
      <c r="S384" t="s">
        <v>265</v>
      </c>
      <c r="T384" t="str">
        <f t="shared" si="81"/>
        <v>Phones</v>
      </c>
      <c r="U384" t="s">
        <v>1960</v>
      </c>
      <c r="V384" t="str">
        <f t="shared" si="82"/>
        <v>Pro Phones 538</v>
      </c>
      <c r="W384" t="s">
        <v>98</v>
      </c>
      <c r="X384" t="str">
        <f t="shared" si="83"/>
        <v>First Class</v>
      </c>
      <c r="Y384">
        <v>4</v>
      </c>
      <c r="Z384">
        <v>3</v>
      </c>
      <c r="AA384">
        <v>4361.85</v>
      </c>
      <c r="AB384">
        <v>0.2</v>
      </c>
      <c r="AC384">
        <f t="shared" si="84"/>
        <v>0.2</v>
      </c>
      <c r="AD384">
        <v>10468.44</v>
      </c>
      <c r="AE384">
        <f t="shared" si="85"/>
        <v>10468.44</v>
      </c>
      <c r="AF384">
        <v>8399.87</v>
      </c>
      <c r="AG384">
        <v>2068.57</v>
      </c>
      <c r="AH384">
        <f t="shared" si="86"/>
        <v>2068.57</v>
      </c>
      <c r="AI384">
        <f t="shared" si="87"/>
        <v>0.197600597605756</v>
      </c>
      <c r="AJ384" t="s">
        <v>77</v>
      </c>
      <c r="AK384" t="str">
        <f t="shared" si="88"/>
        <v>Paid</v>
      </c>
      <c r="AL384" t="s">
        <v>78</v>
      </c>
      <c r="AM384" t="str">
        <f t="shared" si="89"/>
        <v>Completed</v>
      </c>
      <c r="AN384">
        <v>3</v>
      </c>
      <c r="AO384">
        <v>2025</v>
      </c>
      <c r="AP384" t="s">
        <v>79</v>
      </c>
    </row>
    <row r="385" spans="1:42">
      <c r="A385" t="s">
        <v>1961</v>
      </c>
      <c r="B385" s="3" t="s">
        <v>1571</v>
      </c>
      <c r="C385" s="3">
        <v>45836</v>
      </c>
      <c r="D385" t="s">
        <v>1126</v>
      </c>
      <c r="E385" s="3">
        <v>45843</v>
      </c>
      <c r="F385" t="s">
        <v>1962</v>
      </c>
      <c r="G385" t="s">
        <v>123</v>
      </c>
      <c r="H385" t="str">
        <f t="shared" si="75"/>
        <v>Vikram Iyer</v>
      </c>
      <c r="I385" t="s">
        <v>147</v>
      </c>
      <c r="J385" t="str">
        <f t="shared" si="76"/>
        <v>Corporate</v>
      </c>
      <c r="K385" t="s">
        <v>7</v>
      </c>
      <c r="L385" t="str">
        <f t="shared" si="77"/>
        <v>East</v>
      </c>
      <c r="M385" t="s">
        <v>160</v>
      </c>
      <c r="N385" t="str">
        <f t="shared" si="78"/>
        <v>West Bengal</v>
      </c>
      <c r="O385" t="s">
        <v>161</v>
      </c>
      <c r="P385" t="str">
        <f t="shared" si="79"/>
        <v>Kolkata</v>
      </c>
      <c r="Q385" t="s">
        <v>22</v>
      </c>
      <c r="R385" t="str">
        <f t="shared" si="80"/>
        <v>Office Supplies</v>
      </c>
      <c r="S385" t="s">
        <v>96</v>
      </c>
      <c r="T385" t="str">
        <f t="shared" si="81"/>
        <v>Art</v>
      </c>
      <c r="U385" t="s">
        <v>1963</v>
      </c>
      <c r="V385" t="str">
        <f t="shared" si="82"/>
        <v>Basic Art 608</v>
      </c>
      <c r="W385" t="s">
        <v>98</v>
      </c>
      <c r="X385" t="str">
        <f t="shared" si="83"/>
        <v>First Class</v>
      </c>
      <c r="Y385">
        <v>7</v>
      </c>
      <c r="Z385">
        <v>2</v>
      </c>
      <c r="AA385">
        <v>2242.75</v>
      </c>
      <c r="AB385">
        <v>0</v>
      </c>
      <c r="AC385">
        <f t="shared" si="84"/>
        <v>0</v>
      </c>
      <c r="AD385">
        <v>4485.5</v>
      </c>
      <c r="AE385">
        <f t="shared" si="85"/>
        <v>4485.5</v>
      </c>
      <c r="AF385">
        <v>3131.86</v>
      </c>
      <c r="AG385">
        <v>1353.64</v>
      </c>
      <c r="AH385">
        <f t="shared" si="86"/>
        <v>1353.64</v>
      </c>
      <c r="AI385">
        <f t="shared" si="87"/>
        <v>0.301781295284807</v>
      </c>
      <c r="AJ385" t="s">
        <v>77</v>
      </c>
      <c r="AK385" t="str">
        <f t="shared" si="88"/>
        <v>Paid</v>
      </c>
      <c r="AL385" t="s">
        <v>118</v>
      </c>
      <c r="AM385" t="str">
        <f t="shared" si="89"/>
        <v>Cancelled</v>
      </c>
      <c r="AN385">
        <v>6</v>
      </c>
      <c r="AO385">
        <v>2025</v>
      </c>
      <c r="AP385" t="s">
        <v>79</v>
      </c>
    </row>
    <row r="386" spans="1:42">
      <c r="A386" t="s">
        <v>1964</v>
      </c>
      <c r="B386" s="3" t="s">
        <v>1965</v>
      </c>
      <c r="C386" s="3">
        <v>45366</v>
      </c>
      <c r="D386" t="s">
        <v>1966</v>
      </c>
      <c r="E386" s="3">
        <v>45371</v>
      </c>
      <c r="F386" t="s">
        <v>1967</v>
      </c>
      <c r="G386" t="s">
        <v>220</v>
      </c>
      <c r="H386" t="str">
        <f t="shared" ref="H386:H449" si="90">PROPER(TRIM(G386))</f>
        <v>Rohan Mehta</v>
      </c>
      <c r="I386" t="s">
        <v>71</v>
      </c>
      <c r="J386" t="str">
        <f t="shared" ref="J386:J449" si="91">PROPER(TRIM(I386))</f>
        <v>Consumer</v>
      </c>
      <c r="K386" t="s">
        <v>7</v>
      </c>
      <c r="L386" t="str">
        <f t="shared" ref="L386:L449" si="92">PROPER(TRIM(K386))</f>
        <v>East</v>
      </c>
      <c r="M386" t="s">
        <v>354</v>
      </c>
      <c r="N386" t="str">
        <f t="shared" ref="N386:N449" si="93">PROPER(TRIM(M386))</f>
        <v>Jharkhand</v>
      </c>
      <c r="O386" t="s">
        <v>355</v>
      </c>
      <c r="P386" t="str">
        <f t="shared" ref="P386:P449" si="94">PROPER(TRIM(O386))</f>
        <v>Ranchi</v>
      </c>
      <c r="Q386" t="s">
        <v>24</v>
      </c>
      <c r="R386" t="str">
        <f t="shared" ref="R386:R449" si="95">PROPER(TRIM(Q386))</f>
        <v>Technology</v>
      </c>
      <c r="S386" t="s">
        <v>133</v>
      </c>
      <c r="T386" t="str">
        <f t="shared" ref="T386:T449" si="96">PROPER(TRIM(S386))</f>
        <v>Copiers</v>
      </c>
      <c r="U386" t="s">
        <v>1968</v>
      </c>
      <c r="V386" t="str">
        <f t="shared" ref="V386:V449" si="97">PROPER(TRIM(U386))</f>
        <v>Prime Copiers 820</v>
      </c>
      <c r="W386" t="s">
        <v>108</v>
      </c>
      <c r="X386" t="str">
        <f t="shared" ref="X386:X449" si="98">PROPER(TRIM(W386))</f>
        <v>Standard Class</v>
      </c>
      <c r="Y386">
        <v>5</v>
      </c>
      <c r="Z386">
        <v>2</v>
      </c>
      <c r="AA386">
        <v>1881.4</v>
      </c>
      <c r="AB386">
        <v>0.25</v>
      </c>
      <c r="AC386">
        <f t="shared" ref="AC386:AC449" si="99">IF(OR(AB386="",AB386&lt;0),0,AB386)</f>
        <v>0.25</v>
      </c>
      <c r="AD386">
        <v>2822.1</v>
      </c>
      <c r="AE386">
        <f t="shared" ref="AE386:AE449" si="100">Z386*AA386*(1-AC386)</f>
        <v>2822.1</v>
      </c>
      <c r="AF386">
        <v>1624.57</v>
      </c>
      <c r="AG386">
        <v>1197.53</v>
      </c>
      <c r="AH386">
        <f t="shared" ref="AH386:AH449" si="101">AE386-AF386</f>
        <v>1197.53</v>
      </c>
      <c r="AI386">
        <f t="shared" ref="AI386:AI449" si="102">AH386/AE386</f>
        <v>0.424340030473761</v>
      </c>
      <c r="AJ386" t="s">
        <v>77</v>
      </c>
      <c r="AK386" t="str">
        <f t="shared" ref="AK386:AK449" si="103">PROPER(TRIM(AJ386))</f>
        <v>Paid</v>
      </c>
      <c r="AL386" t="s">
        <v>164</v>
      </c>
      <c r="AM386" t="str">
        <f t="shared" ref="AM386:AM449" si="104">PROPER(TRIM(AL386))</f>
        <v>Returned</v>
      </c>
      <c r="AN386">
        <v>3</v>
      </c>
      <c r="AO386">
        <v>2024</v>
      </c>
      <c r="AP386" t="s">
        <v>79</v>
      </c>
    </row>
    <row r="387" spans="1:42">
      <c r="A387" t="s">
        <v>1969</v>
      </c>
      <c r="B387" s="3" t="s">
        <v>1046</v>
      </c>
      <c r="C387" s="3">
        <v>45832</v>
      </c>
      <c r="D387" t="s">
        <v>1970</v>
      </c>
      <c r="E387" s="3">
        <v>45838</v>
      </c>
      <c r="F387" t="s">
        <v>1971</v>
      </c>
      <c r="G387" t="s">
        <v>103</v>
      </c>
      <c r="H387" t="str">
        <f t="shared" si="90"/>
        <v>Arjun Bose</v>
      </c>
      <c r="I387" t="s">
        <v>71</v>
      </c>
      <c r="J387" t="str">
        <f t="shared" si="91"/>
        <v>Consumer</v>
      </c>
      <c r="K387" t="s">
        <v>8</v>
      </c>
      <c r="L387" t="str">
        <f t="shared" si="92"/>
        <v>North</v>
      </c>
      <c r="M387" t="s">
        <v>366</v>
      </c>
      <c r="N387" t="str">
        <f t="shared" si="93"/>
        <v>Haryana</v>
      </c>
      <c r="O387" t="s">
        <v>367</v>
      </c>
      <c r="P387" t="str">
        <f t="shared" si="94"/>
        <v>Gurugram</v>
      </c>
      <c r="Q387" t="s">
        <v>22</v>
      </c>
      <c r="R387" t="str">
        <f t="shared" si="95"/>
        <v>Office Supplies</v>
      </c>
      <c r="S387" t="s">
        <v>148</v>
      </c>
      <c r="T387" t="str">
        <f t="shared" si="96"/>
        <v>Labels</v>
      </c>
      <c r="U387" t="s">
        <v>1972</v>
      </c>
      <c r="V387" t="str">
        <f t="shared" si="97"/>
        <v>Classic Labels 670</v>
      </c>
      <c r="W387" t="s">
        <v>108</v>
      </c>
      <c r="X387" t="str">
        <f t="shared" si="98"/>
        <v>Standard Class</v>
      </c>
      <c r="Y387">
        <v>6</v>
      </c>
      <c r="Z387">
        <v>6</v>
      </c>
      <c r="AA387">
        <v>365.76</v>
      </c>
      <c r="AB387">
        <v>0.1</v>
      </c>
      <c r="AC387">
        <f t="shared" si="99"/>
        <v>0.1</v>
      </c>
      <c r="AD387">
        <v>1975.1</v>
      </c>
      <c r="AE387">
        <f t="shared" si="100"/>
        <v>1975.104</v>
      </c>
      <c r="AF387">
        <v>1115.35</v>
      </c>
      <c r="AG387">
        <v>859.75</v>
      </c>
      <c r="AH387">
        <f t="shared" si="101"/>
        <v>859.754</v>
      </c>
      <c r="AI387">
        <f t="shared" si="102"/>
        <v>0.435295559119925</v>
      </c>
      <c r="AJ387" t="s">
        <v>77</v>
      </c>
      <c r="AK387" t="str">
        <f t="shared" si="103"/>
        <v>Paid</v>
      </c>
      <c r="AL387" t="s">
        <v>78</v>
      </c>
      <c r="AM387" t="str">
        <f t="shared" si="104"/>
        <v>Completed</v>
      </c>
      <c r="AN387">
        <v>6</v>
      </c>
      <c r="AO387">
        <v>2025</v>
      </c>
      <c r="AP387" t="s">
        <v>79</v>
      </c>
    </row>
    <row r="388" spans="1:42">
      <c r="A388" t="s">
        <v>1973</v>
      </c>
      <c r="B388" s="3" t="s">
        <v>1450</v>
      </c>
      <c r="C388" s="3">
        <v>45700</v>
      </c>
      <c r="D388" t="s">
        <v>1974</v>
      </c>
      <c r="E388" s="3">
        <v>45702</v>
      </c>
      <c r="F388" t="s">
        <v>1975</v>
      </c>
      <c r="G388" t="s">
        <v>208</v>
      </c>
      <c r="H388" t="str">
        <f t="shared" si="90"/>
        <v>Sneha Kapoor</v>
      </c>
      <c r="I388" t="s">
        <v>71</v>
      </c>
      <c r="J388" t="str">
        <f t="shared" si="91"/>
        <v>Consumer</v>
      </c>
      <c r="K388" t="s">
        <v>11</v>
      </c>
      <c r="L388" t="str">
        <f t="shared" si="92"/>
        <v>West</v>
      </c>
      <c r="M388" t="s">
        <v>114</v>
      </c>
      <c r="N388" t="str">
        <f t="shared" si="93"/>
        <v>Maharashtra</v>
      </c>
      <c r="O388" t="s">
        <v>115</v>
      </c>
      <c r="P388" t="str">
        <f t="shared" si="94"/>
        <v>Mumbai</v>
      </c>
      <c r="Q388" t="s">
        <v>19</v>
      </c>
      <c r="R388" t="str">
        <f t="shared" si="95"/>
        <v>Furniture</v>
      </c>
      <c r="S388" t="s">
        <v>106</v>
      </c>
      <c r="T388" t="str">
        <f t="shared" si="96"/>
        <v>Furnishings</v>
      </c>
      <c r="U388" t="s">
        <v>1976</v>
      </c>
      <c r="V388" t="str">
        <f t="shared" si="97"/>
        <v>Prime Furnishings 597</v>
      </c>
      <c r="W388" t="s">
        <v>76</v>
      </c>
      <c r="X388" t="str">
        <f t="shared" si="98"/>
        <v>Second Class</v>
      </c>
      <c r="Y388">
        <v>2</v>
      </c>
      <c r="Z388">
        <v>8</v>
      </c>
      <c r="AA388">
        <v>2786.66</v>
      </c>
      <c r="AB388">
        <v>0.1</v>
      </c>
      <c r="AC388">
        <f t="shared" si="99"/>
        <v>0.1</v>
      </c>
      <c r="AD388">
        <v>20063.95</v>
      </c>
      <c r="AE388">
        <f t="shared" si="100"/>
        <v>20063.952</v>
      </c>
      <c r="AF388">
        <v>14363.38</v>
      </c>
      <c r="AG388">
        <v>5700.57</v>
      </c>
      <c r="AH388">
        <f t="shared" si="101"/>
        <v>5700.572</v>
      </c>
      <c r="AI388">
        <f t="shared" si="102"/>
        <v>0.284120097575991</v>
      </c>
      <c r="AJ388" t="s">
        <v>77</v>
      </c>
      <c r="AK388" t="str">
        <f t="shared" si="103"/>
        <v>Paid</v>
      </c>
      <c r="AL388" t="s">
        <v>78</v>
      </c>
      <c r="AM388" t="str">
        <f t="shared" si="104"/>
        <v>Completed</v>
      </c>
      <c r="AN388">
        <v>2</v>
      </c>
      <c r="AO388">
        <v>2025</v>
      </c>
      <c r="AP388" t="s">
        <v>79</v>
      </c>
    </row>
    <row r="389" spans="1:42">
      <c r="A389" t="s">
        <v>1977</v>
      </c>
      <c r="B389" s="3" t="s">
        <v>994</v>
      </c>
      <c r="C389" s="3">
        <v>45879</v>
      </c>
      <c r="D389" t="s">
        <v>1169</v>
      </c>
      <c r="E389" s="3">
        <v>45882</v>
      </c>
      <c r="F389" t="s">
        <v>1978</v>
      </c>
      <c r="G389" t="s">
        <v>182</v>
      </c>
      <c r="H389" t="str">
        <f t="shared" si="90"/>
        <v>Priya Menon</v>
      </c>
      <c r="I389" t="s">
        <v>85</v>
      </c>
      <c r="J389" t="str">
        <f t="shared" si="91"/>
        <v>Small Business</v>
      </c>
      <c r="K389" t="s">
        <v>11</v>
      </c>
      <c r="L389" t="str">
        <f t="shared" si="92"/>
        <v>West</v>
      </c>
      <c r="M389" t="s">
        <v>124</v>
      </c>
      <c r="N389" t="str">
        <f t="shared" si="93"/>
        <v>Madhya Pradesh</v>
      </c>
      <c r="O389" t="s">
        <v>125</v>
      </c>
      <c r="P389" t="str">
        <f t="shared" si="94"/>
        <v>Indore</v>
      </c>
      <c r="Q389" t="s">
        <v>19</v>
      </c>
      <c r="R389" t="str">
        <f t="shared" si="95"/>
        <v>Furniture</v>
      </c>
      <c r="S389" t="s">
        <v>116</v>
      </c>
      <c r="T389" t="str">
        <f t="shared" si="96"/>
        <v>Chairs</v>
      </c>
      <c r="U389" t="s">
        <v>1979</v>
      </c>
      <c r="V389" t="str">
        <f t="shared" si="97"/>
        <v>Prime Chairs 196</v>
      </c>
      <c r="W389" t="s">
        <v>108</v>
      </c>
      <c r="X389" t="str">
        <f t="shared" si="98"/>
        <v>Standard Class</v>
      </c>
      <c r="Y389">
        <v>3</v>
      </c>
      <c r="Z389">
        <v>5</v>
      </c>
      <c r="AA389">
        <v>352.86</v>
      </c>
      <c r="AB389">
        <v>0</v>
      </c>
      <c r="AC389">
        <f t="shared" si="99"/>
        <v>0</v>
      </c>
      <c r="AD389">
        <v>1764.3</v>
      </c>
      <c r="AE389">
        <f t="shared" si="100"/>
        <v>1764.3</v>
      </c>
      <c r="AF389">
        <v>1332.49</v>
      </c>
      <c r="AG389">
        <v>431.81</v>
      </c>
      <c r="AH389">
        <f t="shared" si="101"/>
        <v>431.81</v>
      </c>
      <c r="AI389">
        <f t="shared" si="102"/>
        <v>0.244748625517202</v>
      </c>
      <c r="AJ389" t="s">
        <v>177</v>
      </c>
      <c r="AK389" t="str">
        <f t="shared" si="103"/>
        <v>Pending</v>
      </c>
      <c r="AL389" t="s">
        <v>118</v>
      </c>
      <c r="AM389" t="str">
        <f t="shared" si="104"/>
        <v>Cancelled</v>
      </c>
      <c r="AN389">
        <v>8</v>
      </c>
      <c r="AO389">
        <v>2025</v>
      </c>
      <c r="AP389" t="s">
        <v>79</v>
      </c>
    </row>
    <row r="390" spans="1:42">
      <c r="A390" t="s">
        <v>1980</v>
      </c>
      <c r="B390" s="3" t="s">
        <v>1981</v>
      </c>
      <c r="C390" s="3">
        <v>45425</v>
      </c>
      <c r="D390" t="s">
        <v>1982</v>
      </c>
      <c r="E390" s="3">
        <v>45430</v>
      </c>
      <c r="F390" t="s">
        <v>1983</v>
      </c>
      <c r="G390" t="s">
        <v>95</v>
      </c>
      <c r="H390" t="str">
        <f t="shared" si="90"/>
        <v>Isha Nair</v>
      </c>
      <c r="I390" t="s">
        <v>85</v>
      </c>
      <c r="J390" t="str">
        <f t="shared" si="91"/>
        <v>Small Business</v>
      </c>
      <c r="K390" t="s">
        <v>11</v>
      </c>
      <c r="L390" t="str">
        <f t="shared" si="92"/>
        <v>West</v>
      </c>
      <c r="M390" t="s">
        <v>278</v>
      </c>
      <c r="N390" t="str">
        <f t="shared" si="93"/>
        <v>Gujarat</v>
      </c>
      <c r="O390" t="s">
        <v>279</v>
      </c>
      <c r="P390" t="str">
        <f t="shared" si="94"/>
        <v>Ahmedabad</v>
      </c>
      <c r="Q390" t="s">
        <v>19</v>
      </c>
      <c r="R390" t="str">
        <f t="shared" si="95"/>
        <v>Furniture</v>
      </c>
      <c r="S390" t="s">
        <v>116</v>
      </c>
      <c r="T390" t="str">
        <f t="shared" si="96"/>
        <v>Chairs</v>
      </c>
      <c r="U390" t="s">
        <v>1984</v>
      </c>
      <c r="V390" t="str">
        <f t="shared" si="97"/>
        <v>Elite Chairs 639</v>
      </c>
      <c r="W390" t="s">
        <v>108</v>
      </c>
      <c r="X390" t="str">
        <f t="shared" si="98"/>
        <v>Standard Class</v>
      </c>
      <c r="Y390">
        <v>5</v>
      </c>
      <c r="Z390">
        <v>3</v>
      </c>
      <c r="AA390">
        <v>3128.59</v>
      </c>
      <c r="AB390">
        <v>0</v>
      </c>
      <c r="AC390">
        <f t="shared" si="99"/>
        <v>0</v>
      </c>
      <c r="AD390">
        <v>9385.77</v>
      </c>
      <c r="AE390">
        <f t="shared" si="100"/>
        <v>9385.77</v>
      </c>
      <c r="AF390">
        <v>6872.44</v>
      </c>
      <c r="AG390">
        <v>2783.66</v>
      </c>
      <c r="AH390">
        <f t="shared" si="101"/>
        <v>2513.33</v>
      </c>
      <c r="AI390">
        <f t="shared" si="102"/>
        <v>0.267780906627799</v>
      </c>
      <c r="AJ390" t="s">
        <v>77</v>
      </c>
      <c r="AK390" t="str">
        <f t="shared" si="103"/>
        <v>Paid</v>
      </c>
      <c r="AL390" t="s">
        <v>78</v>
      </c>
      <c r="AM390" t="str">
        <f t="shared" si="104"/>
        <v>Completed</v>
      </c>
      <c r="AN390">
        <v>5</v>
      </c>
      <c r="AO390">
        <v>2024</v>
      </c>
      <c r="AP390" t="s">
        <v>79</v>
      </c>
    </row>
    <row r="391" spans="1:42">
      <c r="A391" t="s">
        <v>1985</v>
      </c>
      <c r="B391" s="3" t="s">
        <v>1986</v>
      </c>
      <c r="C391" s="3">
        <v>45387</v>
      </c>
      <c r="D391" t="s">
        <v>393</v>
      </c>
      <c r="E391" s="3">
        <v>45395</v>
      </c>
      <c r="F391" t="s">
        <v>1987</v>
      </c>
      <c r="G391" t="s">
        <v>251</v>
      </c>
      <c r="H391" t="str">
        <f t="shared" si="90"/>
        <v>Diya Patel</v>
      </c>
      <c r="I391" t="s">
        <v>147</v>
      </c>
      <c r="J391" t="str">
        <f t="shared" si="91"/>
        <v>Corporate</v>
      </c>
      <c r="K391" t="s">
        <v>11</v>
      </c>
      <c r="L391" t="str">
        <f t="shared" si="92"/>
        <v>West</v>
      </c>
      <c r="M391" t="s">
        <v>278</v>
      </c>
      <c r="N391" t="str">
        <f t="shared" si="93"/>
        <v>Gujarat</v>
      </c>
      <c r="O391" t="s">
        <v>279</v>
      </c>
      <c r="P391" t="str">
        <f t="shared" si="94"/>
        <v>Ahmedabad</v>
      </c>
      <c r="Q391" t="s">
        <v>24</v>
      </c>
      <c r="R391" t="str">
        <f t="shared" si="95"/>
        <v>Technology</v>
      </c>
      <c r="S391" t="s">
        <v>427</v>
      </c>
      <c r="T391" t="str">
        <f t="shared" si="96"/>
        <v>Machines</v>
      </c>
      <c r="U391" t="s">
        <v>1988</v>
      </c>
      <c r="V391" t="str">
        <f t="shared" si="97"/>
        <v>Elite Machines 563</v>
      </c>
      <c r="W391" t="s">
        <v>76</v>
      </c>
      <c r="X391" t="str">
        <f t="shared" si="98"/>
        <v>Second Class</v>
      </c>
      <c r="Y391">
        <v>8</v>
      </c>
      <c r="Z391">
        <v>5</v>
      </c>
      <c r="AA391">
        <v>1937.54</v>
      </c>
      <c r="AB391">
        <v>0.2</v>
      </c>
      <c r="AC391">
        <f t="shared" si="99"/>
        <v>0.2</v>
      </c>
      <c r="AD391">
        <v>7750.16</v>
      </c>
      <c r="AE391">
        <f t="shared" si="100"/>
        <v>7750.16</v>
      </c>
      <c r="AF391">
        <v>5434.3</v>
      </c>
      <c r="AG391">
        <v>2315.86</v>
      </c>
      <c r="AH391">
        <f t="shared" si="101"/>
        <v>2315.86</v>
      </c>
      <c r="AI391">
        <f t="shared" si="102"/>
        <v>0.298814476088236</v>
      </c>
      <c r="AJ391" t="s">
        <v>177</v>
      </c>
      <c r="AK391" t="str">
        <f t="shared" si="103"/>
        <v>Pending</v>
      </c>
      <c r="AL391" t="s">
        <v>118</v>
      </c>
      <c r="AM391" t="str">
        <f t="shared" si="104"/>
        <v>Cancelled</v>
      </c>
      <c r="AN391">
        <v>4</v>
      </c>
      <c r="AO391">
        <v>2024</v>
      </c>
      <c r="AP391" t="s">
        <v>79</v>
      </c>
    </row>
    <row r="392" spans="1:42">
      <c r="A392" t="s">
        <v>1989</v>
      </c>
      <c r="B392" s="3" t="s">
        <v>1990</v>
      </c>
      <c r="C392" s="3">
        <v>45602</v>
      </c>
      <c r="D392" t="s">
        <v>530</v>
      </c>
      <c r="E392" s="3">
        <v>45607</v>
      </c>
      <c r="F392" t="s">
        <v>1991</v>
      </c>
      <c r="G392" t="s">
        <v>95</v>
      </c>
      <c r="H392" t="str">
        <f t="shared" si="90"/>
        <v>Isha Nair</v>
      </c>
      <c r="I392" t="s">
        <v>71</v>
      </c>
      <c r="J392" t="str">
        <f t="shared" si="91"/>
        <v>Consumer</v>
      </c>
      <c r="K392" t="s">
        <v>11</v>
      </c>
      <c r="L392" t="str">
        <f t="shared" si="92"/>
        <v>West</v>
      </c>
      <c r="M392" t="s">
        <v>278</v>
      </c>
      <c r="N392" t="str">
        <f t="shared" si="93"/>
        <v>Gujarat</v>
      </c>
      <c r="O392" t="s">
        <v>279</v>
      </c>
      <c r="P392" t="str">
        <f t="shared" si="94"/>
        <v>Ahmedabad</v>
      </c>
      <c r="Q392" t="s">
        <v>19</v>
      </c>
      <c r="R392" t="str">
        <f t="shared" si="95"/>
        <v>Furniture</v>
      </c>
      <c r="S392" t="s">
        <v>106</v>
      </c>
      <c r="T392" t="str">
        <f t="shared" si="96"/>
        <v>Furnishings</v>
      </c>
      <c r="U392" t="s">
        <v>1992</v>
      </c>
      <c r="V392" t="str">
        <f t="shared" si="97"/>
        <v>Pro Furnishings 281</v>
      </c>
      <c r="W392" t="s">
        <v>108</v>
      </c>
      <c r="X392" t="str">
        <f t="shared" si="98"/>
        <v>Standard Class</v>
      </c>
      <c r="Y392">
        <v>5</v>
      </c>
      <c r="Z392">
        <v>4</v>
      </c>
      <c r="AA392">
        <v>1917.26</v>
      </c>
      <c r="AB392">
        <v>0.2</v>
      </c>
      <c r="AC392">
        <f t="shared" si="99"/>
        <v>0.2</v>
      </c>
      <c r="AD392">
        <v>6135.23</v>
      </c>
      <c r="AE392">
        <f t="shared" si="100"/>
        <v>6135.232</v>
      </c>
      <c r="AF392">
        <v>3439.79</v>
      </c>
      <c r="AG392">
        <v>2695.44</v>
      </c>
      <c r="AH392">
        <f t="shared" si="101"/>
        <v>2695.442</v>
      </c>
      <c r="AI392">
        <f t="shared" si="102"/>
        <v>0.439338235294118</v>
      </c>
      <c r="AJ392" t="s">
        <v>77</v>
      </c>
      <c r="AK392" t="str">
        <f t="shared" si="103"/>
        <v>Paid</v>
      </c>
      <c r="AL392" t="s">
        <v>78</v>
      </c>
      <c r="AM392" t="str">
        <f t="shared" si="104"/>
        <v>Completed</v>
      </c>
      <c r="AN392">
        <v>11</v>
      </c>
      <c r="AO392">
        <v>2024</v>
      </c>
      <c r="AP392" t="s">
        <v>79</v>
      </c>
    </row>
    <row r="393" spans="1:42">
      <c r="A393" t="s">
        <v>1993</v>
      </c>
      <c r="B393" s="3" t="s">
        <v>1974</v>
      </c>
      <c r="C393" s="3">
        <v>45702</v>
      </c>
      <c r="D393" t="s">
        <v>1994</v>
      </c>
      <c r="E393" s="3">
        <v>45702</v>
      </c>
      <c r="F393" t="s">
        <v>1995</v>
      </c>
      <c r="G393" t="s">
        <v>251</v>
      </c>
      <c r="H393" t="str">
        <f t="shared" si="90"/>
        <v>Diya Patel</v>
      </c>
      <c r="I393" t="s">
        <v>71</v>
      </c>
      <c r="J393" t="str">
        <f t="shared" si="91"/>
        <v>Consumer</v>
      </c>
      <c r="K393" t="s">
        <v>10</v>
      </c>
      <c r="L393" t="str">
        <f t="shared" si="92"/>
        <v>South</v>
      </c>
      <c r="M393" t="s">
        <v>272</v>
      </c>
      <c r="N393" t="str">
        <f t="shared" si="93"/>
        <v>Karnataka</v>
      </c>
      <c r="O393" t="s">
        <v>273</v>
      </c>
      <c r="P393" t="str">
        <f t="shared" si="94"/>
        <v>Bengaluru</v>
      </c>
      <c r="Q393" t="s">
        <v>22</v>
      </c>
      <c r="R393" t="str">
        <f t="shared" si="95"/>
        <v>Office Supplies</v>
      </c>
      <c r="S393" t="s">
        <v>196</v>
      </c>
      <c r="T393" t="str">
        <f t="shared" si="96"/>
        <v>Storage</v>
      </c>
      <c r="U393" t="s">
        <v>1996</v>
      </c>
      <c r="V393" t="str">
        <f t="shared" si="97"/>
        <v>Eco Storage 285</v>
      </c>
      <c r="W393" t="s">
        <v>98</v>
      </c>
      <c r="X393" t="str">
        <f t="shared" si="98"/>
        <v>First Class</v>
      </c>
      <c r="Y393">
        <v>0</v>
      </c>
      <c r="Z393">
        <v>1</v>
      </c>
      <c r="AA393">
        <v>714.43</v>
      </c>
      <c r="AB393">
        <v>0</v>
      </c>
      <c r="AC393">
        <f t="shared" si="99"/>
        <v>0</v>
      </c>
      <c r="AD393">
        <v>714.43</v>
      </c>
      <c r="AE393">
        <f t="shared" si="100"/>
        <v>714.43</v>
      </c>
      <c r="AF393">
        <v>565.44</v>
      </c>
      <c r="AG393">
        <v>148.99</v>
      </c>
      <c r="AH393">
        <f t="shared" si="101"/>
        <v>148.99</v>
      </c>
      <c r="AI393">
        <f t="shared" si="102"/>
        <v>0.208543874137424</v>
      </c>
      <c r="AJ393" t="s">
        <v>77</v>
      </c>
      <c r="AK393" t="str">
        <f t="shared" si="103"/>
        <v>Paid</v>
      </c>
      <c r="AL393" t="s">
        <v>78</v>
      </c>
      <c r="AM393" t="str">
        <f t="shared" si="104"/>
        <v>Completed</v>
      </c>
      <c r="AN393">
        <v>2</v>
      </c>
      <c r="AO393">
        <v>2025</v>
      </c>
      <c r="AP393" t="s">
        <v>79</v>
      </c>
    </row>
    <row r="394" spans="1:42">
      <c r="A394" t="s">
        <v>1997</v>
      </c>
      <c r="B394" s="3" t="s">
        <v>1998</v>
      </c>
      <c r="C394" s="3">
        <v>45341</v>
      </c>
      <c r="D394" t="s">
        <v>1999</v>
      </c>
      <c r="E394" s="3">
        <v>45344</v>
      </c>
      <c r="F394" t="s">
        <v>2000</v>
      </c>
      <c r="G394" t="s">
        <v>146</v>
      </c>
      <c r="H394" t="str">
        <f t="shared" si="90"/>
        <v>Aditi Sen</v>
      </c>
      <c r="I394" t="s">
        <v>85</v>
      </c>
      <c r="J394" t="str">
        <f t="shared" si="91"/>
        <v>Small Business</v>
      </c>
      <c r="K394" t="s">
        <v>10</v>
      </c>
      <c r="L394" t="str">
        <f t="shared" si="92"/>
        <v>South</v>
      </c>
      <c r="M394" t="s">
        <v>285</v>
      </c>
      <c r="N394" t="str">
        <f t="shared" si="93"/>
        <v>Kerala</v>
      </c>
      <c r="O394" t="s">
        <v>286</v>
      </c>
      <c r="P394" t="str">
        <f t="shared" si="94"/>
        <v>Kochi</v>
      </c>
      <c r="Q394" t="s">
        <v>19</v>
      </c>
      <c r="R394" t="str">
        <f t="shared" si="95"/>
        <v>Furniture</v>
      </c>
      <c r="S394" t="s">
        <v>106</v>
      </c>
      <c r="T394" t="str">
        <f t="shared" si="96"/>
        <v>Furnishings</v>
      </c>
      <c r="U394" t="s">
        <v>2001</v>
      </c>
      <c r="V394" t="str">
        <f t="shared" si="97"/>
        <v>Classic Furnishings 746</v>
      </c>
      <c r="W394" t="s">
        <v>90</v>
      </c>
      <c r="X394" t="str">
        <f t="shared" si="98"/>
        <v>Same Day</v>
      </c>
      <c r="Y394">
        <v>3</v>
      </c>
      <c r="Z394">
        <v>9</v>
      </c>
      <c r="AA394">
        <v>4053.01</v>
      </c>
      <c r="AB394">
        <v>0</v>
      </c>
      <c r="AC394">
        <f t="shared" si="99"/>
        <v>0</v>
      </c>
      <c r="AD394">
        <v>36477.09</v>
      </c>
      <c r="AE394">
        <f t="shared" si="100"/>
        <v>36477.09</v>
      </c>
      <c r="AF394">
        <v>24525.48</v>
      </c>
      <c r="AG394">
        <v>11951.61</v>
      </c>
      <c r="AH394">
        <f t="shared" si="101"/>
        <v>11951.61</v>
      </c>
      <c r="AI394">
        <f t="shared" si="102"/>
        <v>0.327647024474814</v>
      </c>
      <c r="AJ394" t="s">
        <v>77</v>
      </c>
      <c r="AK394" t="str">
        <f t="shared" si="103"/>
        <v>Paid</v>
      </c>
      <c r="AL394" t="s">
        <v>78</v>
      </c>
      <c r="AM394" t="str">
        <f t="shared" si="104"/>
        <v>Completed</v>
      </c>
      <c r="AN394">
        <v>2</v>
      </c>
      <c r="AO394">
        <v>2024</v>
      </c>
      <c r="AP394" t="s">
        <v>79</v>
      </c>
    </row>
    <row r="395" spans="1:42">
      <c r="A395" t="s">
        <v>2002</v>
      </c>
      <c r="B395" s="3" t="s">
        <v>2003</v>
      </c>
      <c r="C395" s="3">
        <v>45527</v>
      </c>
      <c r="D395" t="s">
        <v>2004</v>
      </c>
      <c r="E395" s="3">
        <v>45533</v>
      </c>
      <c r="F395" t="s">
        <v>2005</v>
      </c>
      <c r="G395" t="s">
        <v>84</v>
      </c>
      <c r="H395" t="str">
        <f t="shared" si="90"/>
        <v>Mira Das</v>
      </c>
      <c r="I395" t="s">
        <v>147</v>
      </c>
      <c r="J395" t="str">
        <f t="shared" si="91"/>
        <v>Corporate</v>
      </c>
      <c r="K395" t="s">
        <v>8</v>
      </c>
      <c r="L395" t="str">
        <f t="shared" si="92"/>
        <v>North</v>
      </c>
      <c r="M395" t="s">
        <v>214</v>
      </c>
      <c r="N395" t="str">
        <f t="shared" si="93"/>
        <v>Uttar Pradesh</v>
      </c>
      <c r="O395" t="s">
        <v>215</v>
      </c>
      <c r="P395" t="str">
        <f t="shared" si="94"/>
        <v>Noida</v>
      </c>
      <c r="Q395" t="s">
        <v>22</v>
      </c>
      <c r="R395" t="str">
        <f t="shared" si="95"/>
        <v>Office Supplies</v>
      </c>
      <c r="S395" t="s">
        <v>148</v>
      </c>
      <c r="T395" t="str">
        <f t="shared" si="96"/>
        <v>Labels</v>
      </c>
      <c r="U395" t="s">
        <v>2006</v>
      </c>
      <c r="V395" t="str">
        <f t="shared" si="97"/>
        <v>Eco Labels 815</v>
      </c>
      <c r="W395" t="s">
        <v>90</v>
      </c>
      <c r="X395" t="str">
        <f t="shared" si="98"/>
        <v>Same Day</v>
      </c>
      <c r="Y395">
        <v>6</v>
      </c>
      <c r="Z395">
        <v>2</v>
      </c>
      <c r="AA395">
        <v>1936.91</v>
      </c>
      <c r="AB395">
        <v>0.05</v>
      </c>
      <c r="AC395">
        <f t="shared" si="99"/>
        <v>0.05</v>
      </c>
      <c r="AD395">
        <v>3680.13</v>
      </c>
      <c r="AE395">
        <f t="shared" si="100"/>
        <v>3680.129</v>
      </c>
      <c r="AF395">
        <v>2967.46</v>
      </c>
      <c r="AG395">
        <v>712.67</v>
      </c>
      <c r="AH395">
        <f t="shared" si="101"/>
        <v>712.669</v>
      </c>
      <c r="AI395">
        <f t="shared" si="102"/>
        <v>0.193653265958883</v>
      </c>
      <c r="AJ395" t="s">
        <v>77</v>
      </c>
      <c r="AK395" t="str">
        <f t="shared" si="103"/>
        <v>Paid</v>
      </c>
      <c r="AL395" t="s">
        <v>78</v>
      </c>
      <c r="AM395" t="str">
        <f t="shared" si="104"/>
        <v>Completed</v>
      </c>
      <c r="AN395">
        <v>8</v>
      </c>
      <c r="AO395">
        <v>2024</v>
      </c>
      <c r="AP395" t="s">
        <v>79</v>
      </c>
    </row>
    <row r="396" spans="1:42">
      <c r="A396" t="s">
        <v>2007</v>
      </c>
      <c r="B396" s="3" t="s">
        <v>2008</v>
      </c>
      <c r="C396" s="3">
        <v>45385</v>
      </c>
      <c r="D396" t="s">
        <v>2009</v>
      </c>
      <c r="E396" s="3">
        <v>45386</v>
      </c>
      <c r="F396" t="s">
        <v>2010</v>
      </c>
      <c r="G396" t="s">
        <v>411</v>
      </c>
      <c r="H396" t="str">
        <f t="shared" si="90"/>
        <v>Kabir Singh</v>
      </c>
      <c r="I396" t="s">
        <v>71</v>
      </c>
      <c r="J396" t="str">
        <f t="shared" si="91"/>
        <v>Consumer</v>
      </c>
      <c r="K396" t="s">
        <v>11</v>
      </c>
      <c r="L396" t="str">
        <f t="shared" si="92"/>
        <v>West</v>
      </c>
      <c r="M396" t="s">
        <v>114</v>
      </c>
      <c r="N396" t="str">
        <f t="shared" si="93"/>
        <v>Maharashtra</v>
      </c>
      <c r="O396" t="s">
        <v>115</v>
      </c>
      <c r="P396" t="str">
        <f t="shared" si="94"/>
        <v>Mumbai</v>
      </c>
      <c r="Q396" t="s">
        <v>19</v>
      </c>
      <c r="R396" t="str">
        <f t="shared" si="95"/>
        <v>Furniture</v>
      </c>
      <c r="S396" t="s">
        <v>106</v>
      </c>
      <c r="T396" t="str">
        <f t="shared" si="96"/>
        <v>Furnishings</v>
      </c>
      <c r="U396" t="s">
        <v>2011</v>
      </c>
      <c r="V396" t="str">
        <f t="shared" si="97"/>
        <v>Prime Furnishings 879</v>
      </c>
      <c r="W396" t="s">
        <v>98</v>
      </c>
      <c r="X396" t="str">
        <f t="shared" si="98"/>
        <v>First Class</v>
      </c>
      <c r="Y396">
        <v>1</v>
      </c>
      <c r="Z396">
        <v>7</v>
      </c>
      <c r="AA396">
        <v>3945.21</v>
      </c>
      <c r="AB396">
        <v>0</v>
      </c>
      <c r="AC396">
        <f t="shared" si="99"/>
        <v>0</v>
      </c>
      <c r="AD396">
        <v>27616.47</v>
      </c>
      <c r="AE396">
        <f t="shared" si="100"/>
        <v>27616.47</v>
      </c>
      <c r="AF396">
        <v>21225.26</v>
      </c>
      <c r="AG396">
        <v>6391.21</v>
      </c>
      <c r="AH396">
        <f t="shared" si="101"/>
        <v>6391.21</v>
      </c>
      <c r="AI396">
        <f t="shared" si="102"/>
        <v>0.231427477878237</v>
      </c>
      <c r="AJ396" t="s">
        <v>77</v>
      </c>
      <c r="AK396" t="str">
        <f t="shared" si="103"/>
        <v>Paid</v>
      </c>
      <c r="AL396" t="s">
        <v>78</v>
      </c>
      <c r="AM396" t="str">
        <f t="shared" si="104"/>
        <v>Completed</v>
      </c>
      <c r="AN396">
        <v>4</v>
      </c>
      <c r="AO396">
        <v>2024</v>
      </c>
      <c r="AP396" t="s">
        <v>79</v>
      </c>
    </row>
    <row r="397" spans="1:42">
      <c r="A397" t="s">
        <v>2012</v>
      </c>
      <c r="B397" s="3" t="s">
        <v>1118</v>
      </c>
      <c r="C397" s="3">
        <v>45449</v>
      </c>
      <c r="D397" t="s">
        <v>1808</v>
      </c>
      <c r="E397" s="3">
        <v>45450</v>
      </c>
      <c r="F397" t="s">
        <v>2013</v>
      </c>
      <c r="G397" t="s">
        <v>188</v>
      </c>
      <c r="H397" t="str">
        <f t="shared" si="90"/>
        <v>Rahul Verma</v>
      </c>
      <c r="I397" t="s">
        <v>154</v>
      </c>
      <c r="J397" t="str">
        <f t="shared" si="91"/>
        <v>Home Office</v>
      </c>
      <c r="K397" t="s">
        <v>10</v>
      </c>
      <c r="L397" t="str">
        <f t="shared" si="92"/>
        <v>South</v>
      </c>
      <c r="M397" t="s">
        <v>382</v>
      </c>
      <c r="N397" t="str">
        <f t="shared" si="93"/>
        <v>Tamil Nadu</v>
      </c>
      <c r="O397" t="s">
        <v>383</v>
      </c>
      <c r="P397" t="str">
        <f t="shared" si="94"/>
        <v>Chennai</v>
      </c>
      <c r="Q397" t="s">
        <v>19</v>
      </c>
      <c r="R397" t="str">
        <f t="shared" si="95"/>
        <v>Furniture</v>
      </c>
      <c r="S397" t="s">
        <v>88</v>
      </c>
      <c r="T397" t="str">
        <f t="shared" si="96"/>
        <v>Tables</v>
      </c>
      <c r="U397" t="s">
        <v>2014</v>
      </c>
      <c r="V397" t="str">
        <f t="shared" si="97"/>
        <v>Pro Tables 142</v>
      </c>
      <c r="W397" t="s">
        <v>90</v>
      </c>
      <c r="X397" t="str">
        <f t="shared" si="98"/>
        <v>Same Day</v>
      </c>
      <c r="Y397">
        <v>1</v>
      </c>
      <c r="Z397">
        <v>7</v>
      </c>
      <c r="AA397">
        <v>861.91</v>
      </c>
      <c r="AB397">
        <v>0.05</v>
      </c>
      <c r="AC397">
        <f t="shared" si="99"/>
        <v>0.05</v>
      </c>
      <c r="AD397">
        <v>5731.7</v>
      </c>
      <c r="AE397">
        <f t="shared" si="100"/>
        <v>5731.7015</v>
      </c>
      <c r="AF397">
        <v>4115.56</v>
      </c>
      <c r="AG397">
        <v>1616.14</v>
      </c>
      <c r="AH397">
        <f t="shared" si="101"/>
        <v>1616.1415</v>
      </c>
      <c r="AI397">
        <f t="shared" si="102"/>
        <v>0.281965398930841</v>
      </c>
      <c r="AJ397" t="s">
        <v>77</v>
      </c>
      <c r="AK397" t="str">
        <f t="shared" si="103"/>
        <v>Paid</v>
      </c>
      <c r="AL397" t="s">
        <v>78</v>
      </c>
      <c r="AM397" t="str">
        <f t="shared" si="104"/>
        <v>Completed</v>
      </c>
      <c r="AN397">
        <v>6</v>
      </c>
      <c r="AO397">
        <v>2024</v>
      </c>
      <c r="AP397" t="s">
        <v>79</v>
      </c>
    </row>
    <row r="398" spans="1:42">
      <c r="A398" t="s">
        <v>2015</v>
      </c>
      <c r="B398" s="3" t="s">
        <v>2016</v>
      </c>
      <c r="C398" s="3">
        <v>45761</v>
      </c>
      <c r="D398" t="s">
        <v>2017</v>
      </c>
      <c r="E398" s="3">
        <v>45769</v>
      </c>
      <c r="F398" t="s">
        <v>2018</v>
      </c>
      <c r="G398" t="s">
        <v>146</v>
      </c>
      <c r="H398" t="str">
        <f t="shared" si="90"/>
        <v>Aditi Sen</v>
      </c>
      <c r="I398" t="s">
        <v>85</v>
      </c>
      <c r="J398" t="str">
        <f t="shared" si="91"/>
        <v>Small Business</v>
      </c>
      <c r="K398" t="s">
        <v>10</v>
      </c>
      <c r="L398" t="str">
        <f t="shared" si="92"/>
        <v>South</v>
      </c>
      <c r="M398" t="s">
        <v>272</v>
      </c>
      <c r="N398" t="str">
        <f t="shared" si="93"/>
        <v>Karnataka</v>
      </c>
      <c r="O398" t="s">
        <v>273</v>
      </c>
      <c r="P398" t="str">
        <f t="shared" si="94"/>
        <v>Bengaluru</v>
      </c>
      <c r="Q398" t="s">
        <v>24</v>
      </c>
      <c r="R398" t="str">
        <f t="shared" si="95"/>
        <v>Technology</v>
      </c>
      <c r="S398" t="s">
        <v>427</v>
      </c>
      <c r="T398" t="str">
        <f t="shared" si="96"/>
        <v>Machines</v>
      </c>
      <c r="U398" t="s">
        <v>2019</v>
      </c>
      <c r="V398" t="str">
        <f t="shared" si="97"/>
        <v>Prime Machines 267</v>
      </c>
      <c r="W398" t="s">
        <v>108</v>
      </c>
      <c r="X398" t="str">
        <f t="shared" si="98"/>
        <v>Standard Class</v>
      </c>
      <c r="Y398">
        <v>8</v>
      </c>
      <c r="Z398">
        <v>2</v>
      </c>
      <c r="AA398">
        <v>638.73</v>
      </c>
      <c r="AB398">
        <v>0.05</v>
      </c>
      <c r="AC398">
        <f t="shared" si="99"/>
        <v>0.05</v>
      </c>
      <c r="AD398">
        <v>1213.59</v>
      </c>
      <c r="AE398">
        <f t="shared" si="100"/>
        <v>1213.587</v>
      </c>
      <c r="AF398">
        <v>956.22</v>
      </c>
      <c r="AG398">
        <v>257.37</v>
      </c>
      <c r="AH398">
        <f t="shared" si="101"/>
        <v>257.367</v>
      </c>
      <c r="AI398">
        <f t="shared" si="102"/>
        <v>0.212071322451542</v>
      </c>
      <c r="AJ398" t="s">
        <v>77</v>
      </c>
      <c r="AK398" t="str">
        <f t="shared" si="103"/>
        <v>Paid</v>
      </c>
      <c r="AL398" t="s">
        <v>78</v>
      </c>
      <c r="AM398" t="str">
        <f t="shared" si="104"/>
        <v>Completed</v>
      </c>
      <c r="AN398">
        <v>4</v>
      </c>
      <c r="AO398">
        <v>2025</v>
      </c>
      <c r="AP398" t="s">
        <v>79</v>
      </c>
    </row>
    <row r="399" spans="1:42">
      <c r="A399" t="s">
        <v>2020</v>
      </c>
      <c r="B399" s="3" t="s">
        <v>2021</v>
      </c>
      <c r="C399" s="3">
        <v>45817</v>
      </c>
      <c r="D399" t="s">
        <v>2022</v>
      </c>
      <c r="E399" s="3">
        <v>45818</v>
      </c>
      <c r="F399" t="s">
        <v>2023</v>
      </c>
      <c r="G399" t="s">
        <v>208</v>
      </c>
      <c r="H399" t="str">
        <f t="shared" si="90"/>
        <v>Sneha Kapoor</v>
      </c>
      <c r="I399" t="s">
        <v>85</v>
      </c>
      <c r="J399" t="str">
        <f t="shared" si="91"/>
        <v>Small Business</v>
      </c>
      <c r="K399" t="s">
        <v>8</v>
      </c>
      <c r="L399" t="str">
        <f t="shared" si="92"/>
        <v>North</v>
      </c>
      <c r="M399" t="s">
        <v>214</v>
      </c>
      <c r="N399" t="str">
        <f t="shared" si="93"/>
        <v>Uttar Pradesh</v>
      </c>
      <c r="O399" t="s">
        <v>215</v>
      </c>
      <c r="P399" t="str">
        <f t="shared" si="94"/>
        <v>Noida</v>
      </c>
      <c r="Q399" t="s">
        <v>19</v>
      </c>
      <c r="R399" t="str">
        <f t="shared" si="95"/>
        <v>Furniture</v>
      </c>
      <c r="S399" t="s">
        <v>88</v>
      </c>
      <c r="T399" t="str">
        <f t="shared" si="96"/>
        <v>Tables</v>
      </c>
      <c r="U399" t="s">
        <v>2024</v>
      </c>
      <c r="V399" t="str">
        <f t="shared" si="97"/>
        <v>Eco Tables 378</v>
      </c>
      <c r="W399" t="s">
        <v>76</v>
      </c>
      <c r="X399" t="str">
        <f t="shared" si="98"/>
        <v>Second Class</v>
      </c>
      <c r="Y399">
        <v>1</v>
      </c>
      <c r="Z399">
        <v>2</v>
      </c>
      <c r="AA399">
        <v>1731.88</v>
      </c>
      <c r="AB399">
        <v>0</v>
      </c>
      <c r="AC399">
        <f t="shared" si="99"/>
        <v>0</v>
      </c>
      <c r="AD399">
        <v>3463.76</v>
      </c>
      <c r="AE399">
        <f t="shared" si="100"/>
        <v>3463.76</v>
      </c>
      <c r="AF399">
        <v>2143.74</v>
      </c>
      <c r="AG399">
        <v>1320.02</v>
      </c>
      <c r="AH399">
        <f t="shared" si="101"/>
        <v>1320.02</v>
      </c>
      <c r="AI399">
        <f t="shared" si="102"/>
        <v>0.38109453310853</v>
      </c>
      <c r="AJ399" t="s">
        <v>77</v>
      </c>
      <c r="AK399" t="str">
        <f t="shared" si="103"/>
        <v>Paid</v>
      </c>
      <c r="AL399" t="s">
        <v>78</v>
      </c>
      <c r="AM399" t="str">
        <f t="shared" si="104"/>
        <v>Completed</v>
      </c>
      <c r="AN399">
        <v>6</v>
      </c>
      <c r="AO399">
        <v>2025</v>
      </c>
      <c r="AP399" t="s">
        <v>79</v>
      </c>
    </row>
    <row r="400" spans="1:42">
      <c r="A400" t="s">
        <v>2025</v>
      </c>
      <c r="B400" s="3" t="s">
        <v>2026</v>
      </c>
      <c r="C400" s="3">
        <v>45492</v>
      </c>
      <c r="D400" t="s">
        <v>2027</v>
      </c>
      <c r="E400" s="3">
        <v>45499</v>
      </c>
      <c r="F400" t="s">
        <v>2028</v>
      </c>
      <c r="G400" t="s">
        <v>123</v>
      </c>
      <c r="H400" t="str">
        <f t="shared" si="90"/>
        <v>Vikram Iyer</v>
      </c>
      <c r="I400" t="s">
        <v>2029</v>
      </c>
      <c r="J400" t="str">
        <f t="shared" si="91"/>
        <v>Corporate</v>
      </c>
      <c r="K400" t="s">
        <v>8</v>
      </c>
      <c r="L400" t="str">
        <f t="shared" si="92"/>
        <v>North</v>
      </c>
      <c r="M400" t="s">
        <v>194</v>
      </c>
      <c r="N400" t="str">
        <f t="shared" si="93"/>
        <v>Punjab</v>
      </c>
      <c r="O400" t="s">
        <v>195</v>
      </c>
      <c r="P400" t="str">
        <f t="shared" si="94"/>
        <v>Ludhiana</v>
      </c>
      <c r="Q400" t="s">
        <v>24</v>
      </c>
      <c r="R400" t="str">
        <f t="shared" si="95"/>
        <v>Technology</v>
      </c>
      <c r="S400" t="s">
        <v>427</v>
      </c>
      <c r="T400" t="str">
        <f t="shared" si="96"/>
        <v>Machines</v>
      </c>
      <c r="U400" t="s">
        <v>2030</v>
      </c>
      <c r="V400" t="str">
        <f t="shared" si="97"/>
        <v>Elite Machines 523</v>
      </c>
      <c r="W400" t="s">
        <v>90</v>
      </c>
      <c r="X400" t="str">
        <f t="shared" si="98"/>
        <v>Same Day</v>
      </c>
      <c r="Y400">
        <v>7</v>
      </c>
      <c r="Z400">
        <v>2</v>
      </c>
      <c r="AA400">
        <v>1263.65</v>
      </c>
      <c r="AB400">
        <v>0.2</v>
      </c>
      <c r="AC400">
        <f t="shared" si="99"/>
        <v>0.2</v>
      </c>
      <c r="AD400">
        <v>2021.84</v>
      </c>
      <c r="AE400">
        <f t="shared" si="100"/>
        <v>2021.84</v>
      </c>
      <c r="AF400">
        <v>1355.22</v>
      </c>
      <c r="AG400">
        <v>666.62</v>
      </c>
      <c r="AH400">
        <f t="shared" si="101"/>
        <v>666.62</v>
      </c>
      <c r="AI400">
        <f t="shared" si="102"/>
        <v>0.329709571479445</v>
      </c>
      <c r="AJ400" t="s">
        <v>77</v>
      </c>
      <c r="AK400" t="str">
        <f t="shared" si="103"/>
        <v>Paid</v>
      </c>
      <c r="AL400" t="s">
        <v>78</v>
      </c>
      <c r="AM400" t="str">
        <f t="shared" si="104"/>
        <v>Completed</v>
      </c>
      <c r="AN400">
        <v>7</v>
      </c>
      <c r="AO400">
        <v>2024</v>
      </c>
      <c r="AP400" t="s">
        <v>79</v>
      </c>
    </row>
    <row r="401" spans="1:42">
      <c r="A401" t="s">
        <v>2031</v>
      </c>
      <c r="B401" s="3" t="s">
        <v>2032</v>
      </c>
      <c r="C401" s="3">
        <v>45771</v>
      </c>
      <c r="D401" t="s">
        <v>2033</v>
      </c>
      <c r="E401" s="3">
        <v>45776</v>
      </c>
      <c r="F401" t="s">
        <v>2034</v>
      </c>
      <c r="G401" t="s">
        <v>251</v>
      </c>
      <c r="H401" t="str">
        <f t="shared" si="90"/>
        <v>Diya Patel</v>
      </c>
      <c r="I401" t="s">
        <v>85</v>
      </c>
      <c r="J401" t="str">
        <f t="shared" si="91"/>
        <v>Small Business</v>
      </c>
      <c r="K401" t="s">
        <v>10</v>
      </c>
      <c r="L401" t="str">
        <f t="shared" si="92"/>
        <v>South</v>
      </c>
      <c r="M401" t="s">
        <v>139</v>
      </c>
      <c r="N401" t="str">
        <f t="shared" si="93"/>
        <v>Andhra Pradesh</v>
      </c>
      <c r="O401" t="s">
        <v>140</v>
      </c>
      <c r="P401" t="str">
        <f t="shared" si="94"/>
        <v>Vijayawada</v>
      </c>
      <c r="Q401" t="s">
        <v>22</v>
      </c>
      <c r="R401" t="str">
        <f t="shared" si="95"/>
        <v>Office Supplies</v>
      </c>
      <c r="S401" t="s">
        <v>74</v>
      </c>
      <c r="T401" t="str">
        <f t="shared" si="96"/>
        <v>Paper</v>
      </c>
      <c r="U401" t="s">
        <v>2035</v>
      </c>
      <c r="V401" t="str">
        <f t="shared" si="97"/>
        <v>Elite Paper 308</v>
      </c>
      <c r="W401" t="s">
        <v>90</v>
      </c>
      <c r="X401" t="str">
        <f t="shared" si="98"/>
        <v>Same Day</v>
      </c>
      <c r="Y401">
        <v>5</v>
      </c>
      <c r="Z401">
        <v>1</v>
      </c>
      <c r="AA401">
        <v>4358.5</v>
      </c>
      <c r="AB401">
        <v>0.25</v>
      </c>
      <c r="AC401">
        <f t="shared" si="99"/>
        <v>0.25</v>
      </c>
      <c r="AD401">
        <v>3268.88</v>
      </c>
      <c r="AE401">
        <f t="shared" si="100"/>
        <v>3268.875</v>
      </c>
      <c r="AF401">
        <v>1993.74</v>
      </c>
      <c r="AG401">
        <v>1275.14</v>
      </c>
      <c r="AH401">
        <f t="shared" si="101"/>
        <v>1275.135</v>
      </c>
      <c r="AI401">
        <f t="shared" si="102"/>
        <v>0.39008374440748</v>
      </c>
      <c r="AJ401" t="s">
        <v>77</v>
      </c>
      <c r="AK401" t="str">
        <f t="shared" si="103"/>
        <v>Paid</v>
      </c>
      <c r="AL401" t="s">
        <v>78</v>
      </c>
      <c r="AM401" t="str">
        <f t="shared" si="104"/>
        <v>Completed</v>
      </c>
      <c r="AN401">
        <v>4</v>
      </c>
      <c r="AO401">
        <v>2025</v>
      </c>
      <c r="AP401" t="s">
        <v>79</v>
      </c>
    </row>
    <row r="402" spans="1:42">
      <c r="A402" t="s">
        <v>2036</v>
      </c>
      <c r="B402" s="3" t="s">
        <v>2037</v>
      </c>
      <c r="C402" s="3">
        <v>45814</v>
      </c>
      <c r="D402" t="s">
        <v>2038</v>
      </c>
      <c r="E402" s="3">
        <v>45819</v>
      </c>
      <c r="F402" t="s">
        <v>2039</v>
      </c>
      <c r="G402" t="s">
        <v>208</v>
      </c>
      <c r="H402" t="str">
        <f t="shared" si="90"/>
        <v>Sneha Kapoor</v>
      </c>
      <c r="I402" t="s">
        <v>85</v>
      </c>
      <c r="J402" t="str">
        <f t="shared" si="91"/>
        <v>Small Business</v>
      </c>
      <c r="K402" t="s">
        <v>8</v>
      </c>
      <c r="L402" t="str">
        <f t="shared" si="92"/>
        <v>North</v>
      </c>
      <c r="M402" t="s">
        <v>214</v>
      </c>
      <c r="N402" t="str">
        <f t="shared" si="93"/>
        <v>Uttar Pradesh</v>
      </c>
      <c r="O402" t="s">
        <v>215</v>
      </c>
      <c r="P402" t="str">
        <f t="shared" si="94"/>
        <v>Noida</v>
      </c>
      <c r="Q402" t="s">
        <v>22</v>
      </c>
      <c r="R402" t="str">
        <f t="shared" si="95"/>
        <v>Office Supplies</v>
      </c>
      <c r="S402" t="s">
        <v>74</v>
      </c>
      <c r="T402" t="str">
        <f t="shared" si="96"/>
        <v>Paper</v>
      </c>
      <c r="U402" t="s">
        <v>2040</v>
      </c>
      <c r="V402" t="str">
        <f t="shared" si="97"/>
        <v>Prime Paper 851</v>
      </c>
      <c r="W402" t="s">
        <v>90</v>
      </c>
      <c r="X402" t="str">
        <f t="shared" si="98"/>
        <v>Same Day</v>
      </c>
      <c r="Y402">
        <v>5</v>
      </c>
      <c r="Z402">
        <v>7</v>
      </c>
      <c r="AA402">
        <v>878.09</v>
      </c>
      <c r="AB402">
        <v>-0.1</v>
      </c>
      <c r="AC402">
        <f t="shared" si="99"/>
        <v>0</v>
      </c>
      <c r="AD402">
        <v>5839.3</v>
      </c>
      <c r="AE402">
        <f t="shared" si="100"/>
        <v>6146.63</v>
      </c>
      <c r="AF402">
        <v>4877.38</v>
      </c>
      <c r="AG402">
        <v>961.92</v>
      </c>
      <c r="AH402">
        <f t="shared" si="101"/>
        <v>1269.25</v>
      </c>
      <c r="AI402">
        <f t="shared" si="102"/>
        <v>0.206495266511894</v>
      </c>
      <c r="AJ402" t="s">
        <v>77</v>
      </c>
      <c r="AK402" t="str">
        <f t="shared" si="103"/>
        <v>Paid</v>
      </c>
      <c r="AL402" t="s">
        <v>78</v>
      </c>
      <c r="AM402" t="str">
        <f t="shared" si="104"/>
        <v>Completed</v>
      </c>
      <c r="AN402">
        <v>6</v>
      </c>
      <c r="AO402">
        <v>2025</v>
      </c>
      <c r="AP402" t="s">
        <v>222</v>
      </c>
    </row>
    <row r="403" spans="1:42">
      <c r="A403" t="s">
        <v>2041</v>
      </c>
      <c r="B403" s="3" t="s">
        <v>2042</v>
      </c>
      <c r="C403" s="3">
        <v>45725</v>
      </c>
      <c r="D403" t="s">
        <v>2043</v>
      </c>
      <c r="E403" s="3">
        <v>45732</v>
      </c>
      <c r="F403" t="s">
        <v>2044</v>
      </c>
      <c r="G403" t="s">
        <v>103</v>
      </c>
      <c r="H403" t="str">
        <f t="shared" si="90"/>
        <v>Arjun Bose</v>
      </c>
      <c r="I403" t="s">
        <v>85</v>
      </c>
      <c r="J403" t="str">
        <f t="shared" si="91"/>
        <v>Small Business</v>
      </c>
      <c r="K403" t="s">
        <v>7</v>
      </c>
      <c r="L403" t="str">
        <f t="shared" si="92"/>
        <v>East</v>
      </c>
      <c r="M403" t="s">
        <v>354</v>
      </c>
      <c r="N403" t="str">
        <f t="shared" si="93"/>
        <v>Jharkhand</v>
      </c>
      <c r="O403" t="s">
        <v>355</v>
      </c>
      <c r="P403" t="str">
        <f t="shared" si="94"/>
        <v>Ranchi</v>
      </c>
      <c r="Q403" t="s">
        <v>19</v>
      </c>
      <c r="R403" t="str">
        <f t="shared" si="95"/>
        <v>Furniture</v>
      </c>
      <c r="S403" t="s">
        <v>88</v>
      </c>
      <c r="T403" t="str">
        <f t="shared" si="96"/>
        <v>Tables</v>
      </c>
      <c r="U403" t="s">
        <v>2045</v>
      </c>
      <c r="V403" t="str">
        <f t="shared" si="97"/>
        <v>Classic Tables 151</v>
      </c>
      <c r="W403" t="s">
        <v>90</v>
      </c>
      <c r="X403" t="str">
        <f t="shared" si="98"/>
        <v>Same Day</v>
      </c>
      <c r="Y403">
        <v>7</v>
      </c>
      <c r="Z403">
        <v>3</v>
      </c>
      <c r="AA403">
        <v>2625.85</v>
      </c>
      <c r="AB403">
        <v>0</v>
      </c>
      <c r="AC403">
        <f t="shared" si="99"/>
        <v>0</v>
      </c>
      <c r="AD403">
        <v>7877.55</v>
      </c>
      <c r="AE403">
        <f t="shared" si="100"/>
        <v>7877.55</v>
      </c>
      <c r="AF403">
        <v>5562.77</v>
      </c>
      <c r="AG403">
        <v>2314.78</v>
      </c>
      <c r="AH403">
        <f t="shared" si="101"/>
        <v>2314.78</v>
      </c>
      <c r="AI403">
        <f t="shared" si="102"/>
        <v>0.293845167596524</v>
      </c>
      <c r="AJ403" t="s">
        <v>77</v>
      </c>
      <c r="AK403" t="str">
        <f t="shared" si="103"/>
        <v>Paid</v>
      </c>
      <c r="AL403" t="s">
        <v>78</v>
      </c>
      <c r="AM403" t="str">
        <f t="shared" si="104"/>
        <v>Completed</v>
      </c>
      <c r="AN403">
        <v>3</v>
      </c>
      <c r="AO403">
        <v>2025</v>
      </c>
      <c r="AP403" t="s">
        <v>79</v>
      </c>
    </row>
    <row r="404" spans="1:42">
      <c r="A404" t="s">
        <v>2046</v>
      </c>
      <c r="B404" s="3" t="s">
        <v>2047</v>
      </c>
      <c r="C404" s="3">
        <v>45373</v>
      </c>
      <c r="D404" t="s">
        <v>2048</v>
      </c>
      <c r="E404" s="3">
        <v>45373</v>
      </c>
      <c r="F404" t="s">
        <v>2049</v>
      </c>
      <c r="G404" t="s">
        <v>182</v>
      </c>
      <c r="H404" t="str">
        <f t="shared" si="90"/>
        <v>Priya Menon</v>
      </c>
      <c r="I404" t="s">
        <v>85</v>
      </c>
      <c r="J404" t="str">
        <f t="shared" si="91"/>
        <v>Small Business</v>
      </c>
      <c r="K404" t="s">
        <v>10</v>
      </c>
      <c r="L404" t="str">
        <f t="shared" si="92"/>
        <v>South</v>
      </c>
      <c r="M404" t="s">
        <v>272</v>
      </c>
      <c r="N404" t="str">
        <f t="shared" si="93"/>
        <v>Karnataka</v>
      </c>
      <c r="O404" t="s">
        <v>273</v>
      </c>
      <c r="P404" t="str">
        <f t="shared" si="94"/>
        <v>Bengaluru</v>
      </c>
      <c r="Q404" t="s">
        <v>19</v>
      </c>
      <c r="R404" t="str">
        <f t="shared" si="95"/>
        <v>Furniture</v>
      </c>
      <c r="S404" t="s">
        <v>88</v>
      </c>
      <c r="T404" t="str">
        <f t="shared" si="96"/>
        <v>Tables</v>
      </c>
      <c r="U404" t="s">
        <v>2050</v>
      </c>
      <c r="V404" t="str">
        <f t="shared" si="97"/>
        <v>Smart Tables 829</v>
      </c>
      <c r="X404" t="str">
        <f t="shared" si="98"/>
        <v/>
      </c>
      <c r="Y404">
        <v>0</v>
      </c>
      <c r="Z404">
        <v>3</v>
      </c>
      <c r="AA404">
        <v>1365.26</v>
      </c>
      <c r="AB404">
        <v>0</v>
      </c>
      <c r="AC404">
        <f t="shared" si="99"/>
        <v>0</v>
      </c>
      <c r="AD404">
        <v>4095.78</v>
      </c>
      <c r="AE404">
        <f t="shared" si="100"/>
        <v>4095.78</v>
      </c>
      <c r="AF404">
        <v>2807.77</v>
      </c>
      <c r="AG404">
        <v>1288.01</v>
      </c>
      <c r="AH404">
        <f t="shared" si="101"/>
        <v>1288.01</v>
      </c>
      <c r="AI404">
        <f t="shared" si="102"/>
        <v>0.314472457016734</v>
      </c>
      <c r="AJ404" t="s">
        <v>77</v>
      </c>
      <c r="AK404" t="str">
        <f t="shared" si="103"/>
        <v>Paid</v>
      </c>
      <c r="AL404" t="s">
        <v>78</v>
      </c>
      <c r="AM404" t="str">
        <f t="shared" si="104"/>
        <v>Completed</v>
      </c>
      <c r="AN404">
        <v>3</v>
      </c>
      <c r="AO404">
        <v>2024</v>
      </c>
      <c r="AP404" t="s">
        <v>79</v>
      </c>
    </row>
    <row r="405" spans="1:42">
      <c r="A405" t="s">
        <v>2051</v>
      </c>
      <c r="B405" s="3" t="s">
        <v>2052</v>
      </c>
      <c r="C405" s="3">
        <v>45565</v>
      </c>
      <c r="D405" t="s">
        <v>2053</v>
      </c>
      <c r="E405" s="3">
        <v>45569</v>
      </c>
      <c r="F405" t="s">
        <v>2054</v>
      </c>
      <c r="G405" t="s">
        <v>103</v>
      </c>
      <c r="H405" t="str">
        <f t="shared" si="90"/>
        <v>Arjun Bose</v>
      </c>
      <c r="I405" t="s">
        <v>85</v>
      </c>
      <c r="J405" t="str">
        <f t="shared" si="91"/>
        <v>Small Business</v>
      </c>
      <c r="K405" t="s">
        <v>10</v>
      </c>
      <c r="L405" t="str">
        <f t="shared" si="92"/>
        <v>South</v>
      </c>
      <c r="M405" t="s">
        <v>285</v>
      </c>
      <c r="N405" t="str">
        <f t="shared" si="93"/>
        <v>Kerala</v>
      </c>
      <c r="O405" t="s">
        <v>286</v>
      </c>
      <c r="P405" t="str">
        <f t="shared" si="94"/>
        <v>Kochi</v>
      </c>
      <c r="Q405" t="s">
        <v>22</v>
      </c>
      <c r="R405" t="str">
        <f t="shared" si="95"/>
        <v>Office Supplies</v>
      </c>
      <c r="S405" t="s">
        <v>2055</v>
      </c>
      <c r="T405" t="str">
        <f t="shared" si="96"/>
        <v>Paper</v>
      </c>
      <c r="U405" t="s">
        <v>2056</v>
      </c>
      <c r="V405" t="str">
        <f t="shared" si="97"/>
        <v>Classic Paper 237</v>
      </c>
      <c r="W405" t="s">
        <v>90</v>
      </c>
      <c r="X405" t="str">
        <f t="shared" si="98"/>
        <v>Same Day</v>
      </c>
      <c r="Y405">
        <v>4</v>
      </c>
      <c r="Z405">
        <v>5</v>
      </c>
      <c r="AA405">
        <v>3512.25</v>
      </c>
      <c r="AB405">
        <v>0.05</v>
      </c>
      <c r="AC405">
        <f t="shared" si="99"/>
        <v>0.05</v>
      </c>
      <c r="AD405">
        <v>16683.19</v>
      </c>
      <c r="AE405">
        <f t="shared" si="100"/>
        <v>16683.1875</v>
      </c>
      <c r="AF405">
        <v>10301.16</v>
      </c>
      <c r="AG405">
        <v>6382.03</v>
      </c>
      <c r="AH405">
        <f t="shared" si="101"/>
        <v>6382.0275</v>
      </c>
      <c r="AI405">
        <f t="shared" si="102"/>
        <v>0.382542454791688</v>
      </c>
      <c r="AJ405" t="s">
        <v>77</v>
      </c>
      <c r="AK405" t="str">
        <f t="shared" si="103"/>
        <v>Paid</v>
      </c>
      <c r="AL405" t="s">
        <v>164</v>
      </c>
      <c r="AM405" t="str">
        <f t="shared" si="104"/>
        <v>Returned</v>
      </c>
      <c r="AN405">
        <v>9</v>
      </c>
      <c r="AO405">
        <v>2024</v>
      </c>
      <c r="AP405" t="s">
        <v>79</v>
      </c>
    </row>
    <row r="406" spans="1:42">
      <c r="A406" t="s">
        <v>2057</v>
      </c>
      <c r="B406" s="3" t="s">
        <v>2058</v>
      </c>
      <c r="C406" s="3">
        <v>45318</v>
      </c>
      <c r="D406" t="s">
        <v>2059</v>
      </c>
      <c r="E406" s="3">
        <v>45325</v>
      </c>
      <c r="F406" t="s">
        <v>2060</v>
      </c>
      <c r="G406" t="s">
        <v>146</v>
      </c>
      <c r="H406" t="str">
        <f t="shared" si="90"/>
        <v>Aditi Sen</v>
      </c>
      <c r="I406" t="s">
        <v>147</v>
      </c>
      <c r="J406" t="str">
        <f t="shared" si="91"/>
        <v>Corporate</v>
      </c>
      <c r="K406" t="s">
        <v>11</v>
      </c>
      <c r="L406" t="str">
        <f t="shared" si="92"/>
        <v>West</v>
      </c>
      <c r="M406" t="s">
        <v>72</v>
      </c>
      <c r="N406" t="str">
        <f t="shared" si="93"/>
        <v>Rajasthan</v>
      </c>
      <c r="O406" t="s">
        <v>175</v>
      </c>
      <c r="P406" t="str">
        <f t="shared" si="94"/>
        <v>Udaipur</v>
      </c>
      <c r="Q406" t="s">
        <v>19</v>
      </c>
      <c r="R406" t="str">
        <f t="shared" si="95"/>
        <v>Furniture</v>
      </c>
      <c r="S406" t="s">
        <v>116</v>
      </c>
      <c r="T406" t="str">
        <f t="shared" si="96"/>
        <v>Chairs</v>
      </c>
      <c r="U406" t="s">
        <v>2061</v>
      </c>
      <c r="V406" t="str">
        <f t="shared" si="97"/>
        <v>Prime Chairs 891</v>
      </c>
      <c r="W406" t="s">
        <v>90</v>
      </c>
      <c r="X406" t="str">
        <f t="shared" si="98"/>
        <v>Same Day</v>
      </c>
      <c r="Y406">
        <v>7</v>
      </c>
      <c r="Z406">
        <v>3</v>
      </c>
      <c r="AA406">
        <v>359.61</v>
      </c>
      <c r="AB406">
        <v>0</v>
      </c>
      <c r="AC406">
        <f t="shared" si="99"/>
        <v>0</v>
      </c>
      <c r="AD406">
        <v>1078.83</v>
      </c>
      <c r="AE406">
        <f t="shared" si="100"/>
        <v>1078.83</v>
      </c>
      <c r="AF406">
        <v>926.35</v>
      </c>
      <c r="AG406">
        <v>152.48</v>
      </c>
      <c r="AH406">
        <f t="shared" si="101"/>
        <v>152.48</v>
      </c>
      <c r="AI406">
        <f t="shared" si="102"/>
        <v>0.14133830167867</v>
      </c>
      <c r="AJ406" t="s">
        <v>77</v>
      </c>
      <c r="AK406" t="str">
        <f t="shared" si="103"/>
        <v>Paid</v>
      </c>
      <c r="AL406" t="s">
        <v>1082</v>
      </c>
      <c r="AM406" t="str">
        <f t="shared" si="104"/>
        <v>Completed</v>
      </c>
      <c r="AN406">
        <v>1</v>
      </c>
      <c r="AO406">
        <v>2024</v>
      </c>
      <c r="AP406" t="s">
        <v>79</v>
      </c>
    </row>
    <row r="407" spans="1:42">
      <c r="A407" t="s">
        <v>2062</v>
      </c>
      <c r="B407" s="3" t="s">
        <v>2063</v>
      </c>
      <c r="C407" s="3">
        <v>45558</v>
      </c>
      <c r="D407" t="s">
        <v>2064</v>
      </c>
      <c r="E407" s="3">
        <v>45559</v>
      </c>
      <c r="F407" t="s">
        <v>2065</v>
      </c>
      <c r="G407" t="s">
        <v>146</v>
      </c>
      <c r="H407" t="str">
        <f t="shared" si="90"/>
        <v>Aditi Sen</v>
      </c>
      <c r="I407" t="s">
        <v>154</v>
      </c>
      <c r="J407" t="str">
        <f t="shared" si="91"/>
        <v>Home Office</v>
      </c>
      <c r="K407" t="s">
        <v>11</v>
      </c>
      <c r="L407" t="str">
        <f t="shared" si="92"/>
        <v>West</v>
      </c>
      <c r="M407" t="s">
        <v>278</v>
      </c>
      <c r="N407" t="str">
        <f t="shared" si="93"/>
        <v>Gujarat</v>
      </c>
      <c r="O407" t="s">
        <v>279</v>
      </c>
      <c r="P407" t="str">
        <f t="shared" si="94"/>
        <v>Ahmedabad</v>
      </c>
      <c r="Q407" t="s">
        <v>19</v>
      </c>
      <c r="R407" t="str">
        <f t="shared" si="95"/>
        <v>Furniture</v>
      </c>
      <c r="S407" t="s">
        <v>245</v>
      </c>
      <c r="T407" t="str">
        <f t="shared" si="96"/>
        <v>Bookcases</v>
      </c>
      <c r="U407" t="s">
        <v>2066</v>
      </c>
      <c r="V407" t="str">
        <f t="shared" si="97"/>
        <v>Max Bookcases 812</v>
      </c>
      <c r="X407" t="str">
        <f t="shared" si="98"/>
        <v/>
      </c>
      <c r="Y407">
        <v>1</v>
      </c>
      <c r="Z407">
        <v>7</v>
      </c>
      <c r="AA407">
        <v>3878.01</v>
      </c>
      <c r="AB407">
        <v>0.1</v>
      </c>
      <c r="AC407">
        <f t="shared" si="99"/>
        <v>0.1</v>
      </c>
      <c r="AD407">
        <v>24431.46</v>
      </c>
      <c r="AE407">
        <f t="shared" si="100"/>
        <v>24431.463</v>
      </c>
      <c r="AF407">
        <v>18202.36</v>
      </c>
      <c r="AG407">
        <v>6229.1</v>
      </c>
      <c r="AH407">
        <f t="shared" si="101"/>
        <v>6229.103</v>
      </c>
      <c r="AI407">
        <f t="shared" si="102"/>
        <v>0.254962340978107</v>
      </c>
      <c r="AJ407" t="s">
        <v>77</v>
      </c>
      <c r="AK407" t="str">
        <f t="shared" si="103"/>
        <v>Paid</v>
      </c>
      <c r="AL407" t="s">
        <v>78</v>
      </c>
      <c r="AM407" t="str">
        <f t="shared" si="104"/>
        <v>Completed</v>
      </c>
      <c r="AN407">
        <v>9</v>
      </c>
      <c r="AO407">
        <v>2024</v>
      </c>
      <c r="AP407" t="s">
        <v>79</v>
      </c>
    </row>
    <row r="408" spans="1:42">
      <c r="A408" t="s">
        <v>2067</v>
      </c>
      <c r="B408" s="3" t="s">
        <v>2068</v>
      </c>
      <c r="C408" s="3">
        <v>45713</v>
      </c>
      <c r="D408" t="s">
        <v>2068</v>
      </c>
      <c r="E408" s="3">
        <v>45713</v>
      </c>
      <c r="F408" t="s">
        <v>2069</v>
      </c>
      <c r="G408" t="s">
        <v>411</v>
      </c>
      <c r="H408" t="str">
        <f t="shared" si="90"/>
        <v>Kabir Singh</v>
      </c>
      <c r="I408" t="s">
        <v>85</v>
      </c>
      <c r="J408" t="str">
        <f t="shared" si="91"/>
        <v>Small Business</v>
      </c>
      <c r="K408" t="s">
        <v>11</v>
      </c>
      <c r="L408" t="str">
        <f t="shared" si="92"/>
        <v>West</v>
      </c>
      <c r="M408" t="s">
        <v>292</v>
      </c>
      <c r="N408" t="str">
        <f t="shared" si="93"/>
        <v>Goa</v>
      </c>
      <c r="O408" t="s">
        <v>293</v>
      </c>
      <c r="P408" t="str">
        <f t="shared" si="94"/>
        <v>Panaji</v>
      </c>
      <c r="Q408" t="s">
        <v>19</v>
      </c>
      <c r="R408" t="str">
        <f t="shared" si="95"/>
        <v>Furniture</v>
      </c>
      <c r="S408" t="s">
        <v>106</v>
      </c>
      <c r="T408" t="str">
        <f t="shared" si="96"/>
        <v>Furnishings</v>
      </c>
      <c r="U408" t="s">
        <v>2070</v>
      </c>
      <c r="V408" t="str">
        <f t="shared" si="97"/>
        <v>Basic Furnishings 164</v>
      </c>
      <c r="W408" t="s">
        <v>108</v>
      </c>
      <c r="X408" t="str">
        <f t="shared" si="98"/>
        <v>Standard Class</v>
      </c>
      <c r="Y408">
        <v>0</v>
      </c>
      <c r="Z408">
        <v>2</v>
      </c>
      <c r="AA408">
        <v>3924.2</v>
      </c>
      <c r="AB408">
        <v>0.25</v>
      </c>
      <c r="AC408">
        <f t="shared" si="99"/>
        <v>0.25</v>
      </c>
      <c r="AD408">
        <v>5886.3</v>
      </c>
      <c r="AE408">
        <f t="shared" si="100"/>
        <v>5886.3</v>
      </c>
      <c r="AF408">
        <v>3621.76</v>
      </c>
      <c r="AG408">
        <v>2264.54</v>
      </c>
      <c r="AH408">
        <f t="shared" si="101"/>
        <v>2264.54</v>
      </c>
      <c r="AI408">
        <f t="shared" si="102"/>
        <v>0.384713657136062</v>
      </c>
      <c r="AJ408" t="s">
        <v>177</v>
      </c>
      <c r="AK408" t="str">
        <f t="shared" si="103"/>
        <v>Pending</v>
      </c>
      <c r="AL408" t="s">
        <v>164</v>
      </c>
      <c r="AM408" t="str">
        <f t="shared" si="104"/>
        <v>Returned</v>
      </c>
      <c r="AN408">
        <v>2</v>
      </c>
      <c r="AO408">
        <v>2025</v>
      </c>
      <c r="AP408" t="s">
        <v>79</v>
      </c>
    </row>
    <row r="409" spans="1:42">
      <c r="A409" t="s">
        <v>2071</v>
      </c>
      <c r="B409" s="3" t="s">
        <v>2072</v>
      </c>
      <c r="C409" s="3">
        <v>45424</v>
      </c>
      <c r="D409" t="s">
        <v>2073</v>
      </c>
      <c r="E409" s="3">
        <v>45425</v>
      </c>
      <c r="F409" t="s">
        <v>2074</v>
      </c>
      <c r="G409" t="s">
        <v>188</v>
      </c>
      <c r="H409" t="str">
        <f t="shared" si="90"/>
        <v>Rahul Verma</v>
      </c>
      <c r="I409" t="s">
        <v>147</v>
      </c>
      <c r="J409" t="str">
        <f t="shared" si="91"/>
        <v>Corporate</v>
      </c>
      <c r="K409" t="s">
        <v>11</v>
      </c>
      <c r="L409" t="str">
        <f t="shared" si="92"/>
        <v>West</v>
      </c>
      <c r="M409" t="s">
        <v>292</v>
      </c>
      <c r="N409" t="str">
        <f t="shared" si="93"/>
        <v>Goa</v>
      </c>
      <c r="O409" t="s">
        <v>293</v>
      </c>
      <c r="P409" t="str">
        <f t="shared" si="94"/>
        <v>Panaji</v>
      </c>
      <c r="Q409" t="s">
        <v>22</v>
      </c>
      <c r="R409" t="str">
        <f t="shared" si="95"/>
        <v>Office Supplies</v>
      </c>
      <c r="S409" t="s">
        <v>148</v>
      </c>
      <c r="T409" t="str">
        <f t="shared" si="96"/>
        <v>Labels</v>
      </c>
      <c r="U409" t="s">
        <v>2075</v>
      </c>
      <c r="V409" t="str">
        <f t="shared" si="97"/>
        <v>Smart Labels 261</v>
      </c>
      <c r="W409" t="s">
        <v>76</v>
      </c>
      <c r="X409" t="str">
        <f t="shared" si="98"/>
        <v>Second Class</v>
      </c>
      <c r="Y409">
        <v>1</v>
      </c>
      <c r="Z409">
        <v>3</v>
      </c>
      <c r="AA409">
        <v>2644.55</v>
      </c>
      <c r="AB409">
        <v>0</v>
      </c>
      <c r="AC409">
        <f t="shared" si="99"/>
        <v>0</v>
      </c>
      <c r="AD409">
        <v>7933.65</v>
      </c>
      <c r="AE409">
        <f t="shared" si="100"/>
        <v>7933.65</v>
      </c>
      <c r="AF409">
        <v>5698.42</v>
      </c>
      <c r="AG409">
        <v>2235.23</v>
      </c>
      <c r="AH409">
        <f t="shared" si="101"/>
        <v>2235.23</v>
      </c>
      <c r="AI409">
        <f t="shared" si="102"/>
        <v>0.281740434730546</v>
      </c>
      <c r="AJ409" t="s">
        <v>77</v>
      </c>
      <c r="AK409" t="str">
        <f t="shared" si="103"/>
        <v>Paid</v>
      </c>
      <c r="AL409" t="s">
        <v>78</v>
      </c>
      <c r="AM409" t="str">
        <f t="shared" si="104"/>
        <v>Completed</v>
      </c>
      <c r="AN409">
        <v>5</v>
      </c>
      <c r="AO409">
        <v>2024</v>
      </c>
      <c r="AP409" t="s">
        <v>79</v>
      </c>
    </row>
    <row r="410" spans="1:42">
      <c r="A410" t="s">
        <v>2076</v>
      </c>
      <c r="B410" s="3" t="s">
        <v>870</v>
      </c>
      <c r="C410" s="3">
        <v>45870</v>
      </c>
      <c r="D410" t="s">
        <v>1131</v>
      </c>
      <c r="E410" s="3">
        <v>45872</v>
      </c>
      <c r="F410" t="s">
        <v>2077</v>
      </c>
      <c r="G410" t="s">
        <v>208</v>
      </c>
      <c r="H410" t="str">
        <f t="shared" si="90"/>
        <v>Sneha Kapoor</v>
      </c>
      <c r="I410" t="s">
        <v>71</v>
      </c>
      <c r="J410" t="str">
        <f t="shared" si="91"/>
        <v>Consumer</v>
      </c>
      <c r="K410" t="s">
        <v>11</v>
      </c>
      <c r="L410" t="str">
        <f t="shared" si="92"/>
        <v>West</v>
      </c>
      <c r="M410" t="s">
        <v>114</v>
      </c>
      <c r="N410" t="str">
        <f t="shared" si="93"/>
        <v>Maharashtra</v>
      </c>
      <c r="O410" t="s">
        <v>115</v>
      </c>
      <c r="P410" t="str">
        <f t="shared" si="94"/>
        <v>Mumbai</v>
      </c>
      <c r="Q410" t="s">
        <v>19</v>
      </c>
      <c r="R410" t="str">
        <f t="shared" si="95"/>
        <v>Furniture</v>
      </c>
      <c r="S410" t="s">
        <v>116</v>
      </c>
      <c r="T410" t="str">
        <f t="shared" si="96"/>
        <v>Chairs</v>
      </c>
      <c r="U410" t="s">
        <v>2078</v>
      </c>
      <c r="V410" t="str">
        <f t="shared" si="97"/>
        <v>Max Chairs 765</v>
      </c>
      <c r="W410" t="s">
        <v>98</v>
      </c>
      <c r="X410" t="str">
        <f t="shared" si="98"/>
        <v>First Class</v>
      </c>
      <c r="Y410">
        <v>2</v>
      </c>
      <c r="Z410">
        <v>4</v>
      </c>
      <c r="AA410">
        <v>1773.46</v>
      </c>
      <c r="AB410">
        <v>0</v>
      </c>
      <c r="AC410">
        <f t="shared" si="99"/>
        <v>0</v>
      </c>
      <c r="AD410">
        <v>7093.84</v>
      </c>
      <c r="AE410">
        <f t="shared" si="100"/>
        <v>7093.84</v>
      </c>
      <c r="AF410">
        <v>4587.49</v>
      </c>
      <c r="AG410">
        <v>2506.35</v>
      </c>
      <c r="AH410">
        <f t="shared" si="101"/>
        <v>2506.35</v>
      </c>
      <c r="AI410">
        <f t="shared" si="102"/>
        <v>0.353313579105252</v>
      </c>
      <c r="AJ410" t="s">
        <v>241</v>
      </c>
      <c r="AK410" t="str">
        <f t="shared" si="103"/>
        <v>Failed</v>
      </c>
      <c r="AL410" t="s">
        <v>164</v>
      </c>
      <c r="AM410" t="str">
        <f t="shared" si="104"/>
        <v>Returned</v>
      </c>
      <c r="AN410">
        <v>8</v>
      </c>
      <c r="AO410">
        <v>2025</v>
      </c>
      <c r="AP410" t="s">
        <v>79</v>
      </c>
    </row>
    <row r="411" spans="1:42">
      <c r="A411" t="s">
        <v>2079</v>
      </c>
      <c r="B411" s="3" t="s">
        <v>880</v>
      </c>
      <c r="C411" s="3">
        <v>45701</v>
      </c>
      <c r="D411" t="s">
        <v>821</v>
      </c>
      <c r="E411" s="3">
        <v>45703</v>
      </c>
      <c r="F411" t="s">
        <v>2080</v>
      </c>
      <c r="G411" t="s">
        <v>70</v>
      </c>
      <c r="H411" t="str">
        <f t="shared" si="90"/>
        <v>Karan Malhotra</v>
      </c>
      <c r="I411" t="s">
        <v>71</v>
      </c>
      <c r="J411" t="str">
        <f t="shared" si="91"/>
        <v>Consumer</v>
      </c>
      <c r="K411" t="s">
        <v>7</v>
      </c>
      <c r="L411" t="str">
        <f t="shared" si="92"/>
        <v>East</v>
      </c>
      <c r="M411" t="s">
        <v>258</v>
      </c>
      <c r="N411" t="str">
        <f t="shared" si="93"/>
        <v>Assam</v>
      </c>
      <c r="O411" t="s">
        <v>259</v>
      </c>
      <c r="P411" t="str">
        <f t="shared" si="94"/>
        <v>Guwahati</v>
      </c>
      <c r="Q411" t="s">
        <v>24</v>
      </c>
      <c r="R411" t="str">
        <f t="shared" si="95"/>
        <v>Technology</v>
      </c>
      <c r="S411" t="s">
        <v>126</v>
      </c>
      <c r="T411" t="str">
        <f t="shared" si="96"/>
        <v>Accessories</v>
      </c>
      <c r="U411" t="s">
        <v>2081</v>
      </c>
      <c r="V411" t="str">
        <f t="shared" si="97"/>
        <v>Pro Accessories 686</v>
      </c>
      <c r="W411" t="s">
        <v>90</v>
      </c>
      <c r="X411" t="str">
        <f t="shared" si="98"/>
        <v>Same Day</v>
      </c>
      <c r="Y411">
        <v>2</v>
      </c>
      <c r="Z411">
        <v>1</v>
      </c>
      <c r="AA411">
        <v>3025.46</v>
      </c>
      <c r="AB411">
        <v>0.25</v>
      </c>
      <c r="AC411">
        <f t="shared" si="99"/>
        <v>0.25</v>
      </c>
      <c r="AD411">
        <v>2269.1</v>
      </c>
      <c r="AE411">
        <f t="shared" si="100"/>
        <v>2269.095</v>
      </c>
      <c r="AF411">
        <v>1593.59</v>
      </c>
      <c r="AG411">
        <v>675.51</v>
      </c>
      <c r="AH411">
        <f t="shared" si="101"/>
        <v>675.505</v>
      </c>
      <c r="AI411">
        <f t="shared" si="102"/>
        <v>0.297697980913095</v>
      </c>
      <c r="AJ411" t="s">
        <v>163</v>
      </c>
      <c r="AK411" t="str">
        <f t="shared" si="103"/>
        <v>Refunded</v>
      </c>
      <c r="AL411" t="s">
        <v>164</v>
      </c>
      <c r="AM411" t="str">
        <f t="shared" si="104"/>
        <v>Returned</v>
      </c>
      <c r="AN411">
        <v>2</v>
      </c>
      <c r="AO411">
        <v>2025</v>
      </c>
      <c r="AP411" t="s">
        <v>79</v>
      </c>
    </row>
    <row r="412" spans="1:42">
      <c r="A412" t="s">
        <v>2082</v>
      </c>
      <c r="B412" s="3" t="s">
        <v>2083</v>
      </c>
      <c r="C412" s="3">
        <v>45394</v>
      </c>
      <c r="D412" t="s">
        <v>2084</v>
      </c>
      <c r="E412" s="3">
        <v>45402</v>
      </c>
      <c r="F412" t="s">
        <v>2085</v>
      </c>
      <c r="G412" t="s">
        <v>251</v>
      </c>
      <c r="H412" t="str">
        <f t="shared" si="90"/>
        <v>Diya Patel</v>
      </c>
      <c r="I412" t="s">
        <v>71</v>
      </c>
      <c r="J412" t="str">
        <f t="shared" si="91"/>
        <v>Consumer</v>
      </c>
      <c r="K412" t="s">
        <v>11</v>
      </c>
      <c r="L412" t="str">
        <f t="shared" si="92"/>
        <v>West</v>
      </c>
      <c r="M412" t="s">
        <v>292</v>
      </c>
      <c r="N412" t="str">
        <f t="shared" si="93"/>
        <v>Goa</v>
      </c>
      <c r="O412" t="s">
        <v>293</v>
      </c>
      <c r="P412" t="str">
        <f t="shared" si="94"/>
        <v>Panaji</v>
      </c>
      <c r="Q412" t="s">
        <v>19</v>
      </c>
      <c r="R412" t="str">
        <f t="shared" si="95"/>
        <v>Furniture</v>
      </c>
      <c r="S412" t="s">
        <v>88</v>
      </c>
      <c r="T412" t="str">
        <f t="shared" si="96"/>
        <v>Tables</v>
      </c>
      <c r="U412" t="s">
        <v>2086</v>
      </c>
      <c r="V412" t="str">
        <f t="shared" si="97"/>
        <v>Smart Tables 100</v>
      </c>
      <c r="W412" t="s">
        <v>98</v>
      </c>
      <c r="X412" t="str">
        <f t="shared" si="98"/>
        <v>First Class</v>
      </c>
      <c r="Y412">
        <v>8</v>
      </c>
      <c r="Z412">
        <v>9</v>
      </c>
      <c r="AA412">
        <v>1302.61</v>
      </c>
      <c r="AB412">
        <v>0.2</v>
      </c>
      <c r="AC412">
        <f t="shared" si="99"/>
        <v>0.2</v>
      </c>
      <c r="AD412">
        <v>9378.79</v>
      </c>
      <c r="AE412">
        <f t="shared" si="100"/>
        <v>9378.792</v>
      </c>
      <c r="AF412">
        <v>6774.48</v>
      </c>
      <c r="AG412">
        <v>2604.31</v>
      </c>
      <c r="AH412">
        <f t="shared" si="101"/>
        <v>2604.312</v>
      </c>
      <c r="AI412">
        <f t="shared" si="102"/>
        <v>0.277680963603842</v>
      </c>
      <c r="AJ412" t="s">
        <v>77</v>
      </c>
      <c r="AK412" t="str">
        <f t="shared" si="103"/>
        <v>Paid</v>
      </c>
      <c r="AL412" t="s">
        <v>78</v>
      </c>
      <c r="AM412" t="str">
        <f t="shared" si="104"/>
        <v>Completed</v>
      </c>
      <c r="AN412">
        <v>4</v>
      </c>
      <c r="AO412">
        <v>2024</v>
      </c>
      <c r="AP412" t="s">
        <v>79</v>
      </c>
    </row>
    <row r="413" spans="1:42">
      <c r="A413" t="s">
        <v>2087</v>
      </c>
      <c r="B413" s="3" t="s">
        <v>2088</v>
      </c>
      <c r="C413" s="3">
        <v>45892</v>
      </c>
      <c r="D413" t="s">
        <v>2089</v>
      </c>
      <c r="E413" s="3">
        <v>45897</v>
      </c>
      <c r="F413" t="s">
        <v>2090</v>
      </c>
      <c r="G413" t="s">
        <v>103</v>
      </c>
      <c r="H413" t="str">
        <f t="shared" si="90"/>
        <v>Arjun Bose</v>
      </c>
      <c r="I413" t="s">
        <v>154</v>
      </c>
      <c r="J413" t="str">
        <f t="shared" si="91"/>
        <v>Home Office</v>
      </c>
      <c r="K413" t="s">
        <v>11</v>
      </c>
      <c r="L413" t="str">
        <f t="shared" si="92"/>
        <v>West</v>
      </c>
      <c r="M413" t="s">
        <v>72</v>
      </c>
      <c r="N413" t="str">
        <f t="shared" si="93"/>
        <v>Rajasthan</v>
      </c>
      <c r="O413" t="s">
        <v>175</v>
      </c>
      <c r="P413" t="str">
        <f t="shared" si="94"/>
        <v>Udaipur</v>
      </c>
      <c r="Q413" t="s">
        <v>19</v>
      </c>
      <c r="R413" t="str">
        <f t="shared" si="95"/>
        <v>Furniture</v>
      </c>
      <c r="S413" t="s">
        <v>88</v>
      </c>
      <c r="T413" t="str">
        <f t="shared" si="96"/>
        <v>Tables</v>
      </c>
      <c r="U413" t="s">
        <v>2091</v>
      </c>
      <c r="V413" t="str">
        <f t="shared" si="97"/>
        <v>Basic Tables 615</v>
      </c>
      <c r="W413" t="s">
        <v>98</v>
      </c>
      <c r="X413" t="str">
        <f t="shared" si="98"/>
        <v>First Class</v>
      </c>
      <c r="Y413">
        <v>5</v>
      </c>
      <c r="Z413">
        <v>1</v>
      </c>
      <c r="AA413">
        <v>4167.81</v>
      </c>
      <c r="AB413">
        <v>0.2</v>
      </c>
      <c r="AC413">
        <f t="shared" si="99"/>
        <v>0.2</v>
      </c>
      <c r="AD413">
        <v>3334.25</v>
      </c>
      <c r="AE413">
        <f t="shared" si="100"/>
        <v>3334.248</v>
      </c>
      <c r="AF413">
        <v>2768.77</v>
      </c>
      <c r="AG413">
        <v>565.48</v>
      </c>
      <c r="AH413">
        <f t="shared" si="101"/>
        <v>565.478000000001</v>
      </c>
      <c r="AI413">
        <f t="shared" si="102"/>
        <v>0.169596862620897</v>
      </c>
      <c r="AJ413" t="s">
        <v>241</v>
      </c>
      <c r="AK413" t="str">
        <f t="shared" si="103"/>
        <v>Failed</v>
      </c>
      <c r="AL413" t="s">
        <v>164</v>
      </c>
      <c r="AM413" t="str">
        <f t="shared" si="104"/>
        <v>Returned</v>
      </c>
      <c r="AN413">
        <v>8</v>
      </c>
      <c r="AO413">
        <v>2025</v>
      </c>
      <c r="AP413" t="s">
        <v>79</v>
      </c>
    </row>
    <row r="414" spans="1:42">
      <c r="A414" t="s">
        <v>2092</v>
      </c>
      <c r="B414" s="3" t="s">
        <v>2093</v>
      </c>
      <c r="C414" s="3">
        <v>45313</v>
      </c>
      <c r="D414" t="s">
        <v>884</v>
      </c>
      <c r="E414" s="3">
        <v>45321</v>
      </c>
      <c r="F414" t="s">
        <v>2094</v>
      </c>
      <c r="G414" t="s">
        <v>95</v>
      </c>
      <c r="H414" t="str">
        <f t="shared" si="90"/>
        <v>Isha Nair</v>
      </c>
      <c r="I414" t="s">
        <v>147</v>
      </c>
      <c r="J414" t="str">
        <f t="shared" si="91"/>
        <v>Corporate</v>
      </c>
      <c r="K414" t="s">
        <v>10</v>
      </c>
      <c r="L414" t="str">
        <f t="shared" si="92"/>
        <v>South</v>
      </c>
      <c r="M414" t="s">
        <v>272</v>
      </c>
      <c r="N414" t="str">
        <f t="shared" si="93"/>
        <v>Karnataka</v>
      </c>
      <c r="O414" t="s">
        <v>273</v>
      </c>
      <c r="P414" t="str">
        <f t="shared" si="94"/>
        <v>Bengaluru</v>
      </c>
      <c r="Q414" t="s">
        <v>19</v>
      </c>
      <c r="R414" t="str">
        <f t="shared" si="95"/>
        <v>Furniture</v>
      </c>
      <c r="S414" t="s">
        <v>116</v>
      </c>
      <c r="T414" t="str">
        <f t="shared" si="96"/>
        <v>Chairs</v>
      </c>
      <c r="U414" t="s">
        <v>2095</v>
      </c>
      <c r="V414" t="str">
        <f t="shared" si="97"/>
        <v>Basic Chairs 790</v>
      </c>
      <c r="W414" t="s">
        <v>90</v>
      </c>
      <c r="X414" t="str">
        <f t="shared" si="98"/>
        <v>Same Day</v>
      </c>
      <c r="Y414">
        <v>8</v>
      </c>
      <c r="Z414">
        <v>1</v>
      </c>
      <c r="AA414">
        <v>2111.39</v>
      </c>
      <c r="AB414">
        <v>0.25</v>
      </c>
      <c r="AC414">
        <f t="shared" si="99"/>
        <v>0.25</v>
      </c>
      <c r="AD414">
        <v>1583.54</v>
      </c>
      <c r="AE414">
        <f t="shared" si="100"/>
        <v>1583.5425</v>
      </c>
      <c r="AF414">
        <v>1014.19</v>
      </c>
      <c r="AG414">
        <v>569.35</v>
      </c>
      <c r="AH414">
        <f t="shared" si="101"/>
        <v>569.3525</v>
      </c>
      <c r="AI414">
        <f t="shared" si="102"/>
        <v>0.359543555035624</v>
      </c>
      <c r="AJ414" t="s">
        <v>77</v>
      </c>
      <c r="AK414" t="str">
        <f t="shared" si="103"/>
        <v>Paid</v>
      </c>
      <c r="AL414" t="s">
        <v>78</v>
      </c>
      <c r="AM414" t="str">
        <f t="shared" si="104"/>
        <v>Completed</v>
      </c>
      <c r="AN414">
        <v>1</v>
      </c>
      <c r="AO414">
        <v>2024</v>
      </c>
      <c r="AP414" t="s">
        <v>79</v>
      </c>
    </row>
    <row r="415" spans="1:42">
      <c r="A415" t="s">
        <v>2096</v>
      </c>
      <c r="B415" s="3" t="s">
        <v>283</v>
      </c>
      <c r="C415" s="3">
        <v>45882</v>
      </c>
      <c r="D415" t="s">
        <v>2097</v>
      </c>
      <c r="E415" s="3">
        <v>45886</v>
      </c>
      <c r="F415" t="s">
        <v>2098</v>
      </c>
      <c r="G415" t="s">
        <v>132</v>
      </c>
      <c r="H415" t="str">
        <f t="shared" si="90"/>
        <v>Neha Gupta</v>
      </c>
      <c r="I415" t="s">
        <v>154</v>
      </c>
      <c r="J415" t="str">
        <f t="shared" si="91"/>
        <v>Home Office</v>
      </c>
      <c r="K415" t="s">
        <v>11</v>
      </c>
      <c r="L415" t="str">
        <f t="shared" si="92"/>
        <v>West</v>
      </c>
      <c r="M415" t="s">
        <v>124</v>
      </c>
      <c r="N415" t="str">
        <f t="shared" si="93"/>
        <v>Madhya Pradesh</v>
      </c>
      <c r="O415" t="s">
        <v>125</v>
      </c>
      <c r="P415" t="str">
        <f t="shared" si="94"/>
        <v>Indore</v>
      </c>
      <c r="Q415" t="s">
        <v>24</v>
      </c>
      <c r="R415" t="str">
        <f t="shared" si="95"/>
        <v>Technology</v>
      </c>
      <c r="S415" t="s">
        <v>126</v>
      </c>
      <c r="T415" t="str">
        <f t="shared" si="96"/>
        <v>Accessories</v>
      </c>
      <c r="U415" t="s">
        <v>2099</v>
      </c>
      <c r="V415" t="str">
        <f t="shared" si="97"/>
        <v>Smart Accessories 226</v>
      </c>
      <c r="W415" t="s">
        <v>76</v>
      </c>
      <c r="X415" t="str">
        <f t="shared" si="98"/>
        <v>Second Class</v>
      </c>
      <c r="Y415">
        <v>4</v>
      </c>
      <c r="Z415">
        <v>8</v>
      </c>
      <c r="AA415">
        <v>1918.23</v>
      </c>
      <c r="AB415">
        <v>0</v>
      </c>
      <c r="AC415">
        <f t="shared" si="99"/>
        <v>0</v>
      </c>
      <c r="AD415">
        <v>15345.84</v>
      </c>
      <c r="AE415">
        <f t="shared" si="100"/>
        <v>15345.84</v>
      </c>
      <c r="AF415">
        <v>10735.33</v>
      </c>
      <c r="AG415">
        <v>4610.51</v>
      </c>
      <c r="AH415">
        <f t="shared" si="101"/>
        <v>4610.51</v>
      </c>
      <c r="AI415">
        <f t="shared" si="102"/>
        <v>0.300440379933585</v>
      </c>
      <c r="AJ415" t="s">
        <v>177</v>
      </c>
      <c r="AK415" t="str">
        <f t="shared" si="103"/>
        <v>Pending</v>
      </c>
      <c r="AL415" t="s">
        <v>118</v>
      </c>
      <c r="AM415" t="str">
        <f t="shared" si="104"/>
        <v>Cancelled</v>
      </c>
      <c r="AN415">
        <v>8</v>
      </c>
      <c r="AO415">
        <v>2025</v>
      </c>
      <c r="AP415" t="s">
        <v>79</v>
      </c>
    </row>
    <row r="416" spans="1:42">
      <c r="A416" t="s">
        <v>2100</v>
      </c>
      <c r="B416" s="3" t="s">
        <v>2101</v>
      </c>
      <c r="C416" s="3">
        <v>45533</v>
      </c>
      <c r="D416" t="s">
        <v>2102</v>
      </c>
      <c r="E416" s="3">
        <v>45534</v>
      </c>
      <c r="F416" t="s">
        <v>2103</v>
      </c>
      <c r="G416" t="s">
        <v>103</v>
      </c>
      <c r="H416" t="str">
        <f t="shared" si="90"/>
        <v>Arjun Bose</v>
      </c>
      <c r="I416" t="s">
        <v>154</v>
      </c>
      <c r="J416" t="str">
        <f t="shared" si="91"/>
        <v>Home Office</v>
      </c>
      <c r="K416" t="s">
        <v>7</v>
      </c>
      <c r="L416" t="str">
        <f t="shared" si="92"/>
        <v>East</v>
      </c>
      <c r="M416" t="s">
        <v>258</v>
      </c>
      <c r="N416" t="str">
        <f t="shared" si="93"/>
        <v>Assam</v>
      </c>
      <c r="O416" t="s">
        <v>259</v>
      </c>
      <c r="P416" t="str">
        <f t="shared" si="94"/>
        <v>Guwahati</v>
      </c>
      <c r="Q416" t="s">
        <v>22</v>
      </c>
      <c r="R416" t="str">
        <f t="shared" si="95"/>
        <v>Office Supplies</v>
      </c>
      <c r="S416" t="s">
        <v>196</v>
      </c>
      <c r="T416" t="str">
        <f t="shared" si="96"/>
        <v>Storage</v>
      </c>
      <c r="U416" t="s">
        <v>2104</v>
      </c>
      <c r="V416" t="str">
        <f t="shared" si="97"/>
        <v>Max Storage 692</v>
      </c>
      <c r="W416" t="s">
        <v>98</v>
      </c>
      <c r="X416" t="str">
        <f t="shared" si="98"/>
        <v>First Class</v>
      </c>
      <c r="Y416">
        <v>1</v>
      </c>
      <c r="Z416">
        <v>4</v>
      </c>
      <c r="AA416">
        <v>2484.08</v>
      </c>
      <c r="AB416">
        <v>0.05</v>
      </c>
      <c r="AC416">
        <f t="shared" si="99"/>
        <v>0.05</v>
      </c>
      <c r="AD416">
        <v>9439.5</v>
      </c>
      <c r="AE416">
        <f t="shared" si="100"/>
        <v>9439.504</v>
      </c>
      <c r="AF416">
        <v>5519.39</v>
      </c>
      <c r="AG416">
        <v>3920.11</v>
      </c>
      <c r="AH416">
        <f t="shared" si="101"/>
        <v>3920.114</v>
      </c>
      <c r="AI416">
        <f t="shared" si="102"/>
        <v>0.4152881337833</v>
      </c>
      <c r="AJ416" t="s">
        <v>77</v>
      </c>
      <c r="AK416" t="str">
        <f t="shared" si="103"/>
        <v>Paid</v>
      </c>
      <c r="AL416" t="s">
        <v>78</v>
      </c>
      <c r="AM416" t="str">
        <f t="shared" si="104"/>
        <v>Completed</v>
      </c>
      <c r="AN416">
        <v>8</v>
      </c>
      <c r="AO416">
        <v>2024</v>
      </c>
      <c r="AP416" t="s">
        <v>79</v>
      </c>
    </row>
    <row r="417" spans="1:42">
      <c r="A417" t="s">
        <v>2105</v>
      </c>
      <c r="B417" s="3" t="s">
        <v>2106</v>
      </c>
      <c r="C417" s="3">
        <v>45316</v>
      </c>
      <c r="D417" t="s">
        <v>2058</v>
      </c>
      <c r="E417" s="3">
        <v>45318</v>
      </c>
      <c r="F417" t="s">
        <v>2107</v>
      </c>
      <c r="G417" t="s">
        <v>202</v>
      </c>
      <c r="H417" t="str">
        <f t="shared" si="90"/>
        <v>Aarav Sharma</v>
      </c>
      <c r="I417" t="s">
        <v>147</v>
      </c>
      <c r="J417" t="str">
        <f t="shared" si="91"/>
        <v>Corporate</v>
      </c>
      <c r="K417" t="s">
        <v>10</v>
      </c>
      <c r="L417" t="str">
        <f t="shared" si="92"/>
        <v>South</v>
      </c>
      <c r="M417" t="s">
        <v>272</v>
      </c>
      <c r="N417" t="str">
        <f t="shared" si="93"/>
        <v>Karnataka</v>
      </c>
      <c r="O417" t="s">
        <v>273</v>
      </c>
      <c r="P417" t="str">
        <f t="shared" si="94"/>
        <v>Bengaluru</v>
      </c>
      <c r="Q417" t="s">
        <v>22</v>
      </c>
      <c r="R417" t="str">
        <f t="shared" si="95"/>
        <v>Office Supplies</v>
      </c>
      <c r="S417" t="s">
        <v>196</v>
      </c>
      <c r="T417" t="str">
        <f t="shared" si="96"/>
        <v>Storage</v>
      </c>
      <c r="U417" t="s">
        <v>2108</v>
      </c>
      <c r="V417" t="str">
        <f t="shared" si="97"/>
        <v>Basic Storage 684</v>
      </c>
      <c r="W417" t="s">
        <v>90</v>
      </c>
      <c r="X417" t="str">
        <f t="shared" si="98"/>
        <v>Same Day</v>
      </c>
      <c r="Y417">
        <v>2</v>
      </c>
      <c r="Z417">
        <v>7</v>
      </c>
      <c r="AA417">
        <v>1727.26</v>
      </c>
      <c r="AB417">
        <v>0.15</v>
      </c>
      <c r="AC417">
        <f t="shared" si="99"/>
        <v>0.15</v>
      </c>
      <c r="AD417">
        <v>10277.2</v>
      </c>
      <c r="AE417">
        <f t="shared" si="100"/>
        <v>10277.197</v>
      </c>
      <c r="AF417">
        <v>7906.5</v>
      </c>
      <c r="AG417">
        <v>2370.7</v>
      </c>
      <c r="AH417">
        <f t="shared" si="101"/>
        <v>2370.697</v>
      </c>
      <c r="AI417">
        <f t="shared" si="102"/>
        <v>0.230675445843842</v>
      </c>
      <c r="AJ417" t="s">
        <v>77</v>
      </c>
      <c r="AK417" t="str">
        <f t="shared" si="103"/>
        <v>Paid</v>
      </c>
      <c r="AL417" t="s">
        <v>164</v>
      </c>
      <c r="AM417" t="str">
        <f t="shared" si="104"/>
        <v>Returned</v>
      </c>
      <c r="AN417">
        <v>1</v>
      </c>
      <c r="AO417">
        <v>2024</v>
      </c>
      <c r="AP417" t="s">
        <v>79</v>
      </c>
    </row>
    <row r="418" spans="1:42">
      <c r="A418" t="s">
        <v>2109</v>
      </c>
      <c r="B418" s="3" t="s">
        <v>2110</v>
      </c>
      <c r="C418" s="3">
        <v>45665</v>
      </c>
      <c r="D418" t="s">
        <v>2111</v>
      </c>
      <c r="E418" s="3">
        <v>45673</v>
      </c>
      <c r="F418" t="s">
        <v>2112</v>
      </c>
      <c r="G418" t="s">
        <v>132</v>
      </c>
      <c r="H418" t="str">
        <f t="shared" si="90"/>
        <v>Neha Gupta</v>
      </c>
      <c r="I418" t="s">
        <v>71</v>
      </c>
      <c r="J418" t="str">
        <f t="shared" si="91"/>
        <v>Consumer</v>
      </c>
      <c r="K418" t="s">
        <v>10</v>
      </c>
      <c r="L418" t="str">
        <f t="shared" si="92"/>
        <v>South</v>
      </c>
      <c r="M418" t="s">
        <v>104</v>
      </c>
      <c r="N418" t="str">
        <f t="shared" si="93"/>
        <v>Telangana</v>
      </c>
      <c r="O418" t="s">
        <v>105</v>
      </c>
      <c r="P418" t="str">
        <f t="shared" si="94"/>
        <v>Hyderabad</v>
      </c>
      <c r="Q418" t="s">
        <v>20</v>
      </c>
      <c r="R418" t="str">
        <f t="shared" si="95"/>
        <v>Furniture</v>
      </c>
      <c r="S418" t="s">
        <v>106</v>
      </c>
      <c r="T418" t="str">
        <f t="shared" si="96"/>
        <v>Furnishings</v>
      </c>
      <c r="U418" t="s">
        <v>2113</v>
      </c>
      <c r="V418" t="str">
        <f t="shared" si="97"/>
        <v>Smart Furnishings 152</v>
      </c>
      <c r="W418" t="s">
        <v>98</v>
      </c>
      <c r="X418" t="str">
        <f t="shared" si="98"/>
        <v>First Class</v>
      </c>
      <c r="Y418">
        <v>8</v>
      </c>
      <c r="Z418">
        <v>8</v>
      </c>
      <c r="AA418">
        <v>638.95</v>
      </c>
      <c r="AB418">
        <v>0.25</v>
      </c>
      <c r="AC418">
        <f t="shared" si="99"/>
        <v>0.25</v>
      </c>
      <c r="AD418">
        <v>3833.7</v>
      </c>
      <c r="AE418">
        <f t="shared" si="100"/>
        <v>3833.7</v>
      </c>
      <c r="AF418">
        <v>2886.35</v>
      </c>
      <c r="AG418">
        <v>947.35</v>
      </c>
      <c r="AH418">
        <f t="shared" si="101"/>
        <v>947.35</v>
      </c>
      <c r="AI418">
        <f t="shared" si="102"/>
        <v>0.247111145890393</v>
      </c>
      <c r="AJ418" t="s">
        <v>77</v>
      </c>
      <c r="AK418" t="str">
        <f t="shared" si="103"/>
        <v>Paid</v>
      </c>
      <c r="AL418" t="s">
        <v>78</v>
      </c>
      <c r="AM418" t="str">
        <f t="shared" si="104"/>
        <v>Completed</v>
      </c>
      <c r="AN418">
        <v>1</v>
      </c>
      <c r="AO418">
        <v>2025</v>
      </c>
      <c r="AP418" t="s">
        <v>79</v>
      </c>
    </row>
    <row r="419" spans="1:42">
      <c r="A419" t="s">
        <v>2114</v>
      </c>
      <c r="B419" s="3" t="s">
        <v>1848</v>
      </c>
      <c r="C419" s="3">
        <v>45686</v>
      </c>
      <c r="D419" t="s">
        <v>2115</v>
      </c>
      <c r="E419" s="3">
        <v>45693</v>
      </c>
      <c r="F419" t="s">
        <v>2116</v>
      </c>
      <c r="G419" t="s">
        <v>84</v>
      </c>
      <c r="H419" t="str">
        <f t="shared" si="90"/>
        <v>Mira Das</v>
      </c>
      <c r="I419" t="s">
        <v>71</v>
      </c>
      <c r="J419" t="str">
        <f t="shared" si="91"/>
        <v>Consumer</v>
      </c>
      <c r="K419" t="s">
        <v>11</v>
      </c>
      <c r="L419" t="str">
        <f t="shared" si="92"/>
        <v>West</v>
      </c>
      <c r="M419" t="s">
        <v>278</v>
      </c>
      <c r="N419" t="str">
        <f t="shared" si="93"/>
        <v>Gujarat</v>
      </c>
      <c r="O419" t="s">
        <v>279</v>
      </c>
      <c r="P419" t="str">
        <f t="shared" si="94"/>
        <v>Ahmedabad</v>
      </c>
      <c r="Q419" t="s">
        <v>22</v>
      </c>
      <c r="R419" t="str">
        <f t="shared" si="95"/>
        <v>Office Supplies</v>
      </c>
      <c r="S419" t="s">
        <v>96</v>
      </c>
      <c r="T419" t="str">
        <f t="shared" si="96"/>
        <v>Art</v>
      </c>
      <c r="U419" t="s">
        <v>2117</v>
      </c>
      <c r="V419" t="str">
        <f t="shared" si="97"/>
        <v>Max Art 736</v>
      </c>
      <c r="W419" t="s">
        <v>98</v>
      </c>
      <c r="X419" t="str">
        <f t="shared" si="98"/>
        <v>First Class</v>
      </c>
      <c r="Y419">
        <v>7</v>
      </c>
      <c r="Z419">
        <v>6</v>
      </c>
      <c r="AA419">
        <v>3863</v>
      </c>
      <c r="AB419">
        <v>0.2</v>
      </c>
      <c r="AC419">
        <f t="shared" si="99"/>
        <v>0.2</v>
      </c>
      <c r="AD419">
        <v>18542.4</v>
      </c>
      <c r="AE419">
        <f t="shared" si="100"/>
        <v>18542.4</v>
      </c>
      <c r="AF419">
        <v>11193.75</v>
      </c>
      <c r="AG419">
        <v>7348.65</v>
      </c>
      <c r="AH419">
        <f t="shared" si="101"/>
        <v>7348.65</v>
      </c>
      <c r="AI419">
        <f t="shared" si="102"/>
        <v>0.396316010872379</v>
      </c>
      <c r="AJ419" t="s">
        <v>77</v>
      </c>
      <c r="AK419" t="str">
        <f t="shared" si="103"/>
        <v>Paid</v>
      </c>
      <c r="AL419" t="s">
        <v>78</v>
      </c>
      <c r="AM419" t="str">
        <f t="shared" si="104"/>
        <v>Completed</v>
      </c>
      <c r="AN419">
        <v>1</v>
      </c>
      <c r="AO419">
        <v>2025</v>
      </c>
      <c r="AP419" t="s">
        <v>79</v>
      </c>
    </row>
    <row r="420" spans="1:42">
      <c r="A420" t="s">
        <v>2118</v>
      </c>
      <c r="B420" s="3" t="s">
        <v>2119</v>
      </c>
      <c r="C420" s="3">
        <v>45605</v>
      </c>
      <c r="D420" t="s">
        <v>2120</v>
      </c>
      <c r="E420" s="3">
        <v>45613</v>
      </c>
      <c r="F420" t="s">
        <v>2121</v>
      </c>
      <c r="G420" t="s">
        <v>208</v>
      </c>
      <c r="H420" t="str">
        <f t="shared" si="90"/>
        <v>Sneha Kapoor</v>
      </c>
      <c r="I420" t="s">
        <v>147</v>
      </c>
      <c r="J420" t="str">
        <f t="shared" si="91"/>
        <v>Corporate</v>
      </c>
      <c r="K420" t="s">
        <v>7</v>
      </c>
      <c r="L420" t="str">
        <f t="shared" si="92"/>
        <v>East</v>
      </c>
      <c r="M420" t="s">
        <v>86</v>
      </c>
      <c r="N420" t="str">
        <f t="shared" si="93"/>
        <v>Odisha</v>
      </c>
      <c r="O420" t="s">
        <v>87</v>
      </c>
      <c r="P420" t="str">
        <f t="shared" si="94"/>
        <v>Bhubaneswar</v>
      </c>
      <c r="Q420" t="s">
        <v>24</v>
      </c>
      <c r="R420" t="str">
        <f t="shared" si="95"/>
        <v>Technology</v>
      </c>
      <c r="S420" t="s">
        <v>133</v>
      </c>
      <c r="T420" t="str">
        <f t="shared" si="96"/>
        <v>Copiers</v>
      </c>
      <c r="U420" t="s">
        <v>2122</v>
      </c>
      <c r="V420" t="str">
        <f t="shared" si="97"/>
        <v>Elite Copiers 971</v>
      </c>
      <c r="W420" t="s">
        <v>108</v>
      </c>
      <c r="X420" t="str">
        <f t="shared" si="98"/>
        <v>Standard Class</v>
      </c>
      <c r="Y420">
        <v>8</v>
      </c>
      <c r="Z420">
        <v>6</v>
      </c>
      <c r="AA420">
        <v>3660.4</v>
      </c>
      <c r="AB420">
        <v>0</v>
      </c>
      <c r="AC420">
        <f t="shared" si="99"/>
        <v>0</v>
      </c>
      <c r="AD420">
        <v>21962.4</v>
      </c>
      <c r="AE420">
        <f t="shared" si="100"/>
        <v>21962.4</v>
      </c>
      <c r="AF420">
        <v>15331.99</v>
      </c>
      <c r="AG420">
        <v>6630.41</v>
      </c>
      <c r="AH420">
        <f t="shared" si="101"/>
        <v>6630.41</v>
      </c>
      <c r="AI420">
        <f t="shared" si="102"/>
        <v>0.301898244272029</v>
      </c>
      <c r="AJ420" t="s">
        <v>241</v>
      </c>
      <c r="AK420" t="str">
        <f t="shared" si="103"/>
        <v>Failed</v>
      </c>
      <c r="AL420" t="s">
        <v>118</v>
      </c>
      <c r="AM420" t="str">
        <f t="shared" si="104"/>
        <v>Cancelled</v>
      </c>
      <c r="AN420">
        <v>11</v>
      </c>
      <c r="AO420">
        <v>2024</v>
      </c>
      <c r="AP420" t="s">
        <v>79</v>
      </c>
    </row>
    <row r="421" spans="1:42">
      <c r="A421" t="s">
        <v>2123</v>
      </c>
      <c r="B421" s="3" t="s">
        <v>2124</v>
      </c>
      <c r="C421" s="3">
        <v>45926</v>
      </c>
      <c r="D421" t="s">
        <v>2125</v>
      </c>
      <c r="E421" s="3">
        <v>45930</v>
      </c>
      <c r="F421" t="s">
        <v>2126</v>
      </c>
      <c r="G421" t="s">
        <v>208</v>
      </c>
      <c r="H421" t="str">
        <f t="shared" si="90"/>
        <v>Sneha Kapoor</v>
      </c>
      <c r="I421" t="s">
        <v>154</v>
      </c>
      <c r="J421" t="str">
        <f t="shared" si="91"/>
        <v>Home Office</v>
      </c>
      <c r="K421" t="s">
        <v>8</v>
      </c>
      <c r="L421" t="str">
        <f t="shared" si="92"/>
        <v>North</v>
      </c>
      <c r="M421" t="s">
        <v>366</v>
      </c>
      <c r="N421" t="str">
        <f t="shared" si="93"/>
        <v>Haryana</v>
      </c>
      <c r="O421" t="s">
        <v>367</v>
      </c>
      <c r="P421" t="str">
        <f t="shared" si="94"/>
        <v>Gurugram</v>
      </c>
      <c r="Q421" t="s">
        <v>24</v>
      </c>
      <c r="R421" t="str">
        <f t="shared" si="95"/>
        <v>Technology</v>
      </c>
      <c r="S421" t="s">
        <v>265</v>
      </c>
      <c r="T421" t="str">
        <f t="shared" si="96"/>
        <v>Phones</v>
      </c>
      <c r="U421" t="s">
        <v>2127</v>
      </c>
      <c r="V421" t="str">
        <f t="shared" si="97"/>
        <v>Classic Phones 940</v>
      </c>
      <c r="W421" t="s">
        <v>90</v>
      </c>
      <c r="X421" t="str">
        <f t="shared" si="98"/>
        <v>Same Day</v>
      </c>
      <c r="Y421">
        <v>4</v>
      </c>
      <c r="Z421">
        <v>2</v>
      </c>
      <c r="AA421">
        <v>688.83</v>
      </c>
      <c r="AB421">
        <v>0.05</v>
      </c>
      <c r="AC421">
        <f t="shared" si="99"/>
        <v>0.05</v>
      </c>
      <c r="AD421">
        <v>1308.78</v>
      </c>
      <c r="AE421">
        <f t="shared" si="100"/>
        <v>1308.777</v>
      </c>
      <c r="AF421">
        <v>843</v>
      </c>
      <c r="AG421">
        <v>465.78</v>
      </c>
      <c r="AH421">
        <f t="shared" si="101"/>
        <v>465.777</v>
      </c>
      <c r="AI421">
        <f t="shared" si="102"/>
        <v>0.35588721378814</v>
      </c>
      <c r="AJ421" t="s">
        <v>77</v>
      </c>
      <c r="AK421" t="str">
        <f t="shared" si="103"/>
        <v>Paid</v>
      </c>
      <c r="AL421" t="s">
        <v>78</v>
      </c>
      <c r="AM421" t="str">
        <f t="shared" si="104"/>
        <v>Completed</v>
      </c>
      <c r="AN421">
        <v>9</v>
      </c>
      <c r="AO421">
        <v>2025</v>
      </c>
      <c r="AP421" t="s">
        <v>79</v>
      </c>
    </row>
    <row r="422" spans="1:42">
      <c r="A422" t="s">
        <v>2128</v>
      </c>
      <c r="B422" s="3" t="s">
        <v>1013</v>
      </c>
      <c r="C422" s="3">
        <v>45734</v>
      </c>
      <c r="D422" t="s">
        <v>2129</v>
      </c>
      <c r="E422" s="3">
        <v>45735</v>
      </c>
      <c r="F422" t="s">
        <v>2130</v>
      </c>
      <c r="G422" t="s">
        <v>95</v>
      </c>
      <c r="H422" t="str">
        <f t="shared" si="90"/>
        <v>Isha Nair</v>
      </c>
      <c r="I422" t="s">
        <v>147</v>
      </c>
      <c r="J422" t="str">
        <f t="shared" si="91"/>
        <v>Corporate</v>
      </c>
      <c r="K422" t="s">
        <v>10</v>
      </c>
      <c r="L422" t="str">
        <f t="shared" si="92"/>
        <v>South</v>
      </c>
      <c r="M422" t="s">
        <v>382</v>
      </c>
      <c r="N422" t="str">
        <f t="shared" si="93"/>
        <v>Tamil Nadu</v>
      </c>
      <c r="O422" t="s">
        <v>383</v>
      </c>
      <c r="P422" t="str">
        <f t="shared" si="94"/>
        <v>Chennai</v>
      </c>
      <c r="Q422" t="s">
        <v>24</v>
      </c>
      <c r="R422" t="str">
        <f t="shared" si="95"/>
        <v>Technology</v>
      </c>
      <c r="S422" t="s">
        <v>427</v>
      </c>
      <c r="T422" t="str">
        <f t="shared" si="96"/>
        <v>Machines</v>
      </c>
      <c r="U422" t="s">
        <v>2131</v>
      </c>
      <c r="V422" t="str">
        <f t="shared" si="97"/>
        <v>Pro Machines 579</v>
      </c>
      <c r="W422" t="s">
        <v>108</v>
      </c>
      <c r="X422" t="str">
        <f t="shared" si="98"/>
        <v>Standard Class</v>
      </c>
      <c r="Y422">
        <v>1</v>
      </c>
      <c r="Z422">
        <v>2</v>
      </c>
      <c r="AA422">
        <v>1209.99</v>
      </c>
      <c r="AB422">
        <v>0.25</v>
      </c>
      <c r="AC422">
        <f t="shared" si="99"/>
        <v>0.25</v>
      </c>
      <c r="AD422">
        <v>1814.99</v>
      </c>
      <c r="AE422">
        <f t="shared" si="100"/>
        <v>1814.985</v>
      </c>
      <c r="AF422">
        <v>1120.06</v>
      </c>
      <c r="AG422">
        <v>694.93</v>
      </c>
      <c r="AH422">
        <f t="shared" si="101"/>
        <v>694.925</v>
      </c>
      <c r="AI422">
        <f t="shared" si="102"/>
        <v>0.382881952192442</v>
      </c>
      <c r="AJ422" t="s">
        <v>177</v>
      </c>
      <c r="AK422" t="str">
        <f t="shared" si="103"/>
        <v>Pending</v>
      </c>
      <c r="AL422" t="s">
        <v>118</v>
      </c>
      <c r="AM422" t="str">
        <f t="shared" si="104"/>
        <v>Cancelled</v>
      </c>
      <c r="AN422">
        <v>3</v>
      </c>
      <c r="AO422">
        <v>2025</v>
      </c>
      <c r="AP422" t="s">
        <v>79</v>
      </c>
    </row>
    <row r="423" spans="1:42">
      <c r="A423" t="s">
        <v>2132</v>
      </c>
      <c r="B423" s="3" t="s">
        <v>2133</v>
      </c>
      <c r="C423" s="3">
        <v>45822</v>
      </c>
      <c r="D423" t="s">
        <v>2134</v>
      </c>
      <c r="E423" s="3">
        <v>45827</v>
      </c>
      <c r="F423" t="s">
        <v>2135</v>
      </c>
      <c r="G423" t="s">
        <v>220</v>
      </c>
      <c r="H423" t="str">
        <f t="shared" si="90"/>
        <v>Rohan Mehta</v>
      </c>
      <c r="I423" t="s">
        <v>85</v>
      </c>
      <c r="J423" t="str">
        <f t="shared" si="91"/>
        <v>Small Business</v>
      </c>
      <c r="K423" t="s">
        <v>8</v>
      </c>
      <c r="L423" t="str">
        <f t="shared" si="92"/>
        <v>North</v>
      </c>
      <c r="M423" t="s">
        <v>552</v>
      </c>
      <c r="N423" t="str">
        <f t="shared" si="93"/>
        <v>Delhi</v>
      </c>
      <c r="O423" t="s">
        <v>553</v>
      </c>
      <c r="P423" t="str">
        <f t="shared" si="94"/>
        <v>New Delhi</v>
      </c>
      <c r="Q423" t="s">
        <v>22</v>
      </c>
      <c r="R423" t="str">
        <f t="shared" si="95"/>
        <v>Office Supplies</v>
      </c>
      <c r="S423" t="s">
        <v>239</v>
      </c>
      <c r="T423" t="str">
        <f t="shared" si="96"/>
        <v>Binders</v>
      </c>
      <c r="U423" t="s">
        <v>2136</v>
      </c>
      <c r="V423" t="str">
        <f t="shared" si="97"/>
        <v>Elite Binders 943</v>
      </c>
      <c r="W423" t="s">
        <v>90</v>
      </c>
      <c r="X423" t="str">
        <f t="shared" si="98"/>
        <v>Same Day</v>
      </c>
      <c r="Y423">
        <v>5</v>
      </c>
      <c r="Z423">
        <v>3</v>
      </c>
      <c r="AA423">
        <v>1037.45</v>
      </c>
      <c r="AB423">
        <v>0.2</v>
      </c>
      <c r="AC423">
        <f t="shared" si="99"/>
        <v>0.2</v>
      </c>
      <c r="AD423">
        <v>2489.88</v>
      </c>
      <c r="AE423">
        <f t="shared" si="100"/>
        <v>2489.88</v>
      </c>
      <c r="AF423">
        <v>1707.52</v>
      </c>
      <c r="AG423">
        <v>782.36</v>
      </c>
      <c r="AH423">
        <f t="shared" si="101"/>
        <v>782.360000000001</v>
      </c>
      <c r="AI423">
        <f t="shared" si="102"/>
        <v>0.314215946150015</v>
      </c>
      <c r="AJ423" t="s">
        <v>177</v>
      </c>
      <c r="AK423" t="str">
        <f t="shared" si="103"/>
        <v>Pending</v>
      </c>
      <c r="AL423" t="s">
        <v>164</v>
      </c>
      <c r="AM423" t="str">
        <f t="shared" si="104"/>
        <v>Returned</v>
      </c>
      <c r="AN423">
        <v>6</v>
      </c>
      <c r="AO423">
        <v>2025</v>
      </c>
      <c r="AP423" t="s">
        <v>79</v>
      </c>
    </row>
    <row r="424" spans="1:42">
      <c r="A424" t="s">
        <v>2137</v>
      </c>
      <c r="B424" s="3" t="s">
        <v>2138</v>
      </c>
      <c r="C424" s="3">
        <v>45903</v>
      </c>
      <c r="D424" t="s">
        <v>2139</v>
      </c>
      <c r="E424" s="3">
        <v>45906</v>
      </c>
      <c r="F424" t="s">
        <v>2140</v>
      </c>
      <c r="G424" t="s">
        <v>411</v>
      </c>
      <c r="H424" t="str">
        <f t="shared" si="90"/>
        <v>Kabir Singh</v>
      </c>
      <c r="I424" t="s">
        <v>71</v>
      </c>
      <c r="J424" t="str">
        <f t="shared" si="91"/>
        <v>Consumer</v>
      </c>
      <c r="K424" t="s">
        <v>11</v>
      </c>
      <c r="L424" t="str">
        <f t="shared" si="92"/>
        <v>West</v>
      </c>
      <c r="M424" t="s">
        <v>124</v>
      </c>
      <c r="N424" t="str">
        <f t="shared" si="93"/>
        <v>Madhya Pradesh</v>
      </c>
      <c r="O424" t="s">
        <v>125</v>
      </c>
      <c r="P424" t="str">
        <f t="shared" si="94"/>
        <v>Indore</v>
      </c>
      <c r="Q424" t="s">
        <v>24</v>
      </c>
      <c r="R424" t="str">
        <f t="shared" si="95"/>
        <v>Technology</v>
      </c>
      <c r="S424" t="s">
        <v>133</v>
      </c>
      <c r="T424" t="str">
        <f t="shared" si="96"/>
        <v>Copiers</v>
      </c>
      <c r="U424" t="s">
        <v>2141</v>
      </c>
      <c r="V424" t="str">
        <f t="shared" si="97"/>
        <v>Elite Copiers 474</v>
      </c>
      <c r="W424" t="s">
        <v>90</v>
      </c>
      <c r="X424" t="str">
        <f t="shared" si="98"/>
        <v>Same Day</v>
      </c>
      <c r="Y424">
        <v>3</v>
      </c>
      <c r="Z424">
        <v>7</v>
      </c>
      <c r="AA424">
        <v>688.85</v>
      </c>
      <c r="AB424">
        <v>0.15</v>
      </c>
      <c r="AC424">
        <f t="shared" si="99"/>
        <v>0.15</v>
      </c>
      <c r="AD424">
        <v>4098.66</v>
      </c>
      <c r="AE424">
        <f t="shared" si="100"/>
        <v>4098.6575</v>
      </c>
      <c r="AF424">
        <v>2678.06</v>
      </c>
      <c r="AG424">
        <v>1420.6</v>
      </c>
      <c r="AH424">
        <f t="shared" si="101"/>
        <v>1420.5975</v>
      </c>
      <c r="AI424">
        <f t="shared" si="102"/>
        <v>0.346600685712334</v>
      </c>
      <c r="AJ424" t="s">
        <v>77</v>
      </c>
      <c r="AK424" t="str">
        <f t="shared" si="103"/>
        <v>Paid</v>
      </c>
      <c r="AL424" t="s">
        <v>78</v>
      </c>
      <c r="AM424" t="str">
        <f t="shared" si="104"/>
        <v>Completed</v>
      </c>
      <c r="AN424">
        <v>9</v>
      </c>
      <c r="AO424">
        <v>2025</v>
      </c>
      <c r="AP424" t="s">
        <v>79</v>
      </c>
    </row>
    <row r="425" spans="1:42">
      <c r="A425" t="s">
        <v>2142</v>
      </c>
      <c r="B425" s="3" t="s">
        <v>2143</v>
      </c>
      <c r="C425" s="3">
        <v>45342</v>
      </c>
      <c r="D425" t="s">
        <v>2144</v>
      </c>
      <c r="E425" s="3">
        <v>45349</v>
      </c>
      <c r="F425" t="s">
        <v>2145</v>
      </c>
      <c r="G425" t="s">
        <v>251</v>
      </c>
      <c r="H425" t="str">
        <f t="shared" si="90"/>
        <v>Diya Patel</v>
      </c>
      <c r="I425" t="s">
        <v>71</v>
      </c>
      <c r="J425" t="str">
        <f t="shared" si="91"/>
        <v>Consumer</v>
      </c>
      <c r="K425" t="s">
        <v>10</v>
      </c>
      <c r="L425" t="str">
        <f t="shared" si="92"/>
        <v>South</v>
      </c>
      <c r="M425" t="s">
        <v>285</v>
      </c>
      <c r="N425" t="str">
        <f t="shared" si="93"/>
        <v>Kerala</v>
      </c>
      <c r="O425" t="s">
        <v>286</v>
      </c>
      <c r="P425" t="str">
        <f t="shared" si="94"/>
        <v>Kochi</v>
      </c>
      <c r="Q425" t="s">
        <v>24</v>
      </c>
      <c r="R425" t="str">
        <f t="shared" si="95"/>
        <v>Technology</v>
      </c>
      <c r="S425" t="s">
        <v>126</v>
      </c>
      <c r="T425" t="str">
        <f t="shared" si="96"/>
        <v>Accessories</v>
      </c>
      <c r="U425" t="s">
        <v>2146</v>
      </c>
      <c r="V425" t="str">
        <f t="shared" si="97"/>
        <v>Prime Accessories 236</v>
      </c>
      <c r="W425" t="s">
        <v>2147</v>
      </c>
      <c r="X425" t="str">
        <f t="shared" si="98"/>
        <v>First Class</v>
      </c>
      <c r="Y425">
        <v>7</v>
      </c>
      <c r="Z425">
        <v>9</v>
      </c>
      <c r="AA425">
        <v>3779.31</v>
      </c>
      <c r="AB425">
        <v>0.2</v>
      </c>
      <c r="AC425">
        <f t="shared" si="99"/>
        <v>0.2</v>
      </c>
      <c r="AD425">
        <v>27211.03</v>
      </c>
      <c r="AE425">
        <f t="shared" si="100"/>
        <v>27211.032</v>
      </c>
      <c r="AF425">
        <v>17940.43</v>
      </c>
      <c r="AG425">
        <v>9270.6</v>
      </c>
      <c r="AH425">
        <f t="shared" si="101"/>
        <v>9270.602</v>
      </c>
      <c r="AI425">
        <f t="shared" si="102"/>
        <v>0.340692774901003</v>
      </c>
      <c r="AJ425" t="s">
        <v>77</v>
      </c>
      <c r="AK425" t="str">
        <f t="shared" si="103"/>
        <v>Paid</v>
      </c>
      <c r="AL425" t="s">
        <v>78</v>
      </c>
      <c r="AM425" t="str">
        <f t="shared" si="104"/>
        <v>Completed</v>
      </c>
      <c r="AN425">
        <v>2</v>
      </c>
      <c r="AO425">
        <v>2024</v>
      </c>
      <c r="AP425" t="s">
        <v>79</v>
      </c>
    </row>
    <row r="426" spans="1:42">
      <c r="A426" t="s">
        <v>2148</v>
      </c>
      <c r="B426" s="3" t="s">
        <v>2149</v>
      </c>
      <c r="C426" s="3">
        <v>45469</v>
      </c>
      <c r="D426" t="s">
        <v>2150</v>
      </c>
      <c r="E426" s="3">
        <v>45472</v>
      </c>
      <c r="F426" t="s">
        <v>2151</v>
      </c>
      <c r="G426" t="s">
        <v>132</v>
      </c>
      <c r="H426" t="str">
        <f t="shared" si="90"/>
        <v>Neha Gupta</v>
      </c>
      <c r="I426" t="s">
        <v>147</v>
      </c>
      <c r="J426" t="str">
        <f t="shared" si="91"/>
        <v>Corporate</v>
      </c>
      <c r="K426" t="s">
        <v>8</v>
      </c>
      <c r="L426" t="str">
        <f t="shared" si="92"/>
        <v>North</v>
      </c>
      <c r="M426" t="s">
        <v>194</v>
      </c>
      <c r="N426" t="str">
        <f t="shared" si="93"/>
        <v>Punjab</v>
      </c>
      <c r="O426" t="s">
        <v>195</v>
      </c>
      <c r="P426" t="str">
        <f t="shared" si="94"/>
        <v>Ludhiana</v>
      </c>
      <c r="Q426" t="s">
        <v>24</v>
      </c>
      <c r="R426" t="str">
        <f t="shared" si="95"/>
        <v>Technology</v>
      </c>
      <c r="S426" t="s">
        <v>265</v>
      </c>
      <c r="T426" t="str">
        <f t="shared" si="96"/>
        <v>Phones</v>
      </c>
      <c r="U426" t="s">
        <v>2152</v>
      </c>
      <c r="V426" t="str">
        <f t="shared" si="97"/>
        <v>Prime Phones 881</v>
      </c>
      <c r="W426" t="s">
        <v>108</v>
      </c>
      <c r="X426" t="str">
        <f t="shared" si="98"/>
        <v>Standard Class</v>
      </c>
      <c r="Y426">
        <v>3</v>
      </c>
      <c r="Z426">
        <v>8</v>
      </c>
      <c r="AA426">
        <v>804.52</v>
      </c>
      <c r="AB426">
        <v>0</v>
      </c>
      <c r="AC426">
        <f t="shared" si="99"/>
        <v>0</v>
      </c>
      <c r="AD426">
        <v>6436.16</v>
      </c>
      <c r="AE426">
        <f t="shared" si="100"/>
        <v>6436.16</v>
      </c>
      <c r="AF426">
        <v>4263.83</v>
      </c>
      <c r="AG426">
        <v>2172.33</v>
      </c>
      <c r="AH426">
        <f t="shared" si="101"/>
        <v>2172.33</v>
      </c>
      <c r="AI426">
        <f t="shared" si="102"/>
        <v>0.337519576890568</v>
      </c>
      <c r="AJ426" t="s">
        <v>77</v>
      </c>
      <c r="AK426" t="str">
        <f t="shared" si="103"/>
        <v>Paid</v>
      </c>
      <c r="AL426" t="s">
        <v>78</v>
      </c>
      <c r="AM426" t="str">
        <f t="shared" si="104"/>
        <v>Completed</v>
      </c>
      <c r="AN426">
        <v>6</v>
      </c>
      <c r="AO426">
        <v>2024</v>
      </c>
      <c r="AP426" t="s">
        <v>79</v>
      </c>
    </row>
    <row r="427" spans="1:42">
      <c r="A427" t="s">
        <v>2153</v>
      </c>
      <c r="B427" s="3" t="s">
        <v>2154</v>
      </c>
      <c r="C427" s="3">
        <v>45561</v>
      </c>
      <c r="D427" t="s">
        <v>2155</v>
      </c>
      <c r="E427" s="3">
        <v>45562</v>
      </c>
      <c r="F427" t="s">
        <v>2156</v>
      </c>
      <c r="G427" t="s">
        <v>95</v>
      </c>
      <c r="H427" t="str">
        <f t="shared" si="90"/>
        <v>Isha Nair</v>
      </c>
      <c r="I427" t="s">
        <v>154</v>
      </c>
      <c r="J427" t="str">
        <f t="shared" si="91"/>
        <v>Home Office</v>
      </c>
      <c r="K427" t="s">
        <v>8</v>
      </c>
      <c r="L427" t="str">
        <f t="shared" si="92"/>
        <v>North</v>
      </c>
      <c r="M427" t="s">
        <v>552</v>
      </c>
      <c r="N427" t="str">
        <f t="shared" si="93"/>
        <v>Delhi</v>
      </c>
      <c r="O427" t="s">
        <v>553</v>
      </c>
      <c r="P427" t="str">
        <f t="shared" si="94"/>
        <v>New Delhi</v>
      </c>
      <c r="Q427" t="s">
        <v>22</v>
      </c>
      <c r="R427" t="str">
        <f t="shared" si="95"/>
        <v>Office Supplies</v>
      </c>
      <c r="S427" t="s">
        <v>148</v>
      </c>
      <c r="T427" t="str">
        <f t="shared" si="96"/>
        <v>Labels</v>
      </c>
      <c r="U427" t="s">
        <v>2157</v>
      </c>
      <c r="V427" t="str">
        <f t="shared" si="97"/>
        <v>Pro Labels 903</v>
      </c>
      <c r="W427" t="s">
        <v>98</v>
      </c>
      <c r="X427" t="str">
        <f t="shared" si="98"/>
        <v>First Class</v>
      </c>
      <c r="Y427">
        <v>1</v>
      </c>
      <c r="Z427">
        <v>2</v>
      </c>
      <c r="AA427">
        <v>1065.69</v>
      </c>
      <c r="AB427">
        <v>0.1</v>
      </c>
      <c r="AC427">
        <f t="shared" si="99"/>
        <v>0.1</v>
      </c>
      <c r="AD427">
        <v>1918.24</v>
      </c>
      <c r="AE427">
        <f t="shared" si="100"/>
        <v>1918.242</v>
      </c>
      <c r="AF427">
        <v>1373.52</v>
      </c>
      <c r="AG427">
        <v>544.72</v>
      </c>
      <c r="AH427">
        <f t="shared" si="101"/>
        <v>544.722</v>
      </c>
      <c r="AI427">
        <f t="shared" si="102"/>
        <v>0.283969384467653</v>
      </c>
      <c r="AJ427" t="s">
        <v>163</v>
      </c>
      <c r="AK427" t="str">
        <f t="shared" si="103"/>
        <v>Refunded</v>
      </c>
      <c r="AL427" t="s">
        <v>118</v>
      </c>
      <c r="AM427" t="str">
        <f t="shared" si="104"/>
        <v>Cancelled</v>
      </c>
      <c r="AN427">
        <v>9</v>
      </c>
      <c r="AO427">
        <v>2024</v>
      </c>
      <c r="AP427" t="s">
        <v>79</v>
      </c>
    </row>
    <row r="428" spans="1:42">
      <c r="A428" t="s">
        <v>2158</v>
      </c>
      <c r="B428" s="3" t="s">
        <v>2159</v>
      </c>
      <c r="C428" s="3">
        <v>45473</v>
      </c>
      <c r="D428" t="s">
        <v>2160</v>
      </c>
      <c r="E428" s="3">
        <v>45474</v>
      </c>
      <c r="F428" t="s">
        <v>2161</v>
      </c>
      <c r="G428" t="s">
        <v>146</v>
      </c>
      <c r="H428" t="str">
        <f t="shared" si="90"/>
        <v>Aditi Sen</v>
      </c>
      <c r="I428" t="s">
        <v>71</v>
      </c>
      <c r="J428" t="str">
        <f t="shared" si="91"/>
        <v>Consumer</v>
      </c>
      <c r="K428" t="s">
        <v>8</v>
      </c>
      <c r="L428" t="str">
        <f t="shared" si="92"/>
        <v>North</v>
      </c>
      <c r="M428" t="s">
        <v>366</v>
      </c>
      <c r="N428" t="str">
        <f t="shared" si="93"/>
        <v>Haryana</v>
      </c>
      <c r="O428" t="s">
        <v>367</v>
      </c>
      <c r="P428" t="str">
        <f t="shared" si="94"/>
        <v>Gurugram</v>
      </c>
      <c r="Q428" t="s">
        <v>24</v>
      </c>
      <c r="R428" t="str">
        <f t="shared" si="95"/>
        <v>Technology</v>
      </c>
      <c r="S428" t="s">
        <v>133</v>
      </c>
      <c r="T428" t="str">
        <f t="shared" si="96"/>
        <v>Copiers</v>
      </c>
      <c r="U428" t="s">
        <v>2162</v>
      </c>
      <c r="V428" t="str">
        <f t="shared" si="97"/>
        <v>Max Copiers 402</v>
      </c>
      <c r="W428" t="s">
        <v>90</v>
      </c>
      <c r="X428" t="str">
        <f t="shared" si="98"/>
        <v>Same Day</v>
      </c>
      <c r="Y428">
        <v>1</v>
      </c>
      <c r="Z428">
        <v>8</v>
      </c>
      <c r="AA428">
        <v>3756.66</v>
      </c>
      <c r="AB428">
        <v>0.1</v>
      </c>
      <c r="AC428">
        <f t="shared" si="99"/>
        <v>0.1</v>
      </c>
      <c r="AD428">
        <v>27047.95</v>
      </c>
      <c r="AE428">
        <f t="shared" si="100"/>
        <v>27047.952</v>
      </c>
      <c r="AF428">
        <v>18431.33</v>
      </c>
      <c r="AG428">
        <v>8616.62</v>
      </c>
      <c r="AH428">
        <f t="shared" si="101"/>
        <v>8616.622</v>
      </c>
      <c r="AI428">
        <f t="shared" si="102"/>
        <v>0.318568370721746</v>
      </c>
      <c r="AJ428" t="s">
        <v>77</v>
      </c>
      <c r="AK428" t="str">
        <f t="shared" si="103"/>
        <v>Paid</v>
      </c>
      <c r="AL428" t="s">
        <v>78</v>
      </c>
      <c r="AM428" t="str">
        <f t="shared" si="104"/>
        <v>Completed</v>
      </c>
      <c r="AN428">
        <v>6</v>
      </c>
      <c r="AO428">
        <v>2024</v>
      </c>
      <c r="AP428" t="s">
        <v>79</v>
      </c>
    </row>
    <row r="429" spans="1:42">
      <c r="A429" t="s">
        <v>2163</v>
      </c>
      <c r="B429" s="3" t="s">
        <v>2164</v>
      </c>
      <c r="C429" s="3">
        <v>45769</v>
      </c>
      <c r="D429" t="s">
        <v>2165</v>
      </c>
      <c r="E429" s="3">
        <v>45771</v>
      </c>
      <c r="F429" t="s">
        <v>2166</v>
      </c>
      <c r="G429" t="s">
        <v>95</v>
      </c>
      <c r="H429" t="str">
        <f t="shared" si="90"/>
        <v>Isha Nair</v>
      </c>
      <c r="I429" t="s">
        <v>147</v>
      </c>
      <c r="J429" t="str">
        <f t="shared" si="91"/>
        <v>Corporate</v>
      </c>
      <c r="L429" t="str">
        <f t="shared" si="92"/>
        <v/>
      </c>
      <c r="M429" t="s">
        <v>354</v>
      </c>
      <c r="N429" t="str">
        <f t="shared" si="93"/>
        <v>Jharkhand</v>
      </c>
      <c r="O429" t="s">
        <v>355</v>
      </c>
      <c r="P429" t="str">
        <f t="shared" si="94"/>
        <v>Ranchi</v>
      </c>
      <c r="Q429" t="s">
        <v>24</v>
      </c>
      <c r="R429" t="str">
        <f t="shared" si="95"/>
        <v>Technology</v>
      </c>
      <c r="S429" t="s">
        <v>126</v>
      </c>
      <c r="T429" t="str">
        <f t="shared" si="96"/>
        <v>Accessories</v>
      </c>
      <c r="U429" t="s">
        <v>2167</v>
      </c>
      <c r="V429" t="str">
        <f t="shared" si="97"/>
        <v>Prime Accessories 419</v>
      </c>
      <c r="W429" t="s">
        <v>329</v>
      </c>
      <c r="X429" t="str">
        <f t="shared" si="98"/>
        <v>Standard Class</v>
      </c>
      <c r="Y429">
        <v>2</v>
      </c>
      <c r="Z429">
        <v>9</v>
      </c>
      <c r="AA429">
        <v>2939.44</v>
      </c>
      <c r="AB429">
        <v>0</v>
      </c>
      <c r="AC429">
        <f t="shared" si="99"/>
        <v>0</v>
      </c>
      <c r="AD429">
        <v>26454.96</v>
      </c>
      <c r="AE429">
        <f t="shared" si="100"/>
        <v>26454.96</v>
      </c>
      <c r="AF429">
        <v>17630.25</v>
      </c>
      <c r="AG429">
        <v>8824.71</v>
      </c>
      <c r="AH429">
        <f t="shared" si="101"/>
        <v>8824.71</v>
      </c>
      <c r="AI429">
        <f t="shared" si="102"/>
        <v>0.333574875940088</v>
      </c>
      <c r="AJ429" t="s">
        <v>77</v>
      </c>
      <c r="AK429" t="str">
        <f t="shared" si="103"/>
        <v>Paid</v>
      </c>
      <c r="AL429" t="s">
        <v>78</v>
      </c>
      <c r="AM429" t="str">
        <f t="shared" si="104"/>
        <v>Completed</v>
      </c>
      <c r="AN429">
        <v>4</v>
      </c>
      <c r="AO429">
        <v>2025</v>
      </c>
      <c r="AP429" t="s">
        <v>79</v>
      </c>
    </row>
    <row r="430" spans="1:42">
      <c r="A430" t="s">
        <v>2168</v>
      </c>
      <c r="B430" s="3" t="s">
        <v>2169</v>
      </c>
      <c r="C430" s="3">
        <v>45731</v>
      </c>
      <c r="D430" t="s">
        <v>2170</v>
      </c>
      <c r="E430" s="3">
        <v>45738</v>
      </c>
      <c r="F430" t="s">
        <v>2171</v>
      </c>
      <c r="G430" t="s">
        <v>70</v>
      </c>
      <c r="H430" t="str">
        <f t="shared" si="90"/>
        <v>Karan Malhotra</v>
      </c>
      <c r="I430" t="s">
        <v>85</v>
      </c>
      <c r="J430" t="str">
        <f t="shared" si="91"/>
        <v>Small Business</v>
      </c>
      <c r="K430" t="s">
        <v>7</v>
      </c>
      <c r="L430" t="str">
        <f t="shared" si="92"/>
        <v>East</v>
      </c>
      <c r="M430" t="s">
        <v>160</v>
      </c>
      <c r="N430" t="str">
        <f t="shared" si="93"/>
        <v>West Bengal</v>
      </c>
      <c r="O430" t="s">
        <v>161</v>
      </c>
      <c r="P430" t="str">
        <f t="shared" si="94"/>
        <v>Kolkata</v>
      </c>
      <c r="Q430" t="s">
        <v>24</v>
      </c>
      <c r="R430" t="str">
        <f t="shared" si="95"/>
        <v>Technology</v>
      </c>
      <c r="S430" t="s">
        <v>265</v>
      </c>
      <c r="T430" t="str">
        <f t="shared" si="96"/>
        <v>Phones</v>
      </c>
      <c r="U430" t="s">
        <v>2172</v>
      </c>
      <c r="V430" t="str">
        <f t="shared" si="97"/>
        <v>Elite Phones 488</v>
      </c>
      <c r="W430" t="s">
        <v>90</v>
      </c>
      <c r="X430" t="str">
        <f t="shared" si="98"/>
        <v>Same Day</v>
      </c>
      <c r="Y430">
        <v>7</v>
      </c>
      <c r="Z430">
        <v>2</v>
      </c>
      <c r="AA430">
        <v>1235.93</v>
      </c>
      <c r="AB430">
        <v>0.25</v>
      </c>
      <c r="AC430">
        <f t="shared" si="99"/>
        <v>0.25</v>
      </c>
      <c r="AD430">
        <v>1853.89</v>
      </c>
      <c r="AE430">
        <f t="shared" si="100"/>
        <v>1853.895</v>
      </c>
      <c r="AF430">
        <v>1101.23</v>
      </c>
      <c r="AG430">
        <v>752.66</v>
      </c>
      <c r="AH430">
        <f t="shared" si="101"/>
        <v>752.665</v>
      </c>
      <c r="AI430">
        <f t="shared" si="102"/>
        <v>0.405991169942203</v>
      </c>
      <c r="AJ430" t="s">
        <v>177</v>
      </c>
      <c r="AK430" t="str">
        <f t="shared" si="103"/>
        <v>Pending</v>
      </c>
      <c r="AL430" t="s">
        <v>118</v>
      </c>
      <c r="AM430" t="str">
        <f t="shared" si="104"/>
        <v>Cancelled</v>
      </c>
      <c r="AN430">
        <v>3</v>
      </c>
      <c r="AO430">
        <v>2025</v>
      </c>
      <c r="AP430" t="s">
        <v>79</v>
      </c>
    </row>
    <row r="431" spans="1:42">
      <c r="A431" t="s">
        <v>2173</v>
      </c>
      <c r="B431" s="3" t="s">
        <v>2174</v>
      </c>
      <c r="C431" s="3">
        <v>45717</v>
      </c>
      <c r="D431" t="s">
        <v>2175</v>
      </c>
      <c r="E431" s="3">
        <v>45724</v>
      </c>
      <c r="F431" t="s">
        <v>2176</v>
      </c>
      <c r="G431" t="s">
        <v>132</v>
      </c>
      <c r="H431" t="str">
        <f t="shared" si="90"/>
        <v>Neha Gupta</v>
      </c>
      <c r="I431" t="s">
        <v>154</v>
      </c>
      <c r="J431" t="str">
        <f t="shared" si="91"/>
        <v>Home Office</v>
      </c>
      <c r="K431" t="s">
        <v>8</v>
      </c>
      <c r="L431" t="str">
        <f t="shared" si="92"/>
        <v>North</v>
      </c>
      <c r="M431" t="s">
        <v>72</v>
      </c>
      <c r="N431" t="str">
        <f t="shared" si="93"/>
        <v>Rajasthan</v>
      </c>
      <c r="O431" t="s">
        <v>73</v>
      </c>
      <c r="P431" t="str">
        <f t="shared" si="94"/>
        <v>Jaipur</v>
      </c>
      <c r="Q431" t="s">
        <v>24</v>
      </c>
      <c r="R431" t="str">
        <f t="shared" si="95"/>
        <v>Technology</v>
      </c>
      <c r="S431" t="s">
        <v>133</v>
      </c>
      <c r="T431" t="str">
        <f t="shared" si="96"/>
        <v>Copiers</v>
      </c>
      <c r="U431" t="s">
        <v>2177</v>
      </c>
      <c r="V431" t="str">
        <f t="shared" si="97"/>
        <v>Prime Copiers 109</v>
      </c>
      <c r="W431" t="s">
        <v>90</v>
      </c>
      <c r="X431" t="str">
        <f t="shared" si="98"/>
        <v>Same Day</v>
      </c>
      <c r="Y431">
        <v>7</v>
      </c>
      <c r="Z431">
        <v>8</v>
      </c>
      <c r="AA431">
        <v>2943.1</v>
      </c>
      <c r="AB431">
        <v>0.25</v>
      </c>
      <c r="AC431">
        <f t="shared" si="99"/>
        <v>0.25</v>
      </c>
      <c r="AD431">
        <v>17658.6</v>
      </c>
      <c r="AE431">
        <f t="shared" si="100"/>
        <v>17658.6</v>
      </c>
      <c r="AF431">
        <v>13842.48</v>
      </c>
      <c r="AG431">
        <v>3816.12</v>
      </c>
      <c r="AH431">
        <f t="shared" si="101"/>
        <v>3816.12</v>
      </c>
      <c r="AI431">
        <f t="shared" si="102"/>
        <v>0.216105467024566</v>
      </c>
      <c r="AJ431" t="s">
        <v>77</v>
      </c>
      <c r="AK431" t="str">
        <f t="shared" si="103"/>
        <v>Paid</v>
      </c>
      <c r="AL431" t="s">
        <v>78</v>
      </c>
      <c r="AM431" t="str">
        <f t="shared" si="104"/>
        <v>Completed</v>
      </c>
      <c r="AN431">
        <v>3</v>
      </c>
      <c r="AO431">
        <v>2025</v>
      </c>
      <c r="AP431" t="s">
        <v>79</v>
      </c>
    </row>
    <row r="432" spans="1:42">
      <c r="A432" t="s">
        <v>2178</v>
      </c>
      <c r="B432" s="3" t="s">
        <v>2179</v>
      </c>
      <c r="C432" s="3">
        <v>45534</v>
      </c>
      <c r="D432" t="s">
        <v>2180</v>
      </c>
      <c r="E432" s="3">
        <v>45537</v>
      </c>
      <c r="F432" t="s">
        <v>2181</v>
      </c>
      <c r="G432" t="s">
        <v>132</v>
      </c>
      <c r="H432" t="str">
        <f t="shared" si="90"/>
        <v>Neha Gupta</v>
      </c>
      <c r="I432" t="s">
        <v>85</v>
      </c>
      <c r="J432" t="str">
        <f t="shared" si="91"/>
        <v>Small Business</v>
      </c>
      <c r="K432" t="s">
        <v>8</v>
      </c>
      <c r="L432" t="str">
        <f t="shared" si="92"/>
        <v>North</v>
      </c>
      <c r="M432" t="s">
        <v>366</v>
      </c>
      <c r="N432" t="str">
        <f t="shared" si="93"/>
        <v>Haryana</v>
      </c>
      <c r="O432" t="s">
        <v>367</v>
      </c>
      <c r="P432" t="str">
        <f t="shared" si="94"/>
        <v>Gurugram</v>
      </c>
      <c r="Q432" t="s">
        <v>23</v>
      </c>
      <c r="R432" t="str">
        <f t="shared" si="95"/>
        <v>Office Supplies</v>
      </c>
      <c r="S432" t="s">
        <v>74</v>
      </c>
      <c r="T432" t="str">
        <f t="shared" si="96"/>
        <v>Paper</v>
      </c>
      <c r="U432" t="s">
        <v>2182</v>
      </c>
      <c r="V432" t="str">
        <f t="shared" si="97"/>
        <v>Max Paper 576</v>
      </c>
      <c r="W432" t="s">
        <v>76</v>
      </c>
      <c r="X432" t="str">
        <f t="shared" si="98"/>
        <v>Second Class</v>
      </c>
      <c r="Y432">
        <v>3</v>
      </c>
      <c r="Z432">
        <v>1</v>
      </c>
      <c r="AA432">
        <v>4320.84</v>
      </c>
      <c r="AB432">
        <v>0.15</v>
      </c>
      <c r="AC432">
        <f t="shared" si="99"/>
        <v>0.15</v>
      </c>
      <c r="AD432">
        <v>3672.71</v>
      </c>
      <c r="AE432">
        <f t="shared" si="100"/>
        <v>3672.714</v>
      </c>
      <c r="AF432">
        <v>2714.23</v>
      </c>
      <c r="AG432">
        <v>763.38</v>
      </c>
      <c r="AH432">
        <f t="shared" si="101"/>
        <v>958.484</v>
      </c>
      <c r="AI432">
        <f t="shared" si="102"/>
        <v>0.260974309461613</v>
      </c>
      <c r="AJ432" t="s">
        <v>77</v>
      </c>
      <c r="AK432" t="str">
        <f t="shared" si="103"/>
        <v>Paid</v>
      </c>
      <c r="AL432" t="s">
        <v>78</v>
      </c>
      <c r="AM432" t="str">
        <f t="shared" si="104"/>
        <v>Completed</v>
      </c>
      <c r="AN432">
        <v>8</v>
      </c>
      <c r="AO432">
        <v>2024</v>
      </c>
      <c r="AP432" t="s">
        <v>79</v>
      </c>
    </row>
    <row r="433" spans="1:42">
      <c r="A433" t="s">
        <v>2183</v>
      </c>
      <c r="B433" s="3" t="s">
        <v>2184</v>
      </c>
      <c r="C433" s="3">
        <v>45332</v>
      </c>
      <c r="D433" t="s">
        <v>2185</v>
      </c>
      <c r="E433" s="3">
        <v>45335</v>
      </c>
      <c r="F433" t="s">
        <v>2186</v>
      </c>
      <c r="G433" t="s">
        <v>70</v>
      </c>
      <c r="H433" t="str">
        <f t="shared" si="90"/>
        <v>Karan Malhotra</v>
      </c>
      <c r="I433" t="s">
        <v>154</v>
      </c>
      <c r="J433" t="str">
        <f t="shared" si="91"/>
        <v>Home Office</v>
      </c>
      <c r="K433" t="s">
        <v>11</v>
      </c>
      <c r="L433" t="str">
        <f t="shared" si="92"/>
        <v>West</v>
      </c>
      <c r="M433" t="s">
        <v>292</v>
      </c>
      <c r="N433" t="str">
        <f t="shared" si="93"/>
        <v>Goa</v>
      </c>
      <c r="O433" t="s">
        <v>293</v>
      </c>
      <c r="P433" t="str">
        <f t="shared" si="94"/>
        <v>Panaji</v>
      </c>
      <c r="Q433" t="s">
        <v>24</v>
      </c>
      <c r="R433" t="str">
        <f t="shared" si="95"/>
        <v>Technology</v>
      </c>
      <c r="S433" t="s">
        <v>427</v>
      </c>
      <c r="T433" t="str">
        <f t="shared" si="96"/>
        <v>Machines</v>
      </c>
      <c r="U433" t="s">
        <v>2187</v>
      </c>
      <c r="V433" t="str">
        <f t="shared" si="97"/>
        <v>Max Machines 412</v>
      </c>
      <c r="W433" t="s">
        <v>90</v>
      </c>
      <c r="X433" t="str">
        <f t="shared" si="98"/>
        <v>Same Day</v>
      </c>
      <c r="Y433">
        <v>3</v>
      </c>
      <c r="Z433">
        <v>2</v>
      </c>
      <c r="AA433">
        <v>4118.45</v>
      </c>
      <c r="AB433">
        <v>0.25</v>
      </c>
      <c r="AC433">
        <f t="shared" si="99"/>
        <v>0.25</v>
      </c>
      <c r="AD433">
        <v>6177.67</v>
      </c>
      <c r="AE433">
        <f t="shared" si="100"/>
        <v>6177.675</v>
      </c>
      <c r="AF433">
        <v>4520.75</v>
      </c>
      <c r="AG433">
        <v>1656.92</v>
      </c>
      <c r="AH433">
        <f t="shared" si="101"/>
        <v>1656.925</v>
      </c>
      <c r="AI433">
        <f t="shared" si="102"/>
        <v>0.268211746328513</v>
      </c>
      <c r="AJ433" t="s">
        <v>77</v>
      </c>
      <c r="AK433" t="str">
        <f t="shared" si="103"/>
        <v>Paid</v>
      </c>
      <c r="AL433" t="s">
        <v>78</v>
      </c>
      <c r="AM433" t="str">
        <f t="shared" si="104"/>
        <v>Completed</v>
      </c>
      <c r="AN433">
        <v>2</v>
      </c>
      <c r="AO433">
        <v>2024</v>
      </c>
      <c r="AP433" t="s">
        <v>79</v>
      </c>
    </row>
    <row r="434" spans="1:42">
      <c r="A434" t="s">
        <v>2188</v>
      </c>
      <c r="B434" s="3" t="s">
        <v>2004</v>
      </c>
      <c r="C434" s="3">
        <v>45533</v>
      </c>
      <c r="D434" t="s">
        <v>2180</v>
      </c>
      <c r="E434" s="3">
        <v>45537</v>
      </c>
      <c r="F434" t="s">
        <v>2189</v>
      </c>
      <c r="G434" t="s">
        <v>182</v>
      </c>
      <c r="H434" t="str">
        <f t="shared" si="90"/>
        <v>Priya Menon</v>
      </c>
      <c r="I434" t="s">
        <v>85</v>
      </c>
      <c r="J434" t="str">
        <f t="shared" si="91"/>
        <v>Small Business</v>
      </c>
      <c r="K434" t="s">
        <v>11</v>
      </c>
      <c r="L434" t="str">
        <f t="shared" si="92"/>
        <v>West</v>
      </c>
      <c r="M434" t="s">
        <v>114</v>
      </c>
      <c r="N434" t="str">
        <f t="shared" si="93"/>
        <v>Maharashtra</v>
      </c>
      <c r="O434" t="s">
        <v>115</v>
      </c>
      <c r="P434" t="str">
        <f t="shared" si="94"/>
        <v>Mumbai</v>
      </c>
      <c r="Q434" t="s">
        <v>19</v>
      </c>
      <c r="R434" t="str">
        <f t="shared" si="95"/>
        <v>Furniture</v>
      </c>
      <c r="S434" t="s">
        <v>245</v>
      </c>
      <c r="T434" t="str">
        <f t="shared" si="96"/>
        <v>Bookcases</v>
      </c>
      <c r="U434" t="s">
        <v>2190</v>
      </c>
      <c r="V434" t="str">
        <f t="shared" si="97"/>
        <v>Classic Bookcases 291</v>
      </c>
      <c r="W434" t="s">
        <v>108</v>
      </c>
      <c r="X434" t="str">
        <f t="shared" si="98"/>
        <v>Standard Class</v>
      </c>
      <c r="Y434">
        <v>4</v>
      </c>
      <c r="Z434">
        <v>6</v>
      </c>
      <c r="AA434">
        <v>172.82</v>
      </c>
      <c r="AB434">
        <v>0.05</v>
      </c>
      <c r="AC434">
        <f t="shared" si="99"/>
        <v>0.05</v>
      </c>
      <c r="AD434">
        <v>985.07</v>
      </c>
      <c r="AE434">
        <f t="shared" si="100"/>
        <v>985.074</v>
      </c>
      <c r="AF434">
        <v>844.48</v>
      </c>
      <c r="AG434">
        <v>140.59</v>
      </c>
      <c r="AH434">
        <f t="shared" si="101"/>
        <v>140.594</v>
      </c>
      <c r="AI434">
        <f t="shared" si="102"/>
        <v>0.142724302945769</v>
      </c>
      <c r="AJ434" t="s">
        <v>77</v>
      </c>
      <c r="AK434" t="str">
        <f t="shared" si="103"/>
        <v>Paid</v>
      </c>
      <c r="AL434" t="s">
        <v>78</v>
      </c>
      <c r="AM434" t="str">
        <f t="shared" si="104"/>
        <v>Completed</v>
      </c>
      <c r="AN434">
        <v>8</v>
      </c>
      <c r="AO434">
        <v>2024</v>
      </c>
      <c r="AP434" t="s">
        <v>79</v>
      </c>
    </row>
    <row r="435" spans="1:42">
      <c r="A435" t="s">
        <v>2191</v>
      </c>
      <c r="B435" s="3" t="s">
        <v>2192</v>
      </c>
      <c r="C435" s="3">
        <v>45401</v>
      </c>
      <c r="D435" t="s">
        <v>2193</v>
      </c>
      <c r="E435" s="3">
        <v>45402</v>
      </c>
      <c r="F435" t="s">
        <v>2194</v>
      </c>
      <c r="G435" t="s">
        <v>182</v>
      </c>
      <c r="H435" t="str">
        <f t="shared" si="90"/>
        <v>Priya Menon</v>
      </c>
      <c r="I435" t="s">
        <v>147</v>
      </c>
      <c r="J435" t="str">
        <f t="shared" si="91"/>
        <v>Corporate</v>
      </c>
      <c r="K435" t="s">
        <v>10</v>
      </c>
      <c r="L435" t="str">
        <f t="shared" si="92"/>
        <v>South</v>
      </c>
      <c r="M435" t="s">
        <v>285</v>
      </c>
      <c r="N435" t="str">
        <f t="shared" si="93"/>
        <v>Kerala</v>
      </c>
      <c r="O435" t="s">
        <v>286</v>
      </c>
      <c r="P435" t="str">
        <f t="shared" si="94"/>
        <v>Kochi</v>
      </c>
      <c r="Q435" t="s">
        <v>22</v>
      </c>
      <c r="R435" t="str">
        <f t="shared" si="95"/>
        <v>Office Supplies</v>
      </c>
      <c r="S435" t="s">
        <v>96</v>
      </c>
      <c r="T435" t="str">
        <f t="shared" si="96"/>
        <v>Art</v>
      </c>
      <c r="U435" t="s">
        <v>2195</v>
      </c>
      <c r="V435" t="str">
        <f t="shared" si="97"/>
        <v>Elite Art 946</v>
      </c>
      <c r="W435" t="s">
        <v>76</v>
      </c>
      <c r="X435" t="str">
        <f t="shared" si="98"/>
        <v>Second Class</v>
      </c>
      <c r="Y435">
        <v>1</v>
      </c>
      <c r="Z435">
        <v>4</v>
      </c>
      <c r="AA435">
        <v>1540.22</v>
      </c>
      <c r="AB435">
        <v>0</v>
      </c>
      <c r="AC435">
        <f t="shared" si="99"/>
        <v>0</v>
      </c>
      <c r="AD435">
        <v>6160.88</v>
      </c>
      <c r="AE435">
        <f t="shared" si="100"/>
        <v>6160.88</v>
      </c>
      <c r="AF435">
        <v>4938.7</v>
      </c>
      <c r="AG435">
        <v>1222.18</v>
      </c>
      <c r="AH435">
        <f t="shared" si="101"/>
        <v>1222.18</v>
      </c>
      <c r="AI435">
        <f t="shared" si="102"/>
        <v>0.198377504512342</v>
      </c>
      <c r="AJ435" t="s">
        <v>163</v>
      </c>
      <c r="AK435" t="str">
        <f t="shared" si="103"/>
        <v>Refunded</v>
      </c>
      <c r="AL435" t="s">
        <v>164</v>
      </c>
      <c r="AM435" t="str">
        <f t="shared" si="104"/>
        <v>Returned</v>
      </c>
      <c r="AN435">
        <v>4</v>
      </c>
      <c r="AO435">
        <v>2024</v>
      </c>
      <c r="AP435" t="s">
        <v>79</v>
      </c>
    </row>
    <row r="436" spans="1:42">
      <c r="A436" t="s">
        <v>2196</v>
      </c>
      <c r="B436" s="3" t="s">
        <v>2197</v>
      </c>
      <c r="C436" s="3">
        <v>45758</v>
      </c>
      <c r="D436" t="s">
        <v>2198</v>
      </c>
      <c r="E436" s="3">
        <v>45762</v>
      </c>
      <c r="F436" t="s">
        <v>2199</v>
      </c>
      <c r="G436" t="s">
        <v>84</v>
      </c>
      <c r="H436" t="str">
        <f t="shared" si="90"/>
        <v>Mira Das</v>
      </c>
      <c r="I436" t="s">
        <v>154</v>
      </c>
      <c r="J436" t="str">
        <f t="shared" si="91"/>
        <v>Home Office</v>
      </c>
      <c r="K436" t="s">
        <v>8</v>
      </c>
      <c r="L436" t="str">
        <f t="shared" si="92"/>
        <v>North</v>
      </c>
      <c r="M436" t="s">
        <v>214</v>
      </c>
      <c r="N436" t="str">
        <f t="shared" si="93"/>
        <v>Uttar Pradesh</v>
      </c>
      <c r="O436" t="s">
        <v>215</v>
      </c>
      <c r="P436" t="str">
        <f t="shared" si="94"/>
        <v>Noida</v>
      </c>
      <c r="Q436" t="s">
        <v>24</v>
      </c>
      <c r="R436" t="str">
        <f t="shared" si="95"/>
        <v>Technology</v>
      </c>
      <c r="S436" t="s">
        <v>126</v>
      </c>
      <c r="T436" t="str">
        <f t="shared" si="96"/>
        <v>Accessories</v>
      </c>
      <c r="U436" t="s">
        <v>2200</v>
      </c>
      <c r="V436" t="str">
        <f t="shared" si="97"/>
        <v>Eco Accessories 705</v>
      </c>
      <c r="W436" t="s">
        <v>76</v>
      </c>
      <c r="X436" t="str">
        <f t="shared" si="98"/>
        <v>Second Class</v>
      </c>
      <c r="Y436">
        <v>4</v>
      </c>
      <c r="Z436">
        <v>5</v>
      </c>
      <c r="AA436">
        <v>652.78</v>
      </c>
      <c r="AB436">
        <v>0</v>
      </c>
      <c r="AC436">
        <f t="shared" si="99"/>
        <v>0</v>
      </c>
      <c r="AD436">
        <v>3263.9</v>
      </c>
      <c r="AE436">
        <f t="shared" si="100"/>
        <v>3263.9</v>
      </c>
      <c r="AF436">
        <v>2068.44</v>
      </c>
      <c r="AG436">
        <v>1195.46</v>
      </c>
      <c r="AH436">
        <f t="shared" si="101"/>
        <v>1195.46</v>
      </c>
      <c r="AI436">
        <f t="shared" si="102"/>
        <v>0.36626734887711</v>
      </c>
      <c r="AJ436" t="s">
        <v>77</v>
      </c>
      <c r="AK436" t="str">
        <f t="shared" si="103"/>
        <v>Paid</v>
      </c>
      <c r="AL436" t="s">
        <v>78</v>
      </c>
      <c r="AM436" t="str">
        <f t="shared" si="104"/>
        <v>Completed</v>
      </c>
      <c r="AN436">
        <v>4</v>
      </c>
      <c r="AO436">
        <v>2025</v>
      </c>
      <c r="AP436" t="s">
        <v>79</v>
      </c>
    </row>
    <row r="437" spans="1:42">
      <c r="A437" t="s">
        <v>2201</v>
      </c>
      <c r="B437" s="3" t="s">
        <v>2202</v>
      </c>
      <c r="C437" s="3">
        <v>45759</v>
      </c>
      <c r="D437" t="s">
        <v>1078</v>
      </c>
      <c r="E437" s="3">
        <v>45767</v>
      </c>
      <c r="F437" t="s">
        <v>2203</v>
      </c>
      <c r="G437" t="s">
        <v>411</v>
      </c>
      <c r="H437" t="str">
        <f t="shared" si="90"/>
        <v>Kabir Singh</v>
      </c>
      <c r="I437" t="s">
        <v>154</v>
      </c>
      <c r="J437" t="str">
        <f t="shared" si="91"/>
        <v>Home Office</v>
      </c>
      <c r="K437" t="s">
        <v>8</v>
      </c>
      <c r="L437" t="str">
        <f t="shared" si="92"/>
        <v>North</v>
      </c>
      <c r="M437" t="s">
        <v>552</v>
      </c>
      <c r="N437" t="str">
        <f t="shared" si="93"/>
        <v>Delhi</v>
      </c>
      <c r="O437" t="s">
        <v>553</v>
      </c>
      <c r="P437" t="str">
        <f t="shared" si="94"/>
        <v>New Delhi</v>
      </c>
      <c r="Q437" t="s">
        <v>24</v>
      </c>
      <c r="R437" t="str">
        <f t="shared" si="95"/>
        <v>Technology</v>
      </c>
      <c r="S437" t="s">
        <v>427</v>
      </c>
      <c r="T437" t="str">
        <f t="shared" si="96"/>
        <v>Machines</v>
      </c>
      <c r="U437" t="s">
        <v>2204</v>
      </c>
      <c r="V437" t="str">
        <f t="shared" si="97"/>
        <v>Max Machines 151</v>
      </c>
      <c r="W437" t="s">
        <v>108</v>
      </c>
      <c r="X437" t="str">
        <f t="shared" si="98"/>
        <v>Standard Class</v>
      </c>
      <c r="Y437">
        <v>8</v>
      </c>
      <c r="Z437">
        <v>1</v>
      </c>
      <c r="AA437">
        <v>2737.71</v>
      </c>
      <c r="AB437">
        <v>0.15</v>
      </c>
      <c r="AC437">
        <f t="shared" si="99"/>
        <v>0.15</v>
      </c>
      <c r="AD437">
        <v>2327.05</v>
      </c>
      <c r="AE437">
        <f t="shared" si="100"/>
        <v>2327.0535</v>
      </c>
      <c r="AF437">
        <v>1919.42</v>
      </c>
      <c r="AG437">
        <v>407.63</v>
      </c>
      <c r="AH437">
        <f t="shared" si="101"/>
        <v>407.6335</v>
      </c>
      <c r="AI437">
        <f t="shared" si="102"/>
        <v>0.175171520551633</v>
      </c>
      <c r="AJ437" t="s">
        <v>77</v>
      </c>
      <c r="AK437" t="str">
        <f t="shared" si="103"/>
        <v>Paid</v>
      </c>
      <c r="AL437" t="s">
        <v>118</v>
      </c>
      <c r="AM437" t="str">
        <f t="shared" si="104"/>
        <v>Cancelled</v>
      </c>
      <c r="AN437">
        <v>4</v>
      </c>
      <c r="AO437">
        <v>2025</v>
      </c>
      <c r="AP437" t="s">
        <v>79</v>
      </c>
    </row>
    <row r="438" spans="1:42">
      <c r="A438" t="s">
        <v>2205</v>
      </c>
      <c r="B438" s="3" t="s">
        <v>2206</v>
      </c>
      <c r="C438" s="3">
        <v>45459</v>
      </c>
      <c r="D438" t="s">
        <v>2207</v>
      </c>
      <c r="E438" s="3">
        <v>45464</v>
      </c>
      <c r="F438" t="s">
        <v>2208</v>
      </c>
      <c r="G438" t="s">
        <v>132</v>
      </c>
      <c r="H438" t="str">
        <f t="shared" si="90"/>
        <v>Neha Gupta</v>
      </c>
      <c r="I438" t="s">
        <v>71</v>
      </c>
      <c r="J438" t="str">
        <f t="shared" si="91"/>
        <v>Consumer</v>
      </c>
      <c r="K438" t="s">
        <v>10</v>
      </c>
      <c r="L438" t="str">
        <f t="shared" si="92"/>
        <v>South</v>
      </c>
      <c r="M438" t="s">
        <v>285</v>
      </c>
      <c r="N438" t="str">
        <f t="shared" si="93"/>
        <v>Kerala</v>
      </c>
      <c r="O438" t="s">
        <v>286</v>
      </c>
      <c r="P438" t="str">
        <f t="shared" si="94"/>
        <v>Kochi</v>
      </c>
      <c r="Q438" t="s">
        <v>19</v>
      </c>
      <c r="R438" t="str">
        <f t="shared" si="95"/>
        <v>Furniture</v>
      </c>
      <c r="S438" t="s">
        <v>106</v>
      </c>
      <c r="T438" t="str">
        <f t="shared" si="96"/>
        <v>Furnishings</v>
      </c>
      <c r="U438" t="s">
        <v>2209</v>
      </c>
      <c r="V438" t="str">
        <f t="shared" si="97"/>
        <v>Max Furnishings 803</v>
      </c>
      <c r="W438" t="s">
        <v>90</v>
      </c>
      <c r="X438" t="str">
        <f t="shared" si="98"/>
        <v>Same Day</v>
      </c>
      <c r="Y438">
        <v>5</v>
      </c>
      <c r="Z438">
        <v>6</v>
      </c>
      <c r="AA438">
        <v>1156.78</v>
      </c>
      <c r="AB438">
        <v>0.05</v>
      </c>
      <c r="AC438">
        <f t="shared" si="99"/>
        <v>0.05</v>
      </c>
      <c r="AD438">
        <v>6593.65</v>
      </c>
      <c r="AE438">
        <f t="shared" si="100"/>
        <v>6593.646</v>
      </c>
      <c r="AF438">
        <v>4359.39</v>
      </c>
      <c r="AG438">
        <v>2234.26</v>
      </c>
      <c r="AH438">
        <f t="shared" si="101"/>
        <v>2234.256</v>
      </c>
      <c r="AI438">
        <f t="shared" si="102"/>
        <v>0.338849856361715</v>
      </c>
      <c r="AJ438" t="s">
        <v>77</v>
      </c>
      <c r="AK438" t="str">
        <f t="shared" si="103"/>
        <v>Paid</v>
      </c>
      <c r="AL438" t="s">
        <v>164</v>
      </c>
      <c r="AM438" t="str">
        <f t="shared" si="104"/>
        <v>Returned</v>
      </c>
      <c r="AN438">
        <v>6</v>
      </c>
      <c r="AO438">
        <v>2024</v>
      </c>
      <c r="AP438" t="s">
        <v>79</v>
      </c>
    </row>
    <row r="439" spans="1:42">
      <c r="A439" t="s">
        <v>2210</v>
      </c>
      <c r="B439" s="3" t="s">
        <v>2211</v>
      </c>
      <c r="C439" s="3">
        <v>45337</v>
      </c>
      <c r="D439" t="s">
        <v>2212</v>
      </c>
      <c r="E439" s="3">
        <v>45340</v>
      </c>
      <c r="F439" t="s">
        <v>2213</v>
      </c>
      <c r="G439" t="s">
        <v>146</v>
      </c>
      <c r="H439" t="str">
        <f t="shared" si="90"/>
        <v>Aditi Sen</v>
      </c>
      <c r="I439" t="s">
        <v>85</v>
      </c>
      <c r="J439" t="str">
        <f t="shared" si="91"/>
        <v>Small Business</v>
      </c>
      <c r="K439" t="s">
        <v>10</v>
      </c>
      <c r="L439" t="str">
        <f t="shared" si="92"/>
        <v>South</v>
      </c>
      <c r="M439" t="s">
        <v>285</v>
      </c>
      <c r="N439" t="str">
        <f t="shared" si="93"/>
        <v>Kerala</v>
      </c>
      <c r="O439" t="s">
        <v>286</v>
      </c>
      <c r="P439" t="str">
        <f t="shared" si="94"/>
        <v>Kochi</v>
      </c>
      <c r="Q439" t="s">
        <v>24</v>
      </c>
      <c r="R439" t="str">
        <f t="shared" si="95"/>
        <v>Technology</v>
      </c>
      <c r="S439" t="s">
        <v>2214</v>
      </c>
      <c r="T439" t="str">
        <f t="shared" si="96"/>
        <v>Accessories</v>
      </c>
      <c r="U439" t="s">
        <v>2215</v>
      </c>
      <c r="V439" t="str">
        <f t="shared" si="97"/>
        <v>Max Accessories 423</v>
      </c>
      <c r="W439" t="s">
        <v>90</v>
      </c>
      <c r="X439" t="str">
        <f t="shared" si="98"/>
        <v>Same Day</v>
      </c>
      <c r="Y439">
        <v>3</v>
      </c>
      <c r="Z439">
        <v>8</v>
      </c>
      <c r="AA439">
        <v>379.82</v>
      </c>
      <c r="AB439">
        <v>0.05</v>
      </c>
      <c r="AC439">
        <f t="shared" si="99"/>
        <v>0.05</v>
      </c>
      <c r="AD439">
        <v>2886.63</v>
      </c>
      <c r="AE439">
        <f t="shared" si="100"/>
        <v>2886.632</v>
      </c>
      <c r="AF439">
        <v>1588.23</v>
      </c>
      <c r="AG439">
        <v>1298.4</v>
      </c>
      <c r="AH439">
        <f t="shared" si="101"/>
        <v>1298.402</v>
      </c>
      <c r="AI439">
        <f t="shared" si="102"/>
        <v>0.44979824238074</v>
      </c>
      <c r="AJ439" t="s">
        <v>241</v>
      </c>
      <c r="AK439" t="str">
        <f t="shared" si="103"/>
        <v>Failed</v>
      </c>
      <c r="AL439" t="s">
        <v>164</v>
      </c>
      <c r="AM439" t="str">
        <f t="shared" si="104"/>
        <v>Returned</v>
      </c>
      <c r="AN439">
        <v>2</v>
      </c>
      <c r="AO439">
        <v>2024</v>
      </c>
      <c r="AP439" t="s">
        <v>79</v>
      </c>
    </row>
    <row r="440" spans="1:42">
      <c r="A440" t="s">
        <v>2216</v>
      </c>
      <c r="B440" s="3" t="s">
        <v>1073</v>
      </c>
      <c r="C440" s="3">
        <v>45784</v>
      </c>
      <c r="D440" t="s">
        <v>2217</v>
      </c>
      <c r="E440" s="3">
        <v>45782</v>
      </c>
      <c r="F440" t="s">
        <v>2218</v>
      </c>
      <c r="G440" t="s">
        <v>132</v>
      </c>
      <c r="H440" t="str">
        <f t="shared" si="90"/>
        <v>Neha Gupta</v>
      </c>
      <c r="I440" t="s">
        <v>147</v>
      </c>
      <c r="J440" t="str">
        <f t="shared" si="91"/>
        <v>Corporate</v>
      </c>
      <c r="K440" t="s">
        <v>7</v>
      </c>
      <c r="L440" t="str">
        <f t="shared" si="92"/>
        <v>East</v>
      </c>
      <c r="M440" t="s">
        <v>354</v>
      </c>
      <c r="N440" t="str">
        <f t="shared" si="93"/>
        <v>Jharkhand</v>
      </c>
      <c r="O440" t="s">
        <v>355</v>
      </c>
      <c r="P440" t="str">
        <f t="shared" si="94"/>
        <v>Ranchi</v>
      </c>
      <c r="Q440" t="s">
        <v>24</v>
      </c>
      <c r="R440" t="str">
        <f t="shared" si="95"/>
        <v>Technology</v>
      </c>
      <c r="S440" t="s">
        <v>265</v>
      </c>
      <c r="T440" t="str">
        <f t="shared" si="96"/>
        <v>Phones</v>
      </c>
      <c r="U440" t="s">
        <v>2219</v>
      </c>
      <c r="V440" t="str">
        <f t="shared" si="97"/>
        <v>Elite Phones 276</v>
      </c>
      <c r="W440" t="s">
        <v>108</v>
      </c>
      <c r="X440" t="str">
        <f t="shared" si="98"/>
        <v>Standard Class</v>
      </c>
      <c r="Y440">
        <v>-2</v>
      </c>
      <c r="Z440">
        <v>1</v>
      </c>
      <c r="AA440">
        <v>2266.47</v>
      </c>
      <c r="AB440">
        <v>0.2</v>
      </c>
      <c r="AC440">
        <f t="shared" si="99"/>
        <v>0.2</v>
      </c>
      <c r="AD440">
        <v>1813.18</v>
      </c>
      <c r="AE440">
        <f t="shared" si="100"/>
        <v>1813.176</v>
      </c>
      <c r="AF440">
        <v>1363.64</v>
      </c>
      <c r="AG440">
        <v>449.54</v>
      </c>
      <c r="AH440">
        <f t="shared" si="101"/>
        <v>449.536</v>
      </c>
      <c r="AI440">
        <f t="shared" si="102"/>
        <v>0.247927393700336</v>
      </c>
      <c r="AJ440" t="s">
        <v>77</v>
      </c>
      <c r="AK440" t="str">
        <f t="shared" si="103"/>
        <v>Paid</v>
      </c>
      <c r="AL440" t="s">
        <v>78</v>
      </c>
      <c r="AM440" t="str">
        <f t="shared" si="104"/>
        <v>Completed</v>
      </c>
      <c r="AN440">
        <v>5</v>
      </c>
      <c r="AO440">
        <v>2025</v>
      </c>
      <c r="AP440" t="s">
        <v>253</v>
      </c>
    </row>
    <row r="441" spans="1:42">
      <c r="A441" t="s">
        <v>2220</v>
      </c>
      <c r="B441" s="3" t="s">
        <v>2221</v>
      </c>
      <c r="C441" s="3">
        <v>45838</v>
      </c>
      <c r="D441" t="s">
        <v>2222</v>
      </c>
      <c r="E441" s="3">
        <v>45841</v>
      </c>
      <c r="F441" t="s">
        <v>2223</v>
      </c>
      <c r="G441" t="s">
        <v>202</v>
      </c>
      <c r="H441" t="str">
        <f t="shared" si="90"/>
        <v>Aarav Sharma</v>
      </c>
      <c r="I441" t="s">
        <v>154</v>
      </c>
      <c r="J441" t="str">
        <f t="shared" si="91"/>
        <v>Home Office</v>
      </c>
      <c r="K441" t="s">
        <v>11</v>
      </c>
      <c r="L441" t="str">
        <f t="shared" si="92"/>
        <v>West</v>
      </c>
      <c r="M441" t="s">
        <v>292</v>
      </c>
      <c r="N441" t="str">
        <f t="shared" si="93"/>
        <v>Goa</v>
      </c>
      <c r="O441" t="s">
        <v>293</v>
      </c>
      <c r="P441" t="str">
        <f t="shared" si="94"/>
        <v>Panaji</v>
      </c>
      <c r="Q441" t="s">
        <v>22</v>
      </c>
      <c r="R441" t="str">
        <f t="shared" si="95"/>
        <v>Office Supplies</v>
      </c>
      <c r="S441" t="s">
        <v>196</v>
      </c>
      <c r="T441" t="str">
        <f t="shared" si="96"/>
        <v>Storage</v>
      </c>
      <c r="U441" t="s">
        <v>2224</v>
      </c>
      <c r="V441" t="str">
        <f t="shared" si="97"/>
        <v>Smart Storage 287</v>
      </c>
      <c r="W441" t="s">
        <v>90</v>
      </c>
      <c r="X441" t="str">
        <f t="shared" si="98"/>
        <v>Same Day</v>
      </c>
      <c r="Y441">
        <v>3</v>
      </c>
      <c r="Z441">
        <v>5</v>
      </c>
      <c r="AA441">
        <v>665.25</v>
      </c>
      <c r="AB441">
        <v>0</v>
      </c>
      <c r="AC441">
        <f t="shared" si="99"/>
        <v>0</v>
      </c>
      <c r="AD441">
        <v>3326.25</v>
      </c>
      <c r="AE441">
        <f t="shared" si="100"/>
        <v>3326.25</v>
      </c>
      <c r="AF441">
        <v>2689.36</v>
      </c>
      <c r="AG441">
        <v>636.89</v>
      </c>
      <c r="AH441">
        <f t="shared" si="101"/>
        <v>636.89</v>
      </c>
      <c r="AI441">
        <f t="shared" si="102"/>
        <v>0.191473881999248</v>
      </c>
      <c r="AJ441" t="s">
        <v>163</v>
      </c>
      <c r="AK441" t="str">
        <f t="shared" si="103"/>
        <v>Refunded</v>
      </c>
      <c r="AL441" t="s">
        <v>164</v>
      </c>
      <c r="AM441" t="str">
        <f t="shared" si="104"/>
        <v>Returned</v>
      </c>
      <c r="AN441">
        <v>6</v>
      </c>
      <c r="AO441">
        <v>2025</v>
      </c>
      <c r="AP441" t="s">
        <v>79</v>
      </c>
    </row>
    <row r="442" spans="1:42">
      <c r="A442" t="s">
        <v>2225</v>
      </c>
      <c r="B442" s="3" t="s">
        <v>2226</v>
      </c>
      <c r="C442" s="3">
        <v>45384</v>
      </c>
      <c r="D442" t="s">
        <v>2227</v>
      </c>
      <c r="E442" s="3">
        <v>45390</v>
      </c>
      <c r="F442" t="s">
        <v>421</v>
      </c>
      <c r="G442" t="s">
        <v>123</v>
      </c>
      <c r="H442" t="str">
        <f t="shared" si="90"/>
        <v>Vikram Iyer</v>
      </c>
      <c r="I442" t="s">
        <v>147</v>
      </c>
      <c r="J442" t="str">
        <f t="shared" si="91"/>
        <v>Corporate</v>
      </c>
      <c r="K442" t="s">
        <v>7</v>
      </c>
      <c r="L442" t="str">
        <f t="shared" si="92"/>
        <v>East</v>
      </c>
      <c r="M442" t="s">
        <v>86</v>
      </c>
      <c r="N442" t="str">
        <f t="shared" si="93"/>
        <v>Odisha</v>
      </c>
      <c r="O442" t="s">
        <v>87</v>
      </c>
      <c r="P442" t="str">
        <f t="shared" si="94"/>
        <v>Bhubaneswar</v>
      </c>
      <c r="Q442" t="s">
        <v>24</v>
      </c>
      <c r="R442" t="str">
        <f t="shared" si="95"/>
        <v>Technology</v>
      </c>
      <c r="S442" t="s">
        <v>427</v>
      </c>
      <c r="T442" t="str">
        <f t="shared" si="96"/>
        <v>Machines</v>
      </c>
      <c r="U442" t="s">
        <v>2228</v>
      </c>
      <c r="V442" t="str">
        <f t="shared" si="97"/>
        <v>Basic Machines 610</v>
      </c>
      <c r="W442" t="s">
        <v>76</v>
      </c>
      <c r="X442" t="str">
        <f t="shared" si="98"/>
        <v>Second Class</v>
      </c>
      <c r="Y442">
        <v>6</v>
      </c>
      <c r="Z442">
        <v>6</v>
      </c>
      <c r="AA442">
        <v>3722.84</v>
      </c>
      <c r="AB442">
        <v>0.2</v>
      </c>
      <c r="AC442">
        <f t="shared" si="99"/>
        <v>0.2</v>
      </c>
      <c r="AD442">
        <v>17869.63</v>
      </c>
      <c r="AE442">
        <f t="shared" si="100"/>
        <v>17869.632</v>
      </c>
      <c r="AF442">
        <v>12163.8</v>
      </c>
      <c r="AG442">
        <v>5705.83</v>
      </c>
      <c r="AH442">
        <f t="shared" si="101"/>
        <v>5705.832</v>
      </c>
      <c r="AI442">
        <f t="shared" si="102"/>
        <v>0.319303273844699</v>
      </c>
      <c r="AJ442" t="s">
        <v>77</v>
      </c>
      <c r="AK442" t="str">
        <f t="shared" si="103"/>
        <v>Paid</v>
      </c>
      <c r="AL442" t="s">
        <v>78</v>
      </c>
      <c r="AM442" t="str">
        <f t="shared" si="104"/>
        <v>Completed</v>
      </c>
      <c r="AN442">
        <v>4</v>
      </c>
      <c r="AO442">
        <v>2024</v>
      </c>
      <c r="AP442" t="s">
        <v>79</v>
      </c>
    </row>
    <row r="443" spans="1:42">
      <c r="A443" t="s">
        <v>2229</v>
      </c>
      <c r="B443" s="3" t="s">
        <v>2230</v>
      </c>
      <c r="C443" s="3">
        <v>45568</v>
      </c>
      <c r="D443" t="s">
        <v>571</v>
      </c>
      <c r="E443" s="3">
        <v>45568</v>
      </c>
      <c r="F443" t="s">
        <v>2231</v>
      </c>
      <c r="G443" t="s">
        <v>70</v>
      </c>
      <c r="H443" t="str">
        <f t="shared" si="90"/>
        <v>Karan Malhotra</v>
      </c>
      <c r="I443" t="s">
        <v>71</v>
      </c>
      <c r="J443" t="str">
        <f t="shared" si="91"/>
        <v>Consumer</v>
      </c>
      <c r="K443" t="s">
        <v>7</v>
      </c>
      <c r="L443" t="str">
        <f t="shared" si="92"/>
        <v>East</v>
      </c>
      <c r="M443" t="s">
        <v>227</v>
      </c>
      <c r="N443" t="str">
        <f t="shared" si="93"/>
        <v>Bihar</v>
      </c>
      <c r="O443" t="s">
        <v>228</v>
      </c>
      <c r="P443" t="str">
        <f t="shared" si="94"/>
        <v>Patna</v>
      </c>
      <c r="Q443" t="s">
        <v>19</v>
      </c>
      <c r="R443" t="str">
        <f t="shared" si="95"/>
        <v>Furniture</v>
      </c>
      <c r="S443" t="s">
        <v>245</v>
      </c>
      <c r="T443" t="str">
        <f t="shared" si="96"/>
        <v>Bookcases</v>
      </c>
      <c r="U443" t="s">
        <v>2232</v>
      </c>
      <c r="V443" t="str">
        <f t="shared" si="97"/>
        <v>Elite Bookcases 393</v>
      </c>
      <c r="W443" t="s">
        <v>108</v>
      </c>
      <c r="X443" t="str">
        <f t="shared" si="98"/>
        <v>Standard Class</v>
      </c>
      <c r="Y443">
        <v>0</v>
      </c>
      <c r="Z443">
        <v>6</v>
      </c>
      <c r="AA443">
        <v>4217.49</v>
      </c>
      <c r="AB443">
        <v>0</v>
      </c>
      <c r="AC443">
        <f t="shared" si="99"/>
        <v>0</v>
      </c>
      <c r="AD443">
        <v>25304.94</v>
      </c>
      <c r="AE443">
        <f t="shared" si="100"/>
        <v>25304.94</v>
      </c>
      <c r="AF443">
        <v>20771.95</v>
      </c>
      <c r="AG443">
        <v>4532.99</v>
      </c>
      <c r="AH443">
        <f t="shared" si="101"/>
        <v>4532.99</v>
      </c>
      <c r="AI443">
        <f t="shared" si="102"/>
        <v>0.179134587950021</v>
      </c>
      <c r="AJ443" t="s">
        <v>77</v>
      </c>
      <c r="AK443" t="str">
        <f t="shared" si="103"/>
        <v>Paid</v>
      </c>
      <c r="AL443" t="s">
        <v>118</v>
      </c>
      <c r="AM443" t="str">
        <f t="shared" si="104"/>
        <v>Cancelled</v>
      </c>
      <c r="AN443">
        <v>10</v>
      </c>
      <c r="AO443">
        <v>2024</v>
      </c>
      <c r="AP443" t="s">
        <v>79</v>
      </c>
    </row>
    <row r="444" spans="1:42">
      <c r="A444" t="s">
        <v>2233</v>
      </c>
      <c r="B444" s="3" t="s">
        <v>2234</v>
      </c>
      <c r="C444" s="3">
        <v>45669</v>
      </c>
      <c r="D444" t="s">
        <v>2235</v>
      </c>
      <c r="E444" s="3">
        <v>45676</v>
      </c>
      <c r="F444" t="s">
        <v>2236</v>
      </c>
      <c r="G444" t="s">
        <v>202</v>
      </c>
      <c r="H444" t="str">
        <f t="shared" si="90"/>
        <v>Aarav Sharma</v>
      </c>
      <c r="I444" t="s">
        <v>71</v>
      </c>
      <c r="J444" t="str">
        <f t="shared" si="91"/>
        <v>Consumer</v>
      </c>
      <c r="K444" t="s">
        <v>7</v>
      </c>
      <c r="L444" t="str">
        <f t="shared" si="92"/>
        <v>East</v>
      </c>
      <c r="M444" t="s">
        <v>354</v>
      </c>
      <c r="N444" t="str">
        <f t="shared" si="93"/>
        <v>Jharkhand</v>
      </c>
      <c r="O444" t="s">
        <v>355</v>
      </c>
      <c r="P444" t="str">
        <f t="shared" si="94"/>
        <v>Ranchi</v>
      </c>
      <c r="Q444" t="s">
        <v>19</v>
      </c>
      <c r="R444" t="str">
        <f t="shared" si="95"/>
        <v>Furniture</v>
      </c>
      <c r="S444" t="s">
        <v>88</v>
      </c>
      <c r="T444" t="str">
        <f t="shared" si="96"/>
        <v>Tables</v>
      </c>
      <c r="U444" t="s">
        <v>2237</v>
      </c>
      <c r="V444" t="str">
        <f t="shared" si="97"/>
        <v>Prime Tables 242</v>
      </c>
      <c r="W444" t="s">
        <v>98</v>
      </c>
      <c r="X444" t="str">
        <f t="shared" si="98"/>
        <v>First Class</v>
      </c>
      <c r="Y444">
        <v>7</v>
      </c>
      <c r="Z444">
        <v>1</v>
      </c>
      <c r="AA444">
        <v>1842.31</v>
      </c>
      <c r="AB444">
        <v>0</v>
      </c>
      <c r="AC444">
        <f t="shared" si="99"/>
        <v>0</v>
      </c>
      <c r="AD444">
        <v>1842.31</v>
      </c>
      <c r="AE444">
        <f t="shared" si="100"/>
        <v>1842.31</v>
      </c>
      <c r="AF444">
        <v>1019.17</v>
      </c>
      <c r="AG444">
        <v>823.14</v>
      </c>
      <c r="AH444">
        <f t="shared" si="101"/>
        <v>823.14</v>
      </c>
      <c r="AI444">
        <f t="shared" si="102"/>
        <v>0.446797770190685</v>
      </c>
      <c r="AJ444" t="s">
        <v>77</v>
      </c>
      <c r="AK444" t="str">
        <f t="shared" si="103"/>
        <v>Paid</v>
      </c>
      <c r="AL444" t="s">
        <v>78</v>
      </c>
      <c r="AM444" t="str">
        <f t="shared" si="104"/>
        <v>Completed</v>
      </c>
      <c r="AN444">
        <v>1</v>
      </c>
      <c r="AO444">
        <v>2025</v>
      </c>
      <c r="AP444" t="s">
        <v>79</v>
      </c>
    </row>
    <row r="445" spans="1:42">
      <c r="A445" t="s">
        <v>2238</v>
      </c>
      <c r="B445" s="3" t="s">
        <v>2239</v>
      </c>
      <c r="C445" s="3">
        <v>45386</v>
      </c>
      <c r="D445" t="s">
        <v>1948</v>
      </c>
      <c r="E445" s="3">
        <v>45389</v>
      </c>
      <c r="F445" t="s">
        <v>2240</v>
      </c>
      <c r="G445" t="s">
        <v>220</v>
      </c>
      <c r="H445" t="str">
        <f t="shared" si="90"/>
        <v>Rohan Mehta</v>
      </c>
      <c r="I445" t="s">
        <v>154</v>
      </c>
      <c r="J445" t="str">
        <f t="shared" si="91"/>
        <v>Home Office</v>
      </c>
      <c r="K445" t="s">
        <v>7</v>
      </c>
      <c r="L445" t="str">
        <f t="shared" si="92"/>
        <v>East</v>
      </c>
      <c r="M445" t="s">
        <v>86</v>
      </c>
      <c r="N445" t="str">
        <f t="shared" si="93"/>
        <v>Odisha</v>
      </c>
      <c r="O445" t="s">
        <v>87</v>
      </c>
      <c r="P445" t="str">
        <f t="shared" si="94"/>
        <v>Bhubaneswar</v>
      </c>
      <c r="Q445" t="s">
        <v>19</v>
      </c>
      <c r="R445" t="str">
        <f t="shared" si="95"/>
        <v>Furniture</v>
      </c>
      <c r="S445" t="s">
        <v>106</v>
      </c>
      <c r="T445" t="str">
        <f t="shared" si="96"/>
        <v>Furnishings</v>
      </c>
      <c r="U445" t="s">
        <v>2241</v>
      </c>
      <c r="V445" t="str">
        <f t="shared" si="97"/>
        <v>Basic Furnishings 563</v>
      </c>
      <c r="W445" t="s">
        <v>98</v>
      </c>
      <c r="X445" t="str">
        <f t="shared" si="98"/>
        <v>First Class</v>
      </c>
      <c r="Y445">
        <v>3</v>
      </c>
      <c r="Z445">
        <v>1</v>
      </c>
      <c r="AA445">
        <v>3683.75</v>
      </c>
      <c r="AB445">
        <v>0.1</v>
      </c>
      <c r="AC445">
        <f t="shared" si="99"/>
        <v>0.1</v>
      </c>
      <c r="AD445">
        <v>3315.38</v>
      </c>
      <c r="AE445">
        <f t="shared" si="100"/>
        <v>3315.375</v>
      </c>
      <c r="AF445">
        <v>2347.68</v>
      </c>
      <c r="AG445">
        <v>967.7</v>
      </c>
      <c r="AH445">
        <f t="shared" si="101"/>
        <v>967.695</v>
      </c>
      <c r="AI445">
        <f t="shared" si="102"/>
        <v>0.291881008935641</v>
      </c>
      <c r="AJ445" t="s">
        <v>77</v>
      </c>
      <c r="AK445" t="str">
        <f t="shared" si="103"/>
        <v>Paid</v>
      </c>
      <c r="AL445" t="s">
        <v>78</v>
      </c>
      <c r="AM445" t="str">
        <f t="shared" si="104"/>
        <v>Completed</v>
      </c>
      <c r="AN445">
        <v>4</v>
      </c>
      <c r="AO445">
        <v>2024</v>
      </c>
      <c r="AP445" t="s">
        <v>79</v>
      </c>
    </row>
    <row r="446" spans="1:42">
      <c r="A446" t="s">
        <v>2242</v>
      </c>
      <c r="B446" s="3" t="s">
        <v>2243</v>
      </c>
      <c r="C446" s="3">
        <v>45881</v>
      </c>
      <c r="D446" t="s">
        <v>1913</v>
      </c>
      <c r="E446" s="3">
        <v>45885</v>
      </c>
      <c r="F446" t="s">
        <v>2244</v>
      </c>
      <c r="G446" t="s">
        <v>113</v>
      </c>
      <c r="H446" t="str">
        <f t="shared" si="90"/>
        <v>Ananya Rao</v>
      </c>
      <c r="I446" t="s">
        <v>71</v>
      </c>
      <c r="J446" t="str">
        <f t="shared" si="91"/>
        <v>Consumer</v>
      </c>
      <c r="K446" t="s">
        <v>7</v>
      </c>
      <c r="L446" t="str">
        <f t="shared" si="92"/>
        <v>East</v>
      </c>
      <c r="M446" t="s">
        <v>258</v>
      </c>
      <c r="N446" t="str">
        <f t="shared" si="93"/>
        <v>Assam</v>
      </c>
      <c r="O446" t="s">
        <v>259</v>
      </c>
      <c r="P446" t="str">
        <f t="shared" si="94"/>
        <v>Guwahati</v>
      </c>
      <c r="Q446" t="s">
        <v>24</v>
      </c>
      <c r="R446" t="str">
        <f t="shared" si="95"/>
        <v>Technology</v>
      </c>
      <c r="S446" t="s">
        <v>126</v>
      </c>
      <c r="T446" t="str">
        <f t="shared" si="96"/>
        <v>Accessories</v>
      </c>
      <c r="U446" t="s">
        <v>2245</v>
      </c>
      <c r="V446" t="str">
        <f t="shared" si="97"/>
        <v>Prime Accessories 482</v>
      </c>
      <c r="W446" t="s">
        <v>90</v>
      </c>
      <c r="X446" t="str">
        <f t="shared" si="98"/>
        <v>Same Day</v>
      </c>
      <c r="Y446">
        <v>4</v>
      </c>
      <c r="Z446">
        <v>9</v>
      </c>
      <c r="AA446">
        <v>2379.24</v>
      </c>
      <c r="AB446">
        <v>0.05</v>
      </c>
      <c r="AC446">
        <f t="shared" si="99"/>
        <v>0.05</v>
      </c>
      <c r="AD446">
        <v>20342.5</v>
      </c>
      <c r="AE446">
        <f t="shared" si="100"/>
        <v>20342.502</v>
      </c>
      <c r="AF446">
        <v>12407.51</v>
      </c>
      <c r="AG446">
        <v>7934.99</v>
      </c>
      <c r="AH446">
        <f t="shared" si="101"/>
        <v>7934.992</v>
      </c>
      <c r="AI446">
        <f t="shared" si="102"/>
        <v>0.390069618771575</v>
      </c>
      <c r="AJ446" t="s">
        <v>77</v>
      </c>
      <c r="AK446" t="str">
        <f t="shared" si="103"/>
        <v>Paid</v>
      </c>
      <c r="AL446" t="s">
        <v>78</v>
      </c>
      <c r="AM446" t="str">
        <f t="shared" si="104"/>
        <v>Completed</v>
      </c>
      <c r="AN446">
        <v>8</v>
      </c>
      <c r="AO446">
        <v>2025</v>
      </c>
      <c r="AP446" t="s">
        <v>79</v>
      </c>
    </row>
    <row r="447" spans="1:42">
      <c r="A447" t="s">
        <v>2246</v>
      </c>
      <c r="B447" s="3" t="s">
        <v>2247</v>
      </c>
      <c r="C447" s="3">
        <v>45421</v>
      </c>
      <c r="D447" t="s">
        <v>2248</v>
      </c>
      <c r="E447" s="3">
        <v>45417</v>
      </c>
      <c r="F447" t="s">
        <v>2249</v>
      </c>
      <c r="G447" t="s">
        <v>103</v>
      </c>
      <c r="H447" t="str">
        <f t="shared" si="90"/>
        <v>Arjun Bose</v>
      </c>
      <c r="I447" t="s">
        <v>71</v>
      </c>
      <c r="J447" t="str">
        <f t="shared" si="91"/>
        <v>Consumer</v>
      </c>
      <c r="K447" t="s">
        <v>7</v>
      </c>
      <c r="L447" t="str">
        <f t="shared" si="92"/>
        <v>East</v>
      </c>
      <c r="M447" t="s">
        <v>258</v>
      </c>
      <c r="N447" t="str">
        <f t="shared" si="93"/>
        <v>Assam</v>
      </c>
      <c r="O447" t="s">
        <v>259</v>
      </c>
      <c r="P447" t="str">
        <f t="shared" si="94"/>
        <v>Guwahati</v>
      </c>
      <c r="Q447" t="s">
        <v>19</v>
      </c>
      <c r="R447" t="str">
        <f t="shared" si="95"/>
        <v>Furniture</v>
      </c>
      <c r="S447" t="s">
        <v>245</v>
      </c>
      <c r="T447" t="str">
        <f t="shared" si="96"/>
        <v>Bookcases</v>
      </c>
      <c r="U447" t="s">
        <v>2250</v>
      </c>
      <c r="V447" t="str">
        <f t="shared" si="97"/>
        <v>Eco Bookcases 215</v>
      </c>
      <c r="W447" t="s">
        <v>90</v>
      </c>
      <c r="X447" t="str">
        <f t="shared" si="98"/>
        <v>Same Day</v>
      </c>
      <c r="Y447">
        <v>-4</v>
      </c>
      <c r="Z447">
        <v>2</v>
      </c>
      <c r="AA447">
        <v>2111.23</v>
      </c>
      <c r="AB447">
        <v>0.2</v>
      </c>
      <c r="AC447">
        <f t="shared" si="99"/>
        <v>0.2</v>
      </c>
      <c r="AD447">
        <v>3377.97</v>
      </c>
      <c r="AE447">
        <f t="shared" si="100"/>
        <v>3377.968</v>
      </c>
      <c r="AF447">
        <v>2496.29</v>
      </c>
      <c r="AG447">
        <v>881.68</v>
      </c>
      <c r="AH447">
        <f t="shared" si="101"/>
        <v>881.678</v>
      </c>
      <c r="AI447">
        <f t="shared" si="102"/>
        <v>0.26100839321154</v>
      </c>
      <c r="AJ447" t="s">
        <v>77</v>
      </c>
      <c r="AK447" t="str">
        <f t="shared" si="103"/>
        <v>Paid</v>
      </c>
      <c r="AL447" t="s">
        <v>78</v>
      </c>
      <c r="AM447" t="str">
        <f t="shared" si="104"/>
        <v>Completed</v>
      </c>
      <c r="AN447">
        <v>5</v>
      </c>
      <c r="AO447">
        <v>2024</v>
      </c>
      <c r="AP447" t="s">
        <v>253</v>
      </c>
    </row>
    <row r="448" spans="1:42">
      <c r="A448" t="s">
        <v>2251</v>
      </c>
      <c r="B448" s="3" t="s">
        <v>2252</v>
      </c>
      <c r="C448" s="3">
        <v>45918</v>
      </c>
      <c r="D448" t="s">
        <v>2253</v>
      </c>
      <c r="E448" s="3">
        <v>45919</v>
      </c>
      <c r="F448" t="s">
        <v>2254</v>
      </c>
      <c r="G448" t="s">
        <v>208</v>
      </c>
      <c r="H448" t="str">
        <f t="shared" si="90"/>
        <v>Sneha Kapoor</v>
      </c>
      <c r="I448" t="s">
        <v>154</v>
      </c>
      <c r="J448" t="str">
        <f t="shared" si="91"/>
        <v>Home Office</v>
      </c>
      <c r="K448" t="s">
        <v>10</v>
      </c>
      <c r="L448" t="str">
        <f t="shared" si="92"/>
        <v>South</v>
      </c>
      <c r="M448" t="s">
        <v>139</v>
      </c>
      <c r="N448" t="str">
        <f t="shared" si="93"/>
        <v>Andhra Pradesh</v>
      </c>
      <c r="O448" t="s">
        <v>140</v>
      </c>
      <c r="P448" t="str">
        <f t="shared" si="94"/>
        <v>Vijayawada</v>
      </c>
      <c r="Q448" t="s">
        <v>22</v>
      </c>
      <c r="R448" t="str">
        <f t="shared" si="95"/>
        <v>Office Supplies</v>
      </c>
      <c r="S448" t="s">
        <v>196</v>
      </c>
      <c r="T448" t="str">
        <f t="shared" si="96"/>
        <v>Storage</v>
      </c>
      <c r="U448" t="s">
        <v>2255</v>
      </c>
      <c r="V448" t="str">
        <f t="shared" si="97"/>
        <v>Eco Storage 793</v>
      </c>
      <c r="W448" t="s">
        <v>90</v>
      </c>
      <c r="X448" t="str">
        <f t="shared" si="98"/>
        <v>Same Day</v>
      </c>
      <c r="Y448">
        <v>1</v>
      </c>
      <c r="Z448">
        <v>8</v>
      </c>
      <c r="AA448">
        <v>4242.51</v>
      </c>
      <c r="AB448">
        <v>0</v>
      </c>
      <c r="AC448">
        <f t="shared" si="99"/>
        <v>0</v>
      </c>
      <c r="AD448">
        <v>33940.08</v>
      </c>
      <c r="AE448">
        <f t="shared" si="100"/>
        <v>33940.08</v>
      </c>
      <c r="AF448">
        <v>23754.19</v>
      </c>
      <c r="AG448">
        <v>10185.89</v>
      </c>
      <c r="AH448">
        <f t="shared" si="101"/>
        <v>10185.89</v>
      </c>
      <c r="AI448">
        <f t="shared" si="102"/>
        <v>0.30011390662603</v>
      </c>
      <c r="AJ448" t="s">
        <v>77</v>
      </c>
      <c r="AK448" t="str">
        <f t="shared" si="103"/>
        <v>Paid</v>
      </c>
      <c r="AL448" t="s">
        <v>78</v>
      </c>
      <c r="AM448" t="str">
        <f t="shared" si="104"/>
        <v>Completed</v>
      </c>
      <c r="AN448">
        <v>9</v>
      </c>
      <c r="AO448">
        <v>2025</v>
      </c>
      <c r="AP448" t="s">
        <v>79</v>
      </c>
    </row>
    <row r="449" spans="1:42">
      <c r="A449" t="s">
        <v>2256</v>
      </c>
      <c r="B449" s="3" t="s">
        <v>994</v>
      </c>
      <c r="C449" s="3">
        <v>45879</v>
      </c>
      <c r="D449" t="s">
        <v>2257</v>
      </c>
      <c r="E449" s="3">
        <v>45879</v>
      </c>
      <c r="F449" t="s">
        <v>2258</v>
      </c>
      <c r="G449" t="s">
        <v>220</v>
      </c>
      <c r="H449" t="str">
        <f t="shared" si="90"/>
        <v>Rohan Mehta</v>
      </c>
      <c r="I449" t="s">
        <v>154</v>
      </c>
      <c r="J449" t="str">
        <f t="shared" si="91"/>
        <v>Home Office</v>
      </c>
      <c r="K449" t="s">
        <v>10</v>
      </c>
      <c r="L449" t="str">
        <f t="shared" si="92"/>
        <v>South</v>
      </c>
      <c r="M449" t="s">
        <v>104</v>
      </c>
      <c r="N449" t="str">
        <f t="shared" si="93"/>
        <v>Telangana</v>
      </c>
      <c r="O449" t="s">
        <v>105</v>
      </c>
      <c r="P449" t="str">
        <f t="shared" si="94"/>
        <v>Hyderabad</v>
      </c>
      <c r="Q449" t="s">
        <v>19</v>
      </c>
      <c r="R449" t="str">
        <f t="shared" si="95"/>
        <v>Furniture</v>
      </c>
      <c r="S449" t="s">
        <v>245</v>
      </c>
      <c r="T449" t="str">
        <f t="shared" si="96"/>
        <v>Bookcases</v>
      </c>
      <c r="U449" t="s">
        <v>2259</v>
      </c>
      <c r="V449" t="str">
        <f t="shared" si="97"/>
        <v>Basic Bookcases 182</v>
      </c>
      <c r="W449" t="s">
        <v>108</v>
      </c>
      <c r="X449" t="str">
        <f t="shared" si="98"/>
        <v>Standard Class</v>
      </c>
      <c r="Y449">
        <v>0</v>
      </c>
      <c r="Z449">
        <v>6</v>
      </c>
      <c r="AA449">
        <v>4288.7</v>
      </c>
      <c r="AB449">
        <v>0.15</v>
      </c>
      <c r="AC449">
        <f t="shared" si="99"/>
        <v>0.15</v>
      </c>
      <c r="AD449">
        <v>21872.37</v>
      </c>
      <c r="AE449">
        <f t="shared" si="100"/>
        <v>21872.37</v>
      </c>
      <c r="AF449">
        <v>13829.5</v>
      </c>
      <c r="AG449">
        <v>8042.87</v>
      </c>
      <c r="AH449">
        <f t="shared" si="101"/>
        <v>8042.87</v>
      </c>
      <c r="AI449">
        <f t="shared" si="102"/>
        <v>0.367718267384833</v>
      </c>
      <c r="AJ449" t="s">
        <v>177</v>
      </c>
      <c r="AK449" t="str">
        <f t="shared" si="103"/>
        <v>Pending</v>
      </c>
      <c r="AL449" t="s">
        <v>164</v>
      </c>
      <c r="AM449" t="str">
        <f t="shared" si="104"/>
        <v>Returned</v>
      </c>
      <c r="AN449">
        <v>8</v>
      </c>
      <c r="AO449">
        <v>2025</v>
      </c>
      <c r="AP449" t="s">
        <v>79</v>
      </c>
    </row>
    <row r="450" spans="1:42">
      <c r="A450" t="s">
        <v>2260</v>
      </c>
      <c r="B450" s="3" t="s">
        <v>2261</v>
      </c>
      <c r="C450" s="3">
        <v>45306</v>
      </c>
      <c r="D450" t="s">
        <v>370</v>
      </c>
      <c r="E450" s="3">
        <v>45309</v>
      </c>
      <c r="F450" t="s">
        <v>2262</v>
      </c>
      <c r="G450" t="s">
        <v>84</v>
      </c>
      <c r="H450" t="str">
        <f t="shared" ref="H450:H513" si="105">PROPER(TRIM(G450))</f>
        <v>Mira Das</v>
      </c>
      <c r="I450" t="s">
        <v>85</v>
      </c>
      <c r="J450" t="str">
        <f t="shared" ref="J450:J513" si="106">PROPER(TRIM(I450))</f>
        <v>Small Business</v>
      </c>
      <c r="K450" t="s">
        <v>10</v>
      </c>
      <c r="L450" t="str">
        <f t="shared" ref="L450:L513" si="107">PROPER(TRIM(K450))</f>
        <v>South</v>
      </c>
      <c r="M450" t="s">
        <v>139</v>
      </c>
      <c r="N450" t="str">
        <f t="shared" ref="N450:N513" si="108">PROPER(TRIM(M450))</f>
        <v>Andhra Pradesh</v>
      </c>
      <c r="O450" t="s">
        <v>140</v>
      </c>
      <c r="P450" t="str">
        <f t="shared" ref="P450:P513" si="109">PROPER(TRIM(O450))</f>
        <v>Vijayawada</v>
      </c>
      <c r="Q450" t="s">
        <v>19</v>
      </c>
      <c r="R450" t="str">
        <f t="shared" ref="R450:R513" si="110">PROPER(TRIM(Q450))</f>
        <v>Furniture</v>
      </c>
      <c r="S450" t="s">
        <v>116</v>
      </c>
      <c r="T450" t="str">
        <f t="shared" ref="T450:T513" si="111">PROPER(TRIM(S450))</f>
        <v>Chairs</v>
      </c>
      <c r="U450" t="s">
        <v>2263</v>
      </c>
      <c r="V450" t="str">
        <f t="shared" ref="V450:V513" si="112">PROPER(TRIM(U450))</f>
        <v>Prime Chairs 631</v>
      </c>
      <c r="W450" t="s">
        <v>98</v>
      </c>
      <c r="X450" t="str">
        <f t="shared" ref="X450:X513" si="113">PROPER(TRIM(W450))</f>
        <v>First Class</v>
      </c>
      <c r="Y450">
        <v>3</v>
      </c>
      <c r="Z450">
        <v>2</v>
      </c>
      <c r="AA450">
        <v>201.21</v>
      </c>
      <c r="AB450">
        <v>0.15</v>
      </c>
      <c r="AC450">
        <f t="shared" ref="AC450:AC513" si="114">IF(OR(AB450="",AB450&lt;0),0,AB450)</f>
        <v>0.15</v>
      </c>
      <c r="AD450">
        <v>342.06</v>
      </c>
      <c r="AE450">
        <f t="shared" ref="AE450:AE513" si="115">Z450*AA450*(1-AC450)</f>
        <v>342.057</v>
      </c>
      <c r="AF450">
        <v>244.57</v>
      </c>
      <c r="AG450">
        <v>97.49</v>
      </c>
      <c r="AH450">
        <f t="shared" ref="AH450:AH513" si="116">AE450-AF450</f>
        <v>97.487</v>
      </c>
      <c r="AI450">
        <f t="shared" ref="AI450:AI513" si="117">AH450/AE450</f>
        <v>0.285002207234467</v>
      </c>
      <c r="AJ450" t="s">
        <v>77</v>
      </c>
      <c r="AK450" t="str">
        <f t="shared" ref="AK450:AK513" si="118">PROPER(TRIM(AJ450))</f>
        <v>Paid</v>
      </c>
      <c r="AL450" t="s">
        <v>78</v>
      </c>
      <c r="AM450" t="str">
        <f t="shared" ref="AM450:AM513" si="119">PROPER(TRIM(AL450))</f>
        <v>Completed</v>
      </c>
      <c r="AN450">
        <v>1</v>
      </c>
      <c r="AO450">
        <v>2024</v>
      </c>
      <c r="AP450" t="s">
        <v>79</v>
      </c>
    </row>
    <row r="451" spans="1:42">
      <c r="A451" t="s">
        <v>2264</v>
      </c>
      <c r="B451" s="3" t="s">
        <v>2265</v>
      </c>
      <c r="C451" s="3">
        <v>45449</v>
      </c>
      <c r="D451" t="s">
        <v>2266</v>
      </c>
      <c r="E451" s="3">
        <v>45456</v>
      </c>
      <c r="F451" t="s">
        <v>2098</v>
      </c>
      <c r="G451" t="s">
        <v>146</v>
      </c>
      <c r="H451" t="str">
        <f t="shared" si="105"/>
        <v>Aditi Sen</v>
      </c>
      <c r="I451" t="s">
        <v>147</v>
      </c>
      <c r="J451" t="str">
        <f t="shared" si="106"/>
        <v>Corporate</v>
      </c>
      <c r="K451" t="s">
        <v>7</v>
      </c>
      <c r="L451" t="str">
        <f t="shared" si="107"/>
        <v>East</v>
      </c>
      <c r="M451" t="s">
        <v>258</v>
      </c>
      <c r="N451" t="str">
        <f t="shared" si="108"/>
        <v>Assam</v>
      </c>
      <c r="O451" t="s">
        <v>259</v>
      </c>
      <c r="P451" t="str">
        <f t="shared" si="109"/>
        <v>Guwahati</v>
      </c>
      <c r="Q451" t="s">
        <v>24</v>
      </c>
      <c r="R451" t="str">
        <f t="shared" si="110"/>
        <v>Technology</v>
      </c>
      <c r="S451" t="s">
        <v>427</v>
      </c>
      <c r="T451" t="str">
        <f t="shared" si="111"/>
        <v>Machines</v>
      </c>
      <c r="U451" t="s">
        <v>2267</v>
      </c>
      <c r="V451" t="str">
        <f t="shared" si="112"/>
        <v>Basic Machines 808</v>
      </c>
      <c r="W451" t="s">
        <v>76</v>
      </c>
      <c r="X451" t="str">
        <f t="shared" si="113"/>
        <v>Second Class</v>
      </c>
      <c r="Y451">
        <v>7</v>
      </c>
      <c r="Z451">
        <v>6</v>
      </c>
      <c r="AA451">
        <v>3270.36</v>
      </c>
      <c r="AB451">
        <v>0</v>
      </c>
      <c r="AC451">
        <f t="shared" si="114"/>
        <v>0</v>
      </c>
      <c r="AD451">
        <v>19622.16</v>
      </c>
      <c r="AE451">
        <f t="shared" si="115"/>
        <v>19622.16</v>
      </c>
      <c r="AF451">
        <v>14271.27</v>
      </c>
      <c r="AG451">
        <v>5350.89</v>
      </c>
      <c r="AH451">
        <f t="shared" si="116"/>
        <v>5350.89</v>
      </c>
      <c r="AI451">
        <f t="shared" si="117"/>
        <v>0.272696278085593</v>
      </c>
      <c r="AJ451" t="s">
        <v>77</v>
      </c>
      <c r="AK451" t="str">
        <f t="shared" si="118"/>
        <v>Paid</v>
      </c>
      <c r="AL451" t="s">
        <v>78</v>
      </c>
      <c r="AM451" t="str">
        <f t="shared" si="119"/>
        <v>Completed</v>
      </c>
      <c r="AN451">
        <v>6</v>
      </c>
      <c r="AO451">
        <v>2024</v>
      </c>
      <c r="AP451" t="s">
        <v>79</v>
      </c>
    </row>
    <row r="452" spans="1:42">
      <c r="A452" t="s">
        <v>2268</v>
      </c>
      <c r="B452" s="3" t="s">
        <v>2269</v>
      </c>
      <c r="C452" s="3">
        <v>45820</v>
      </c>
      <c r="D452" t="s">
        <v>1631</v>
      </c>
      <c r="E452" s="3">
        <v>45827</v>
      </c>
      <c r="F452" t="s">
        <v>2270</v>
      </c>
      <c r="G452" t="s">
        <v>113</v>
      </c>
      <c r="H452" t="str">
        <f t="shared" si="105"/>
        <v>Ananya Rao</v>
      </c>
      <c r="I452" t="s">
        <v>147</v>
      </c>
      <c r="J452" t="str">
        <f t="shared" si="106"/>
        <v>Corporate</v>
      </c>
      <c r="K452" t="s">
        <v>8</v>
      </c>
      <c r="L452" t="str">
        <f t="shared" si="107"/>
        <v>North</v>
      </c>
      <c r="M452" t="s">
        <v>552</v>
      </c>
      <c r="N452" t="str">
        <f t="shared" si="108"/>
        <v>Delhi</v>
      </c>
      <c r="O452" t="s">
        <v>553</v>
      </c>
      <c r="P452" t="str">
        <f t="shared" si="109"/>
        <v>New Delhi</v>
      </c>
      <c r="Q452" t="s">
        <v>19</v>
      </c>
      <c r="R452" t="str">
        <f t="shared" si="110"/>
        <v>Furniture</v>
      </c>
      <c r="S452" t="s">
        <v>116</v>
      </c>
      <c r="T452" t="str">
        <f t="shared" si="111"/>
        <v>Chairs</v>
      </c>
      <c r="U452" t="s">
        <v>2271</v>
      </c>
      <c r="V452" t="str">
        <f t="shared" si="112"/>
        <v>Pro Chairs 302</v>
      </c>
      <c r="W452" t="s">
        <v>108</v>
      </c>
      <c r="X452" t="str">
        <f t="shared" si="113"/>
        <v>Standard Class</v>
      </c>
      <c r="Y452">
        <v>7</v>
      </c>
      <c r="Z452">
        <v>9</v>
      </c>
      <c r="AA452">
        <v>2278.57</v>
      </c>
      <c r="AB452">
        <v>0.25</v>
      </c>
      <c r="AC452">
        <f t="shared" si="114"/>
        <v>0.25</v>
      </c>
      <c r="AD452">
        <v>15380.35</v>
      </c>
      <c r="AE452">
        <f t="shared" si="115"/>
        <v>15380.3475</v>
      </c>
      <c r="AF452">
        <v>9907.37</v>
      </c>
      <c r="AG452">
        <v>5472.98</v>
      </c>
      <c r="AH452">
        <f t="shared" si="116"/>
        <v>5472.9775</v>
      </c>
      <c r="AI452">
        <f t="shared" si="117"/>
        <v>0.355842252588896</v>
      </c>
      <c r="AJ452" t="s">
        <v>77</v>
      </c>
      <c r="AK452" t="str">
        <f t="shared" si="118"/>
        <v>Paid</v>
      </c>
      <c r="AL452" t="s">
        <v>78</v>
      </c>
      <c r="AM452" t="str">
        <f t="shared" si="119"/>
        <v>Completed</v>
      </c>
      <c r="AN452">
        <v>6</v>
      </c>
      <c r="AO452">
        <v>2025</v>
      </c>
      <c r="AP452" t="s">
        <v>79</v>
      </c>
    </row>
    <row r="453" spans="1:42">
      <c r="A453" t="s">
        <v>2272</v>
      </c>
      <c r="B453" s="3" t="s">
        <v>2273</v>
      </c>
      <c r="C453" s="3">
        <v>45375</v>
      </c>
      <c r="D453" t="s">
        <v>2274</v>
      </c>
      <c r="E453" s="3">
        <v>45377</v>
      </c>
      <c r="F453" t="s">
        <v>2275</v>
      </c>
      <c r="G453" t="s">
        <v>220</v>
      </c>
      <c r="H453" t="str">
        <f t="shared" si="105"/>
        <v>Rohan Mehta</v>
      </c>
      <c r="I453" t="s">
        <v>85</v>
      </c>
      <c r="J453" t="str">
        <f t="shared" si="106"/>
        <v>Small Business</v>
      </c>
      <c r="K453" t="s">
        <v>8</v>
      </c>
      <c r="L453" t="str">
        <f t="shared" si="107"/>
        <v>North</v>
      </c>
      <c r="M453" t="s">
        <v>366</v>
      </c>
      <c r="N453" t="str">
        <f t="shared" si="108"/>
        <v>Haryana</v>
      </c>
      <c r="O453" t="s">
        <v>367</v>
      </c>
      <c r="P453" t="str">
        <f t="shared" si="109"/>
        <v>Gurugram</v>
      </c>
      <c r="Q453" t="s">
        <v>22</v>
      </c>
      <c r="R453" t="str">
        <f t="shared" si="110"/>
        <v>Office Supplies</v>
      </c>
      <c r="S453" t="s">
        <v>74</v>
      </c>
      <c r="T453" t="str">
        <f t="shared" si="111"/>
        <v>Paper</v>
      </c>
      <c r="U453" t="s">
        <v>2276</v>
      </c>
      <c r="V453" t="str">
        <f t="shared" si="112"/>
        <v>Classic Paper 272</v>
      </c>
      <c r="W453" t="s">
        <v>76</v>
      </c>
      <c r="X453" t="str">
        <f t="shared" si="113"/>
        <v>Second Class</v>
      </c>
      <c r="Y453">
        <v>2</v>
      </c>
      <c r="Z453">
        <v>8</v>
      </c>
      <c r="AA453">
        <v>1917.64</v>
      </c>
      <c r="AB453">
        <v>0.15</v>
      </c>
      <c r="AC453">
        <f t="shared" si="114"/>
        <v>0.15</v>
      </c>
      <c r="AD453">
        <v>13039.95</v>
      </c>
      <c r="AE453">
        <f t="shared" si="115"/>
        <v>13039.952</v>
      </c>
      <c r="AF453">
        <v>11127.82</v>
      </c>
      <c r="AG453">
        <v>1912.13</v>
      </c>
      <c r="AH453">
        <f t="shared" si="116"/>
        <v>1912.132</v>
      </c>
      <c r="AI453">
        <f t="shared" si="117"/>
        <v>0.14663642933655</v>
      </c>
      <c r="AJ453" t="s">
        <v>77</v>
      </c>
      <c r="AK453" t="str">
        <f t="shared" si="118"/>
        <v>Paid</v>
      </c>
      <c r="AL453" t="s">
        <v>118</v>
      </c>
      <c r="AM453" t="str">
        <f t="shared" si="119"/>
        <v>Cancelled</v>
      </c>
      <c r="AN453">
        <v>3</v>
      </c>
      <c r="AO453">
        <v>2024</v>
      </c>
      <c r="AP453" t="s">
        <v>79</v>
      </c>
    </row>
    <row r="454" spans="1:42">
      <c r="A454" t="s">
        <v>2277</v>
      </c>
      <c r="B454" s="3" t="s">
        <v>2278</v>
      </c>
      <c r="C454" s="3">
        <v>45422</v>
      </c>
      <c r="D454" t="s">
        <v>1427</v>
      </c>
      <c r="E454" s="3">
        <v>45428</v>
      </c>
      <c r="F454" t="s">
        <v>2279</v>
      </c>
      <c r="G454" t="s">
        <v>251</v>
      </c>
      <c r="H454" t="str">
        <f t="shared" si="105"/>
        <v>Diya Patel</v>
      </c>
      <c r="I454" t="s">
        <v>154</v>
      </c>
      <c r="J454" t="str">
        <f t="shared" si="106"/>
        <v>Home Office</v>
      </c>
      <c r="K454" t="s">
        <v>7</v>
      </c>
      <c r="L454" t="str">
        <f t="shared" si="107"/>
        <v>East</v>
      </c>
      <c r="M454" t="s">
        <v>354</v>
      </c>
      <c r="N454" t="str">
        <f t="shared" si="108"/>
        <v>Jharkhand</v>
      </c>
      <c r="O454" t="s">
        <v>355</v>
      </c>
      <c r="P454" t="str">
        <f t="shared" si="109"/>
        <v>Ranchi</v>
      </c>
      <c r="Q454" t="s">
        <v>24</v>
      </c>
      <c r="R454" t="str">
        <f t="shared" si="110"/>
        <v>Technology</v>
      </c>
      <c r="S454" t="s">
        <v>126</v>
      </c>
      <c r="T454" t="str">
        <f t="shared" si="111"/>
        <v>Accessories</v>
      </c>
      <c r="U454" t="s">
        <v>2280</v>
      </c>
      <c r="V454" t="str">
        <f t="shared" si="112"/>
        <v>Smart Accessories 149</v>
      </c>
      <c r="W454" t="s">
        <v>76</v>
      </c>
      <c r="X454" t="str">
        <f t="shared" si="113"/>
        <v>Second Class</v>
      </c>
      <c r="Y454">
        <v>6</v>
      </c>
      <c r="Z454">
        <v>6</v>
      </c>
      <c r="AA454">
        <v>2013.33</v>
      </c>
      <c r="AB454">
        <v>0.2</v>
      </c>
      <c r="AC454">
        <f t="shared" si="114"/>
        <v>0.2</v>
      </c>
      <c r="AD454">
        <v>9663.98</v>
      </c>
      <c r="AE454">
        <f t="shared" si="115"/>
        <v>9663.984</v>
      </c>
      <c r="AF454">
        <v>5628.93</v>
      </c>
      <c r="AG454">
        <v>4035.05</v>
      </c>
      <c r="AH454">
        <f t="shared" si="116"/>
        <v>4035.054</v>
      </c>
      <c r="AI454">
        <f t="shared" si="117"/>
        <v>0.417535252541809</v>
      </c>
      <c r="AJ454" t="s">
        <v>77</v>
      </c>
      <c r="AK454" t="str">
        <f t="shared" si="118"/>
        <v>Paid</v>
      </c>
      <c r="AL454" t="s">
        <v>78</v>
      </c>
      <c r="AM454" t="str">
        <f t="shared" si="119"/>
        <v>Completed</v>
      </c>
      <c r="AN454">
        <v>5</v>
      </c>
      <c r="AO454">
        <v>2024</v>
      </c>
      <c r="AP454" t="s">
        <v>79</v>
      </c>
    </row>
    <row r="455" spans="1:42">
      <c r="A455" t="s">
        <v>2281</v>
      </c>
      <c r="B455" s="3" t="s">
        <v>2282</v>
      </c>
      <c r="C455" s="3">
        <v>45780</v>
      </c>
      <c r="D455" t="s">
        <v>2283</v>
      </c>
      <c r="E455" s="3">
        <v>45788</v>
      </c>
      <c r="F455" t="s">
        <v>2284</v>
      </c>
      <c r="G455" t="s">
        <v>220</v>
      </c>
      <c r="H455" t="str">
        <f t="shared" si="105"/>
        <v>Rohan Mehta</v>
      </c>
      <c r="I455" t="s">
        <v>506</v>
      </c>
      <c r="J455" t="str">
        <f t="shared" si="106"/>
        <v>Small Business</v>
      </c>
      <c r="K455" t="s">
        <v>11</v>
      </c>
      <c r="L455" t="str">
        <f t="shared" si="107"/>
        <v>West</v>
      </c>
      <c r="M455" t="s">
        <v>124</v>
      </c>
      <c r="N455" t="str">
        <f t="shared" si="108"/>
        <v>Madhya Pradesh</v>
      </c>
      <c r="O455" t="s">
        <v>125</v>
      </c>
      <c r="P455" t="str">
        <f t="shared" si="109"/>
        <v>Indore</v>
      </c>
      <c r="Q455" t="s">
        <v>22</v>
      </c>
      <c r="R455" t="str">
        <f t="shared" si="110"/>
        <v>Office Supplies</v>
      </c>
      <c r="S455" t="s">
        <v>148</v>
      </c>
      <c r="T455" t="str">
        <f t="shared" si="111"/>
        <v>Labels</v>
      </c>
      <c r="U455" t="s">
        <v>2285</v>
      </c>
      <c r="V455" t="str">
        <f t="shared" si="112"/>
        <v>Elite Labels 322</v>
      </c>
      <c r="W455" t="s">
        <v>90</v>
      </c>
      <c r="X455" t="str">
        <f t="shared" si="113"/>
        <v>Same Day</v>
      </c>
      <c r="Y455">
        <v>8</v>
      </c>
      <c r="Z455">
        <v>5</v>
      </c>
      <c r="AA455">
        <v>1483.52</v>
      </c>
      <c r="AB455">
        <v>0</v>
      </c>
      <c r="AC455">
        <f t="shared" si="114"/>
        <v>0</v>
      </c>
      <c r="AD455">
        <v>7417.6</v>
      </c>
      <c r="AE455">
        <f t="shared" si="115"/>
        <v>7417.6</v>
      </c>
      <c r="AF455">
        <v>4955.86</v>
      </c>
      <c r="AG455">
        <v>2461.74</v>
      </c>
      <c r="AH455">
        <f t="shared" si="116"/>
        <v>2461.74</v>
      </c>
      <c r="AI455">
        <f t="shared" si="117"/>
        <v>0.331878235547886</v>
      </c>
      <c r="AJ455" t="s">
        <v>77</v>
      </c>
      <c r="AK455" t="str">
        <f t="shared" si="118"/>
        <v>Paid</v>
      </c>
      <c r="AL455" t="s">
        <v>78</v>
      </c>
      <c r="AM455" t="str">
        <f t="shared" si="119"/>
        <v>Completed</v>
      </c>
      <c r="AN455">
        <v>5</v>
      </c>
      <c r="AO455">
        <v>2025</v>
      </c>
      <c r="AP455" t="s">
        <v>79</v>
      </c>
    </row>
    <row r="456" spans="1:42">
      <c r="A456" t="s">
        <v>2286</v>
      </c>
      <c r="B456" s="3" t="s">
        <v>2287</v>
      </c>
      <c r="C456" s="3">
        <v>45739</v>
      </c>
      <c r="D456" t="s">
        <v>2288</v>
      </c>
      <c r="E456" s="3">
        <v>45744</v>
      </c>
      <c r="F456" t="s">
        <v>2289</v>
      </c>
      <c r="G456" t="s">
        <v>123</v>
      </c>
      <c r="H456" t="str">
        <f t="shared" si="105"/>
        <v>Vikram Iyer</v>
      </c>
      <c r="I456" t="s">
        <v>85</v>
      </c>
      <c r="J456" t="str">
        <f t="shared" si="106"/>
        <v>Small Business</v>
      </c>
      <c r="K456" t="s">
        <v>8</v>
      </c>
      <c r="L456" t="str">
        <f t="shared" si="107"/>
        <v>North</v>
      </c>
      <c r="M456" t="s">
        <v>72</v>
      </c>
      <c r="N456" t="str">
        <f t="shared" si="108"/>
        <v>Rajasthan</v>
      </c>
      <c r="O456" t="s">
        <v>73</v>
      </c>
      <c r="P456" t="str">
        <f t="shared" si="109"/>
        <v>Jaipur</v>
      </c>
      <c r="Q456" t="s">
        <v>19</v>
      </c>
      <c r="R456" t="str">
        <f t="shared" si="110"/>
        <v>Furniture</v>
      </c>
      <c r="S456" t="s">
        <v>106</v>
      </c>
      <c r="T456" t="str">
        <f t="shared" si="111"/>
        <v>Furnishings</v>
      </c>
      <c r="U456" t="s">
        <v>2290</v>
      </c>
      <c r="V456" t="str">
        <f t="shared" si="112"/>
        <v>Max Furnishings 821</v>
      </c>
      <c r="W456" t="s">
        <v>108</v>
      </c>
      <c r="X456" t="str">
        <f t="shared" si="113"/>
        <v>Standard Class</v>
      </c>
      <c r="Y456">
        <v>5</v>
      </c>
      <c r="Z456">
        <v>9</v>
      </c>
      <c r="AA456">
        <v>3298</v>
      </c>
      <c r="AB456">
        <v>0.15</v>
      </c>
      <c r="AC456">
        <f t="shared" si="114"/>
        <v>0.15</v>
      </c>
      <c r="AD456">
        <v>25229.7</v>
      </c>
      <c r="AE456">
        <f t="shared" si="115"/>
        <v>25229.7</v>
      </c>
      <c r="AF456">
        <v>20170.43</v>
      </c>
      <c r="AG456">
        <v>5059.27</v>
      </c>
      <c r="AH456">
        <f t="shared" si="116"/>
        <v>5059.27</v>
      </c>
      <c r="AI456">
        <f t="shared" si="117"/>
        <v>0.200528345560986</v>
      </c>
      <c r="AJ456" t="s">
        <v>77</v>
      </c>
      <c r="AK456" t="str">
        <f t="shared" si="118"/>
        <v>Paid</v>
      </c>
      <c r="AL456" t="s">
        <v>78</v>
      </c>
      <c r="AM456" t="str">
        <f t="shared" si="119"/>
        <v>Completed</v>
      </c>
      <c r="AN456">
        <v>3</v>
      </c>
      <c r="AO456">
        <v>2025</v>
      </c>
      <c r="AP456" t="s">
        <v>79</v>
      </c>
    </row>
    <row r="457" spans="1:42">
      <c r="A457" t="s">
        <v>2291</v>
      </c>
      <c r="B457" s="3" t="s">
        <v>2292</v>
      </c>
      <c r="C457" s="3">
        <v>45491</v>
      </c>
      <c r="D457" t="s">
        <v>2293</v>
      </c>
      <c r="E457" s="3">
        <v>45495</v>
      </c>
      <c r="F457" t="s">
        <v>2294</v>
      </c>
      <c r="G457" t="s">
        <v>132</v>
      </c>
      <c r="H457" t="str">
        <f t="shared" si="105"/>
        <v>Neha Gupta</v>
      </c>
      <c r="I457" t="s">
        <v>85</v>
      </c>
      <c r="J457" t="str">
        <f t="shared" si="106"/>
        <v>Small Business</v>
      </c>
      <c r="K457" t="s">
        <v>10</v>
      </c>
      <c r="L457" t="str">
        <f t="shared" si="107"/>
        <v>South</v>
      </c>
      <c r="M457" t="s">
        <v>104</v>
      </c>
      <c r="N457" t="str">
        <f t="shared" si="108"/>
        <v>Telangana</v>
      </c>
      <c r="O457" t="s">
        <v>105</v>
      </c>
      <c r="P457" t="str">
        <f t="shared" si="109"/>
        <v>Hyderabad</v>
      </c>
      <c r="Q457" t="s">
        <v>22</v>
      </c>
      <c r="R457" t="str">
        <f t="shared" si="110"/>
        <v>Office Supplies</v>
      </c>
      <c r="S457" t="s">
        <v>96</v>
      </c>
      <c r="T457" t="str">
        <f t="shared" si="111"/>
        <v>Art</v>
      </c>
      <c r="U457" t="s">
        <v>2295</v>
      </c>
      <c r="V457" t="str">
        <f t="shared" si="112"/>
        <v>Basic Art 556</v>
      </c>
      <c r="W457" t="s">
        <v>108</v>
      </c>
      <c r="X457" t="str">
        <f t="shared" si="113"/>
        <v>Standard Class</v>
      </c>
      <c r="Y457">
        <v>4</v>
      </c>
      <c r="Z457">
        <v>4</v>
      </c>
      <c r="AA457">
        <v>808.77</v>
      </c>
      <c r="AB457">
        <v>0</v>
      </c>
      <c r="AC457">
        <f t="shared" si="114"/>
        <v>0</v>
      </c>
      <c r="AD457">
        <v>3235.08</v>
      </c>
      <c r="AE457">
        <f t="shared" si="115"/>
        <v>3235.08</v>
      </c>
      <c r="AF457">
        <v>1848.6</v>
      </c>
      <c r="AG457">
        <v>1386.48</v>
      </c>
      <c r="AH457">
        <f t="shared" si="116"/>
        <v>1386.48</v>
      </c>
      <c r="AI457">
        <f t="shared" si="117"/>
        <v>0.428576727623428</v>
      </c>
      <c r="AJ457" t="s">
        <v>77</v>
      </c>
      <c r="AK457" t="str">
        <f t="shared" si="118"/>
        <v>Paid</v>
      </c>
      <c r="AL457" t="s">
        <v>78</v>
      </c>
      <c r="AM457" t="str">
        <f t="shared" si="119"/>
        <v>Completed</v>
      </c>
      <c r="AN457">
        <v>7</v>
      </c>
      <c r="AO457">
        <v>2024</v>
      </c>
      <c r="AP457" t="s">
        <v>79</v>
      </c>
    </row>
    <row r="458" spans="1:42">
      <c r="A458" t="s">
        <v>2296</v>
      </c>
      <c r="B458" s="3" t="s">
        <v>2143</v>
      </c>
      <c r="C458" s="3">
        <v>45342</v>
      </c>
      <c r="D458" t="s">
        <v>2143</v>
      </c>
      <c r="E458" s="3">
        <v>45342</v>
      </c>
      <c r="F458" t="s">
        <v>2297</v>
      </c>
      <c r="G458" t="s">
        <v>132</v>
      </c>
      <c r="H458" t="str">
        <f t="shared" si="105"/>
        <v>Neha Gupta</v>
      </c>
      <c r="I458" t="s">
        <v>147</v>
      </c>
      <c r="J458" t="str">
        <f t="shared" si="106"/>
        <v>Corporate</v>
      </c>
      <c r="K458" t="s">
        <v>8</v>
      </c>
      <c r="L458" t="str">
        <f t="shared" si="107"/>
        <v>North</v>
      </c>
      <c r="M458" t="s">
        <v>214</v>
      </c>
      <c r="N458" t="str">
        <f t="shared" si="108"/>
        <v>Uttar Pradesh</v>
      </c>
      <c r="O458" t="s">
        <v>215</v>
      </c>
      <c r="P458" t="str">
        <f t="shared" si="109"/>
        <v>Noida</v>
      </c>
      <c r="Q458" t="s">
        <v>24</v>
      </c>
      <c r="R458" t="str">
        <f t="shared" si="110"/>
        <v>Technology</v>
      </c>
      <c r="S458" t="s">
        <v>126</v>
      </c>
      <c r="T458" t="str">
        <f t="shared" si="111"/>
        <v>Accessories</v>
      </c>
      <c r="U458" t="s">
        <v>2298</v>
      </c>
      <c r="V458" t="str">
        <f t="shared" si="112"/>
        <v>Smart Accessories 265</v>
      </c>
      <c r="W458" t="s">
        <v>90</v>
      </c>
      <c r="X458" t="str">
        <f t="shared" si="113"/>
        <v>Same Day</v>
      </c>
      <c r="Y458">
        <v>0</v>
      </c>
      <c r="Z458">
        <v>5</v>
      </c>
      <c r="AA458">
        <v>2604.91</v>
      </c>
      <c r="AB458">
        <v>0.15</v>
      </c>
      <c r="AC458">
        <f t="shared" si="114"/>
        <v>0.15</v>
      </c>
      <c r="AD458">
        <v>11070.87</v>
      </c>
      <c r="AE458">
        <f t="shared" si="115"/>
        <v>11070.8675</v>
      </c>
      <c r="AF458">
        <v>6623.61</v>
      </c>
      <c r="AG458">
        <v>4447.26</v>
      </c>
      <c r="AH458">
        <f t="shared" si="116"/>
        <v>4447.2575</v>
      </c>
      <c r="AI458">
        <f t="shared" si="117"/>
        <v>0.401708131724998</v>
      </c>
      <c r="AJ458" t="s">
        <v>77</v>
      </c>
      <c r="AK458" t="str">
        <f t="shared" si="118"/>
        <v>Paid</v>
      </c>
      <c r="AL458" t="s">
        <v>164</v>
      </c>
      <c r="AM458" t="str">
        <f t="shared" si="119"/>
        <v>Returned</v>
      </c>
      <c r="AN458">
        <v>2</v>
      </c>
      <c r="AO458">
        <v>2024</v>
      </c>
      <c r="AP458" t="s">
        <v>79</v>
      </c>
    </row>
    <row r="459" spans="1:42">
      <c r="A459" t="s">
        <v>2299</v>
      </c>
      <c r="B459" s="3" t="s">
        <v>2300</v>
      </c>
      <c r="C459" s="3">
        <v>45416</v>
      </c>
      <c r="D459" t="s">
        <v>2301</v>
      </c>
      <c r="E459" s="3">
        <v>45416</v>
      </c>
      <c r="F459" t="s">
        <v>2302</v>
      </c>
      <c r="G459" t="s">
        <v>84</v>
      </c>
      <c r="H459" t="str">
        <f t="shared" si="105"/>
        <v>Mira Das</v>
      </c>
      <c r="I459" t="s">
        <v>85</v>
      </c>
      <c r="J459" t="str">
        <f t="shared" si="106"/>
        <v>Small Business</v>
      </c>
      <c r="K459" t="s">
        <v>11</v>
      </c>
      <c r="L459" t="str">
        <f t="shared" si="107"/>
        <v>West</v>
      </c>
      <c r="M459" t="s">
        <v>292</v>
      </c>
      <c r="N459" t="str">
        <f t="shared" si="108"/>
        <v>Goa</v>
      </c>
      <c r="O459" t="s">
        <v>293</v>
      </c>
      <c r="P459" t="str">
        <f t="shared" si="109"/>
        <v>Panaji</v>
      </c>
      <c r="Q459" t="s">
        <v>19</v>
      </c>
      <c r="R459" t="str">
        <f t="shared" si="110"/>
        <v>Furniture</v>
      </c>
      <c r="S459" t="s">
        <v>88</v>
      </c>
      <c r="T459" t="str">
        <f t="shared" si="111"/>
        <v>Tables</v>
      </c>
      <c r="U459" t="s">
        <v>2303</v>
      </c>
      <c r="V459" t="str">
        <f t="shared" si="112"/>
        <v>Elite Tables 418</v>
      </c>
      <c r="W459" t="s">
        <v>108</v>
      </c>
      <c r="X459" t="str">
        <f t="shared" si="113"/>
        <v>Standard Class</v>
      </c>
      <c r="Y459">
        <v>0</v>
      </c>
      <c r="Z459">
        <v>7</v>
      </c>
      <c r="AA459">
        <v>2851.51</v>
      </c>
      <c r="AB459">
        <v>0</v>
      </c>
      <c r="AC459">
        <f t="shared" si="114"/>
        <v>0</v>
      </c>
      <c r="AD459">
        <v>19960.57</v>
      </c>
      <c r="AE459">
        <f t="shared" si="115"/>
        <v>19960.57</v>
      </c>
      <c r="AF459">
        <v>16603.6</v>
      </c>
      <c r="AG459">
        <v>3356.97</v>
      </c>
      <c r="AH459">
        <f t="shared" si="116"/>
        <v>3356.97</v>
      </c>
      <c r="AI459">
        <f t="shared" si="117"/>
        <v>0.168180067002095</v>
      </c>
      <c r="AJ459" t="s">
        <v>77</v>
      </c>
      <c r="AK459" t="str">
        <f t="shared" si="118"/>
        <v>Paid</v>
      </c>
      <c r="AL459" t="s">
        <v>78</v>
      </c>
      <c r="AM459" t="str">
        <f t="shared" si="119"/>
        <v>Completed</v>
      </c>
      <c r="AN459">
        <v>5</v>
      </c>
      <c r="AO459">
        <v>2024</v>
      </c>
      <c r="AP459" t="s">
        <v>79</v>
      </c>
    </row>
    <row r="460" spans="1:42">
      <c r="A460" t="s">
        <v>2304</v>
      </c>
      <c r="B460" s="3" t="s">
        <v>2305</v>
      </c>
      <c r="C460" s="3">
        <v>45332</v>
      </c>
      <c r="D460" t="s">
        <v>910</v>
      </c>
      <c r="E460" s="3">
        <v>45333</v>
      </c>
      <c r="F460" t="s">
        <v>2306</v>
      </c>
      <c r="G460" t="s">
        <v>70</v>
      </c>
      <c r="H460" t="str">
        <f t="shared" si="105"/>
        <v>Karan Malhotra</v>
      </c>
      <c r="I460" t="s">
        <v>147</v>
      </c>
      <c r="J460" t="str">
        <f t="shared" si="106"/>
        <v>Corporate</v>
      </c>
      <c r="K460" t="s">
        <v>8</v>
      </c>
      <c r="L460" t="str">
        <f t="shared" si="107"/>
        <v>North</v>
      </c>
      <c r="M460" t="s">
        <v>72</v>
      </c>
      <c r="N460" t="str">
        <f t="shared" si="108"/>
        <v>Rajasthan</v>
      </c>
      <c r="O460" t="s">
        <v>73</v>
      </c>
      <c r="P460" t="str">
        <f t="shared" si="109"/>
        <v>Jaipur</v>
      </c>
      <c r="Q460" t="s">
        <v>24</v>
      </c>
      <c r="R460" t="str">
        <f t="shared" si="110"/>
        <v>Technology</v>
      </c>
      <c r="S460" t="s">
        <v>265</v>
      </c>
      <c r="T460" t="str">
        <f t="shared" si="111"/>
        <v>Phones</v>
      </c>
      <c r="U460" t="s">
        <v>2307</v>
      </c>
      <c r="V460" t="str">
        <f t="shared" si="112"/>
        <v>Pro Phones 907</v>
      </c>
      <c r="W460" t="s">
        <v>76</v>
      </c>
      <c r="X460" t="str">
        <f t="shared" si="113"/>
        <v>Second Class</v>
      </c>
      <c r="Y460">
        <v>1</v>
      </c>
      <c r="Z460">
        <v>3</v>
      </c>
      <c r="AA460">
        <v>3183.72</v>
      </c>
      <c r="AB460">
        <v>0.1</v>
      </c>
      <c r="AC460">
        <f t="shared" si="114"/>
        <v>0.1</v>
      </c>
      <c r="AD460">
        <v>8596.04</v>
      </c>
      <c r="AE460">
        <f t="shared" si="115"/>
        <v>8596.044</v>
      </c>
      <c r="AF460">
        <v>5378.16</v>
      </c>
      <c r="AG460">
        <v>3217.88</v>
      </c>
      <c r="AH460">
        <f t="shared" si="116"/>
        <v>3217.884</v>
      </c>
      <c r="AI460">
        <f t="shared" si="117"/>
        <v>0.37434475672763</v>
      </c>
      <c r="AJ460" t="s">
        <v>77</v>
      </c>
      <c r="AK460" t="str">
        <f t="shared" si="118"/>
        <v>Paid</v>
      </c>
      <c r="AL460" t="s">
        <v>78</v>
      </c>
      <c r="AM460" t="str">
        <f t="shared" si="119"/>
        <v>Completed</v>
      </c>
      <c r="AN460">
        <v>2</v>
      </c>
      <c r="AO460">
        <v>2024</v>
      </c>
      <c r="AP460" t="s">
        <v>79</v>
      </c>
    </row>
    <row r="461" spans="1:42">
      <c r="A461" t="s">
        <v>2308</v>
      </c>
      <c r="B461" s="3" t="s">
        <v>2309</v>
      </c>
      <c r="C461" s="3">
        <v>45379</v>
      </c>
      <c r="D461" t="s">
        <v>2239</v>
      </c>
      <c r="E461" s="3">
        <v>45386</v>
      </c>
      <c r="F461" t="s">
        <v>2310</v>
      </c>
      <c r="G461" t="s">
        <v>113</v>
      </c>
      <c r="H461" t="str">
        <f t="shared" si="105"/>
        <v>Ananya Rao</v>
      </c>
      <c r="I461" t="s">
        <v>154</v>
      </c>
      <c r="J461" t="str">
        <f t="shared" si="106"/>
        <v>Home Office</v>
      </c>
      <c r="K461" t="s">
        <v>11</v>
      </c>
      <c r="L461" t="str">
        <f t="shared" si="107"/>
        <v>West</v>
      </c>
      <c r="M461" t="s">
        <v>292</v>
      </c>
      <c r="N461" t="str">
        <f t="shared" si="108"/>
        <v>Goa</v>
      </c>
      <c r="O461" t="s">
        <v>293</v>
      </c>
      <c r="P461" t="str">
        <f t="shared" si="109"/>
        <v>Panaji</v>
      </c>
      <c r="Q461" t="s">
        <v>22</v>
      </c>
      <c r="R461" t="str">
        <f t="shared" si="110"/>
        <v>Office Supplies</v>
      </c>
      <c r="S461" t="s">
        <v>74</v>
      </c>
      <c r="T461" t="str">
        <f t="shared" si="111"/>
        <v>Paper</v>
      </c>
      <c r="U461" t="s">
        <v>2311</v>
      </c>
      <c r="V461" t="str">
        <f t="shared" si="112"/>
        <v>Basic Paper 233</v>
      </c>
      <c r="W461" t="s">
        <v>98</v>
      </c>
      <c r="X461" t="str">
        <f t="shared" si="113"/>
        <v>First Class</v>
      </c>
      <c r="Y461">
        <v>7</v>
      </c>
      <c r="Z461">
        <v>3</v>
      </c>
      <c r="AA461">
        <v>1150.92</v>
      </c>
      <c r="AB461">
        <v>0</v>
      </c>
      <c r="AC461">
        <f t="shared" si="114"/>
        <v>0</v>
      </c>
      <c r="AD461">
        <v>3452.76</v>
      </c>
      <c r="AE461">
        <f t="shared" si="115"/>
        <v>3452.76</v>
      </c>
      <c r="AF461">
        <v>2077.96</v>
      </c>
      <c r="AG461">
        <v>1374.8</v>
      </c>
      <c r="AH461">
        <f t="shared" si="116"/>
        <v>1374.8</v>
      </c>
      <c r="AI461">
        <f t="shared" si="117"/>
        <v>0.398174214251787</v>
      </c>
      <c r="AJ461" t="s">
        <v>77</v>
      </c>
      <c r="AK461" t="str">
        <f t="shared" si="118"/>
        <v>Paid</v>
      </c>
      <c r="AL461" t="s">
        <v>78</v>
      </c>
      <c r="AM461" t="str">
        <f t="shared" si="119"/>
        <v>Completed</v>
      </c>
      <c r="AN461">
        <v>3</v>
      </c>
      <c r="AO461">
        <v>2024</v>
      </c>
      <c r="AP461" t="s">
        <v>79</v>
      </c>
    </row>
    <row r="462" spans="1:42">
      <c r="A462" t="s">
        <v>2312</v>
      </c>
      <c r="B462" s="3" t="s">
        <v>2313</v>
      </c>
      <c r="C462" s="3">
        <v>45930</v>
      </c>
      <c r="D462" t="s">
        <v>2314</v>
      </c>
      <c r="E462" s="3">
        <v>45936</v>
      </c>
      <c r="F462" t="s">
        <v>2315</v>
      </c>
      <c r="G462" t="s">
        <v>202</v>
      </c>
      <c r="H462" t="str">
        <f t="shared" si="105"/>
        <v>Aarav Sharma</v>
      </c>
      <c r="I462" t="s">
        <v>147</v>
      </c>
      <c r="J462" t="str">
        <f t="shared" si="106"/>
        <v>Corporate</v>
      </c>
      <c r="L462" t="str">
        <f t="shared" si="107"/>
        <v/>
      </c>
      <c r="M462" t="s">
        <v>72</v>
      </c>
      <c r="N462" t="str">
        <f t="shared" si="108"/>
        <v>Rajasthan</v>
      </c>
      <c r="O462" t="s">
        <v>73</v>
      </c>
      <c r="P462" t="str">
        <f t="shared" si="109"/>
        <v>Jaipur</v>
      </c>
      <c r="Q462" t="s">
        <v>24</v>
      </c>
      <c r="R462" t="str">
        <f t="shared" si="110"/>
        <v>Technology</v>
      </c>
      <c r="S462" t="s">
        <v>133</v>
      </c>
      <c r="T462" t="str">
        <f t="shared" si="111"/>
        <v>Copiers</v>
      </c>
      <c r="U462" t="s">
        <v>2316</v>
      </c>
      <c r="V462" t="str">
        <f t="shared" si="112"/>
        <v>Eco Copiers 603</v>
      </c>
      <c r="W462" t="s">
        <v>76</v>
      </c>
      <c r="X462" t="str">
        <f t="shared" si="113"/>
        <v>Second Class</v>
      </c>
      <c r="Y462">
        <v>6</v>
      </c>
      <c r="Z462">
        <v>9</v>
      </c>
      <c r="AA462">
        <v>1359.88</v>
      </c>
      <c r="AB462">
        <v>0.05</v>
      </c>
      <c r="AC462">
        <f t="shared" si="114"/>
        <v>0.05</v>
      </c>
      <c r="AD462">
        <v>11626.97</v>
      </c>
      <c r="AE462">
        <f t="shared" si="115"/>
        <v>11626.974</v>
      </c>
      <c r="AF462">
        <v>7394.07</v>
      </c>
      <c r="AG462">
        <v>4232.9</v>
      </c>
      <c r="AH462">
        <f t="shared" si="116"/>
        <v>4232.904</v>
      </c>
      <c r="AI462">
        <f t="shared" si="117"/>
        <v>0.364058954634284</v>
      </c>
      <c r="AJ462" t="s">
        <v>77</v>
      </c>
      <c r="AK462" t="str">
        <f t="shared" si="118"/>
        <v>Paid</v>
      </c>
      <c r="AL462" t="s">
        <v>78</v>
      </c>
      <c r="AM462" t="str">
        <f t="shared" si="119"/>
        <v>Completed</v>
      </c>
      <c r="AN462">
        <v>9</v>
      </c>
      <c r="AO462">
        <v>2025</v>
      </c>
      <c r="AP462" t="s">
        <v>79</v>
      </c>
    </row>
    <row r="463" spans="1:42">
      <c r="A463" t="s">
        <v>2317</v>
      </c>
      <c r="B463" s="3" t="s">
        <v>2318</v>
      </c>
      <c r="C463" s="3">
        <v>45802</v>
      </c>
      <c r="D463" t="s">
        <v>1576</v>
      </c>
      <c r="E463" s="3">
        <v>45803</v>
      </c>
      <c r="F463" t="s">
        <v>2319</v>
      </c>
      <c r="G463" t="s">
        <v>132</v>
      </c>
      <c r="H463" t="str">
        <f t="shared" si="105"/>
        <v>Neha Gupta</v>
      </c>
      <c r="I463" t="s">
        <v>147</v>
      </c>
      <c r="J463" t="str">
        <f t="shared" si="106"/>
        <v>Corporate</v>
      </c>
      <c r="K463" t="s">
        <v>10</v>
      </c>
      <c r="L463" t="str">
        <f t="shared" si="107"/>
        <v>South</v>
      </c>
      <c r="M463" t="s">
        <v>139</v>
      </c>
      <c r="N463" t="str">
        <f t="shared" si="108"/>
        <v>Andhra Pradesh</v>
      </c>
      <c r="O463" t="s">
        <v>140</v>
      </c>
      <c r="P463" t="str">
        <f t="shared" si="109"/>
        <v>Vijayawada</v>
      </c>
      <c r="Q463" t="s">
        <v>22</v>
      </c>
      <c r="R463" t="str">
        <f t="shared" si="110"/>
        <v>Office Supplies</v>
      </c>
      <c r="S463" t="s">
        <v>74</v>
      </c>
      <c r="T463" t="str">
        <f t="shared" si="111"/>
        <v>Paper</v>
      </c>
      <c r="U463" t="s">
        <v>2320</v>
      </c>
      <c r="V463" t="str">
        <f t="shared" si="112"/>
        <v>Max Paper 700</v>
      </c>
      <c r="W463" t="s">
        <v>108</v>
      </c>
      <c r="X463" t="str">
        <f t="shared" si="113"/>
        <v>Standard Class</v>
      </c>
      <c r="Y463">
        <v>1</v>
      </c>
      <c r="Z463">
        <v>3</v>
      </c>
      <c r="AA463">
        <v>3378.15</v>
      </c>
      <c r="AB463">
        <v>0.15</v>
      </c>
      <c r="AC463">
        <f t="shared" si="114"/>
        <v>0.15</v>
      </c>
      <c r="AD463">
        <v>8614.28</v>
      </c>
      <c r="AE463">
        <f t="shared" si="115"/>
        <v>8614.2825</v>
      </c>
      <c r="AF463">
        <v>7052.08</v>
      </c>
      <c r="AG463">
        <v>1562.2</v>
      </c>
      <c r="AH463">
        <f t="shared" si="116"/>
        <v>1562.2025</v>
      </c>
      <c r="AI463">
        <f t="shared" si="117"/>
        <v>0.181350274964862</v>
      </c>
      <c r="AJ463" t="s">
        <v>77</v>
      </c>
      <c r="AK463" t="str">
        <f t="shared" si="118"/>
        <v>Paid</v>
      </c>
      <c r="AL463" t="s">
        <v>78</v>
      </c>
      <c r="AM463" t="str">
        <f t="shared" si="119"/>
        <v>Completed</v>
      </c>
      <c r="AN463">
        <v>5</v>
      </c>
      <c r="AO463">
        <v>2025</v>
      </c>
      <c r="AP463" t="s">
        <v>79</v>
      </c>
    </row>
    <row r="464" spans="1:42">
      <c r="A464" t="s">
        <v>2321</v>
      </c>
      <c r="B464" s="3" t="s">
        <v>2063</v>
      </c>
      <c r="C464" s="3">
        <v>45558</v>
      </c>
      <c r="D464" t="s">
        <v>2322</v>
      </c>
      <c r="E464" s="3">
        <v>45560</v>
      </c>
      <c r="F464" t="s">
        <v>2323</v>
      </c>
      <c r="G464" t="s">
        <v>202</v>
      </c>
      <c r="H464" t="str">
        <f t="shared" si="105"/>
        <v>Aarav Sharma</v>
      </c>
      <c r="I464" t="s">
        <v>154</v>
      </c>
      <c r="J464" t="str">
        <f t="shared" si="106"/>
        <v>Home Office</v>
      </c>
      <c r="K464" t="s">
        <v>8</v>
      </c>
      <c r="L464" t="str">
        <f t="shared" si="107"/>
        <v>North</v>
      </c>
      <c r="M464" t="s">
        <v>552</v>
      </c>
      <c r="N464" t="str">
        <f t="shared" si="108"/>
        <v>Delhi</v>
      </c>
      <c r="O464" t="s">
        <v>553</v>
      </c>
      <c r="P464" t="str">
        <f t="shared" si="109"/>
        <v>New Delhi</v>
      </c>
      <c r="Q464" t="s">
        <v>22</v>
      </c>
      <c r="R464" t="str">
        <f t="shared" si="110"/>
        <v>Office Supplies</v>
      </c>
      <c r="S464" t="s">
        <v>239</v>
      </c>
      <c r="T464" t="str">
        <f t="shared" si="111"/>
        <v>Binders</v>
      </c>
      <c r="U464" t="s">
        <v>2324</v>
      </c>
      <c r="V464" t="str">
        <f t="shared" si="112"/>
        <v>Pro Binders 404</v>
      </c>
      <c r="W464" t="s">
        <v>98</v>
      </c>
      <c r="X464" t="str">
        <f t="shared" si="113"/>
        <v>First Class</v>
      </c>
      <c r="Y464">
        <v>2</v>
      </c>
      <c r="Z464">
        <v>2</v>
      </c>
      <c r="AA464">
        <v>1275.14</v>
      </c>
      <c r="AB464">
        <v>0.2</v>
      </c>
      <c r="AC464">
        <f t="shared" si="114"/>
        <v>0.2</v>
      </c>
      <c r="AD464">
        <v>2040.22</v>
      </c>
      <c r="AE464">
        <f t="shared" si="115"/>
        <v>2040.224</v>
      </c>
      <c r="AF464">
        <v>1395.71</v>
      </c>
      <c r="AG464">
        <v>644.51</v>
      </c>
      <c r="AH464">
        <f t="shared" si="116"/>
        <v>644.514</v>
      </c>
      <c r="AI464">
        <f t="shared" si="117"/>
        <v>0.315903547845727</v>
      </c>
      <c r="AJ464" t="s">
        <v>77</v>
      </c>
      <c r="AK464" t="str">
        <f t="shared" si="118"/>
        <v>Paid</v>
      </c>
      <c r="AL464" t="s">
        <v>78</v>
      </c>
      <c r="AM464" t="str">
        <f t="shared" si="119"/>
        <v>Completed</v>
      </c>
      <c r="AN464">
        <v>9</v>
      </c>
      <c r="AO464">
        <v>2024</v>
      </c>
      <c r="AP464" t="s">
        <v>79</v>
      </c>
    </row>
    <row r="465" spans="1:42">
      <c r="A465" t="s">
        <v>2325</v>
      </c>
      <c r="B465" s="3" t="s">
        <v>486</v>
      </c>
      <c r="C465" s="3">
        <v>45695</v>
      </c>
      <c r="D465" t="s">
        <v>2326</v>
      </c>
      <c r="E465" s="3">
        <v>45696</v>
      </c>
      <c r="F465" t="s">
        <v>2327</v>
      </c>
      <c r="G465" t="s">
        <v>103</v>
      </c>
      <c r="H465" t="str">
        <f t="shared" si="105"/>
        <v>Arjun Bose</v>
      </c>
      <c r="I465" t="s">
        <v>147</v>
      </c>
      <c r="J465" t="str">
        <f t="shared" si="106"/>
        <v>Corporate</v>
      </c>
      <c r="K465" t="s">
        <v>11</v>
      </c>
      <c r="L465" t="str">
        <f t="shared" si="107"/>
        <v>West</v>
      </c>
      <c r="M465" t="s">
        <v>124</v>
      </c>
      <c r="N465" t="str">
        <f t="shared" si="108"/>
        <v>Madhya Pradesh</v>
      </c>
      <c r="O465" t="s">
        <v>125</v>
      </c>
      <c r="P465" t="str">
        <f t="shared" si="109"/>
        <v>Indore</v>
      </c>
      <c r="Q465" t="s">
        <v>24</v>
      </c>
      <c r="R465" t="str">
        <f t="shared" si="110"/>
        <v>Technology</v>
      </c>
      <c r="S465" t="s">
        <v>265</v>
      </c>
      <c r="T465" t="str">
        <f t="shared" si="111"/>
        <v>Phones</v>
      </c>
      <c r="U465" t="s">
        <v>2328</v>
      </c>
      <c r="V465" t="str">
        <f t="shared" si="112"/>
        <v>Eco Phones 208</v>
      </c>
      <c r="W465" t="s">
        <v>108</v>
      </c>
      <c r="X465" t="str">
        <f t="shared" si="113"/>
        <v>Standard Class</v>
      </c>
      <c r="Y465">
        <v>1</v>
      </c>
      <c r="Z465">
        <v>4</v>
      </c>
      <c r="AA465">
        <v>889.5</v>
      </c>
      <c r="AB465">
        <v>0.2</v>
      </c>
      <c r="AC465">
        <f t="shared" si="114"/>
        <v>0.2</v>
      </c>
      <c r="AD465">
        <v>2846.4</v>
      </c>
      <c r="AE465">
        <f t="shared" si="115"/>
        <v>2846.4</v>
      </c>
      <c r="AF465">
        <v>2132.37</v>
      </c>
      <c r="AG465">
        <v>714.03</v>
      </c>
      <c r="AH465">
        <f t="shared" si="116"/>
        <v>714.03</v>
      </c>
      <c r="AI465">
        <f t="shared" si="117"/>
        <v>0.25085370994941</v>
      </c>
      <c r="AJ465" t="s">
        <v>77</v>
      </c>
      <c r="AK465" t="str">
        <f t="shared" si="118"/>
        <v>Paid</v>
      </c>
      <c r="AL465" t="s">
        <v>78</v>
      </c>
      <c r="AM465" t="str">
        <f t="shared" si="119"/>
        <v>Completed</v>
      </c>
      <c r="AN465">
        <v>2</v>
      </c>
      <c r="AO465">
        <v>2025</v>
      </c>
      <c r="AP465" t="s">
        <v>79</v>
      </c>
    </row>
    <row r="466" spans="1:42">
      <c r="A466" t="s">
        <v>2329</v>
      </c>
      <c r="B466" s="3" t="s">
        <v>2330</v>
      </c>
      <c r="C466" s="3">
        <v>45727</v>
      </c>
      <c r="D466" t="s">
        <v>2331</v>
      </c>
      <c r="E466" s="3">
        <v>45731</v>
      </c>
      <c r="F466" t="s">
        <v>2332</v>
      </c>
      <c r="G466" t="s">
        <v>103</v>
      </c>
      <c r="H466" t="str">
        <f t="shared" si="105"/>
        <v>Arjun Bose</v>
      </c>
      <c r="I466" t="s">
        <v>147</v>
      </c>
      <c r="J466" t="str">
        <f t="shared" si="106"/>
        <v>Corporate</v>
      </c>
      <c r="K466" t="s">
        <v>7</v>
      </c>
      <c r="L466" t="str">
        <f t="shared" si="107"/>
        <v>East</v>
      </c>
      <c r="M466" t="s">
        <v>227</v>
      </c>
      <c r="N466" t="str">
        <f t="shared" si="108"/>
        <v>Bihar</v>
      </c>
      <c r="O466" t="s">
        <v>228</v>
      </c>
      <c r="P466" t="str">
        <f t="shared" si="109"/>
        <v>Patna</v>
      </c>
      <c r="Q466" t="s">
        <v>22</v>
      </c>
      <c r="R466" t="str">
        <f t="shared" si="110"/>
        <v>Office Supplies</v>
      </c>
      <c r="S466" t="s">
        <v>74</v>
      </c>
      <c r="T466" t="str">
        <f t="shared" si="111"/>
        <v>Paper</v>
      </c>
      <c r="U466" t="s">
        <v>2333</v>
      </c>
      <c r="V466" t="str">
        <f t="shared" si="112"/>
        <v>Elite Paper 106</v>
      </c>
      <c r="W466" t="s">
        <v>90</v>
      </c>
      <c r="X466" t="str">
        <f t="shared" si="113"/>
        <v>Same Day</v>
      </c>
      <c r="Y466">
        <v>4</v>
      </c>
      <c r="Z466">
        <v>3</v>
      </c>
      <c r="AA466">
        <v>3625.08</v>
      </c>
      <c r="AB466">
        <v>0.05</v>
      </c>
      <c r="AC466">
        <f t="shared" si="114"/>
        <v>0.05</v>
      </c>
      <c r="AD466">
        <v>10331.48</v>
      </c>
      <c r="AE466">
        <f t="shared" si="115"/>
        <v>10331.478</v>
      </c>
      <c r="AF466">
        <v>7131.91</v>
      </c>
      <c r="AG466">
        <v>3199.57</v>
      </c>
      <c r="AH466">
        <f t="shared" si="116"/>
        <v>3199.568</v>
      </c>
      <c r="AI466">
        <f t="shared" si="117"/>
        <v>0.309691217461819</v>
      </c>
      <c r="AJ466" t="s">
        <v>177</v>
      </c>
      <c r="AK466" t="str">
        <f t="shared" si="118"/>
        <v>Pending</v>
      </c>
      <c r="AL466" t="s">
        <v>118</v>
      </c>
      <c r="AM466" t="str">
        <f t="shared" si="119"/>
        <v>Cancelled</v>
      </c>
      <c r="AN466">
        <v>3</v>
      </c>
      <c r="AO466">
        <v>2025</v>
      </c>
      <c r="AP466" t="s">
        <v>79</v>
      </c>
    </row>
    <row r="467" spans="1:42">
      <c r="A467" t="s">
        <v>2334</v>
      </c>
      <c r="B467" s="3" t="s">
        <v>2335</v>
      </c>
      <c r="C467" s="3">
        <v>45320</v>
      </c>
      <c r="D467" t="s">
        <v>2336</v>
      </c>
      <c r="E467" s="3">
        <v>45328</v>
      </c>
      <c r="F467" t="s">
        <v>2337</v>
      </c>
      <c r="G467" t="s">
        <v>202</v>
      </c>
      <c r="H467" t="str">
        <f t="shared" si="105"/>
        <v>Aarav Sharma</v>
      </c>
      <c r="I467" t="s">
        <v>85</v>
      </c>
      <c r="J467" t="str">
        <f t="shared" si="106"/>
        <v>Small Business</v>
      </c>
      <c r="K467" t="s">
        <v>11</v>
      </c>
      <c r="L467" t="str">
        <f t="shared" si="107"/>
        <v>West</v>
      </c>
      <c r="M467" t="s">
        <v>124</v>
      </c>
      <c r="N467" t="str">
        <f t="shared" si="108"/>
        <v>Madhya Pradesh</v>
      </c>
      <c r="O467" t="s">
        <v>125</v>
      </c>
      <c r="P467" t="str">
        <f t="shared" si="109"/>
        <v>Indore</v>
      </c>
      <c r="Q467" t="s">
        <v>22</v>
      </c>
      <c r="R467" t="str">
        <f t="shared" si="110"/>
        <v>Office Supplies</v>
      </c>
      <c r="S467" t="s">
        <v>148</v>
      </c>
      <c r="T467" t="str">
        <f t="shared" si="111"/>
        <v>Labels</v>
      </c>
      <c r="U467" t="s">
        <v>2338</v>
      </c>
      <c r="V467" t="str">
        <f t="shared" si="112"/>
        <v>Eco Labels 914</v>
      </c>
      <c r="W467" t="s">
        <v>108</v>
      </c>
      <c r="X467" t="str">
        <f t="shared" si="113"/>
        <v>Standard Class</v>
      </c>
      <c r="Y467">
        <v>8</v>
      </c>
      <c r="Z467">
        <v>2</v>
      </c>
      <c r="AA467">
        <v>1258.9</v>
      </c>
      <c r="AB467">
        <v>0</v>
      </c>
      <c r="AC467">
        <f t="shared" si="114"/>
        <v>0</v>
      </c>
      <c r="AD467">
        <v>2517.8</v>
      </c>
      <c r="AE467">
        <f t="shared" si="115"/>
        <v>2517.8</v>
      </c>
      <c r="AF467">
        <v>1478.54</v>
      </c>
      <c r="AG467">
        <v>1039.26</v>
      </c>
      <c r="AH467">
        <f t="shared" si="116"/>
        <v>1039.26</v>
      </c>
      <c r="AI467">
        <f t="shared" si="117"/>
        <v>0.412765112399714</v>
      </c>
      <c r="AJ467" t="s">
        <v>77</v>
      </c>
      <c r="AK467" t="str">
        <f t="shared" si="118"/>
        <v>Paid</v>
      </c>
      <c r="AL467" t="s">
        <v>78</v>
      </c>
      <c r="AM467" t="str">
        <f t="shared" si="119"/>
        <v>Completed</v>
      </c>
      <c r="AN467">
        <v>1</v>
      </c>
      <c r="AO467">
        <v>2024</v>
      </c>
      <c r="AP467" t="s">
        <v>79</v>
      </c>
    </row>
    <row r="468" spans="1:42">
      <c r="A468" t="s">
        <v>2339</v>
      </c>
      <c r="B468" s="3" t="s">
        <v>2340</v>
      </c>
      <c r="C468" s="3">
        <v>45295</v>
      </c>
      <c r="D468" t="s">
        <v>2341</v>
      </c>
      <c r="E468" s="3">
        <v>45299</v>
      </c>
      <c r="F468" t="s">
        <v>2342</v>
      </c>
      <c r="G468" t="s">
        <v>84</v>
      </c>
      <c r="H468" t="str">
        <f t="shared" si="105"/>
        <v>Mira Das</v>
      </c>
      <c r="I468" t="s">
        <v>85</v>
      </c>
      <c r="J468" t="str">
        <f t="shared" si="106"/>
        <v>Small Business</v>
      </c>
      <c r="K468" t="s">
        <v>7</v>
      </c>
      <c r="L468" t="str">
        <f t="shared" si="107"/>
        <v>East</v>
      </c>
      <c r="M468" t="s">
        <v>227</v>
      </c>
      <c r="N468" t="str">
        <f t="shared" si="108"/>
        <v>Bihar</v>
      </c>
      <c r="O468" t="s">
        <v>228</v>
      </c>
      <c r="P468" t="str">
        <f t="shared" si="109"/>
        <v>Patna</v>
      </c>
      <c r="Q468" t="s">
        <v>24</v>
      </c>
      <c r="R468" t="str">
        <f t="shared" si="110"/>
        <v>Technology</v>
      </c>
      <c r="S468" t="s">
        <v>126</v>
      </c>
      <c r="T468" t="str">
        <f t="shared" si="111"/>
        <v>Accessories</v>
      </c>
      <c r="U468" t="s">
        <v>2343</v>
      </c>
      <c r="V468" t="str">
        <f t="shared" si="112"/>
        <v>Max Accessories 486</v>
      </c>
      <c r="W468" t="s">
        <v>90</v>
      </c>
      <c r="X468" t="str">
        <f t="shared" si="113"/>
        <v>Same Day</v>
      </c>
      <c r="Y468">
        <v>4</v>
      </c>
      <c r="Z468">
        <v>9</v>
      </c>
      <c r="AA468">
        <v>1591.96</v>
      </c>
      <c r="AB468">
        <v>0.2</v>
      </c>
      <c r="AC468">
        <f t="shared" si="114"/>
        <v>0.2</v>
      </c>
      <c r="AD468">
        <v>11462.11</v>
      </c>
      <c r="AE468">
        <f t="shared" si="115"/>
        <v>11462.112</v>
      </c>
      <c r="AF468">
        <v>7105.48</v>
      </c>
      <c r="AG468">
        <v>4356.63</v>
      </c>
      <c r="AH468">
        <f t="shared" si="116"/>
        <v>4356.632</v>
      </c>
      <c r="AI468">
        <f t="shared" si="117"/>
        <v>0.380089812418514</v>
      </c>
      <c r="AJ468" t="s">
        <v>77</v>
      </c>
      <c r="AK468" t="str">
        <f t="shared" si="118"/>
        <v>Paid</v>
      </c>
      <c r="AL468" t="s">
        <v>78</v>
      </c>
      <c r="AM468" t="str">
        <f t="shared" si="119"/>
        <v>Completed</v>
      </c>
      <c r="AN468">
        <v>1</v>
      </c>
      <c r="AO468">
        <v>2024</v>
      </c>
      <c r="AP468" t="s">
        <v>79</v>
      </c>
    </row>
    <row r="469" spans="1:42">
      <c r="A469" t="s">
        <v>2344</v>
      </c>
      <c r="B469" s="3" t="s">
        <v>2345</v>
      </c>
      <c r="C469" s="3">
        <v>45524</v>
      </c>
      <c r="D469" t="s">
        <v>1680</v>
      </c>
      <c r="E469" s="3">
        <v>45525</v>
      </c>
      <c r="F469" t="s">
        <v>2346</v>
      </c>
      <c r="G469" t="s">
        <v>146</v>
      </c>
      <c r="H469" t="str">
        <f t="shared" si="105"/>
        <v>Aditi Sen</v>
      </c>
      <c r="I469" t="s">
        <v>147</v>
      </c>
      <c r="J469" t="str">
        <f t="shared" si="106"/>
        <v>Corporate</v>
      </c>
      <c r="K469" t="s">
        <v>7</v>
      </c>
      <c r="L469" t="str">
        <f t="shared" si="107"/>
        <v>East</v>
      </c>
      <c r="M469" t="s">
        <v>86</v>
      </c>
      <c r="N469" t="str">
        <f t="shared" si="108"/>
        <v>Odisha</v>
      </c>
      <c r="O469" t="s">
        <v>87</v>
      </c>
      <c r="P469" t="str">
        <f t="shared" si="109"/>
        <v>Bhubaneswar</v>
      </c>
      <c r="Q469" t="s">
        <v>24</v>
      </c>
      <c r="R469" t="str">
        <f t="shared" si="110"/>
        <v>Technology</v>
      </c>
      <c r="S469" t="s">
        <v>133</v>
      </c>
      <c r="T469" t="str">
        <f t="shared" si="111"/>
        <v>Copiers</v>
      </c>
      <c r="U469" t="s">
        <v>2347</v>
      </c>
      <c r="V469" t="str">
        <f t="shared" si="112"/>
        <v>Max Copiers 867</v>
      </c>
      <c r="W469" t="s">
        <v>98</v>
      </c>
      <c r="X469" t="str">
        <f t="shared" si="113"/>
        <v>First Class</v>
      </c>
      <c r="Y469">
        <v>1</v>
      </c>
      <c r="Z469">
        <v>5</v>
      </c>
      <c r="AA469">
        <v>4288.33</v>
      </c>
      <c r="AB469">
        <v>0.1</v>
      </c>
      <c r="AC469">
        <f t="shared" si="114"/>
        <v>0.1</v>
      </c>
      <c r="AD469">
        <v>19297.49</v>
      </c>
      <c r="AE469">
        <f t="shared" si="115"/>
        <v>19297.485</v>
      </c>
      <c r="AF469">
        <v>15451.66</v>
      </c>
      <c r="AG469">
        <v>3845.83</v>
      </c>
      <c r="AH469">
        <f t="shared" si="116"/>
        <v>3845.825</v>
      </c>
      <c r="AI469">
        <f t="shared" si="117"/>
        <v>0.199291513894168</v>
      </c>
      <c r="AJ469" t="s">
        <v>163</v>
      </c>
      <c r="AK469" t="str">
        <f t="shared" si="118"/>
        <v>Refunded</v>
      </c>
      <c r="AL469" t="s">
        <v>118</v>
      </c>
      <c r="AM469" t="str">
        <f t="shared" si="119"/>
        <v>Cancelled</v>
      </c>
      <c r="AN469">
        <v>8</v>
      </c>
      <c r="AO469">
        <v>2024</v>
      </c>
      <c r="AP469" t="s">
        <v>79</v>
      </c>
    </row>
    <row r="470" spans="1:42">
      <c r="A470" t="s">
        <v>2348</v>
      </c>
      <c r="B470" s="3" t="s">
        <v>2349</v>
      </c>
      <c r="C470" s="3">
        <v>45666</v>
      </c>
      <c r="D470" t="s">
        <v>2350</v>
      </c>
      <c r="E470" s="3">
        <v>45664</v>
      </c>
      <c r="F470" t="s">
        <v>2351</v>
      </c>
      <c r="G470" t="s">
        <v>202</v>
      </c>
      <c r="H470" t="str">
        <f t="shared" si="105"/>
        <v>Aarav Sharma</v>
      </c>
      <c r="I470" t="s">
        <v>154</v>
      </c>
      <c r="J470" t="str">
        <f t="shared" si="106"/>
        <v>Home Office</v>
      </c>
      <c r="K470" t="s">
        <v>7</v>
      </c>
      <c r="L470" t="str">
        <f t="shared" si="107"/>
        <v>East</v>
      </c>
      <c r="M470" t="s">
        <v>160</v>
      </c>
      <c r="N470" t="str">
        <f t="shared" si="108"/>
        <v>West Bengal</v>
      </c>
      <c r="O470" t="s">
        <v>161</v>
      </c>
      <c r="P470" t="str">
        <f t="shared" si="109"/>
        <v>Kolkata</v>
      </c>
      <c r="Q470" t="s">
        <v>22</v>
      </c>
      <c r="R470" t="str">
        <f t="shared" si="110"/>
        <v>Office Supplies</v>
      </c>
      <c r="S470" t="s">
        <v>239</v>
      </c>
      <c r="T470" t="str">
        <f t="shared" si="111"/>
        <v>Binders</v>
      </c>
      <c r="U470" t="s">
        <v>2352</v>
      </c>
      <c r="V470" t="str">
        <f t="shared" si="112"/>
        <v>Pro Binders 555</v>
      </c>
      <c r="W470" t="s">
        <v>76</v>
      </c>
      <c r="X470" t="str">
        <f t="shared" si="113"/>
        <v>Second Class</v>
      </c>
      <c r="Y470">
        <v>-2</v>
      </c>
      <c r="Z470">
        <v>3</v>
      </c>
      <c r="AA470">
        <v>2188.33</v>
      </c>
      <c r="AB470">
        <v>0</v>
      </c>
      <c r="AC470">
        <f t="shared" si="114"/>
        <v>0</v>
      </c>
      <c r="AD470">
        <v>6564.99</v>
      </c>
      <c r="AE470">
        <f t="shared" si="115"/>
        <v>6564.99</v>
      </c>
      <c r="AF470">
        <v>5407.24</v>
      </c>
      <c r="AG470">
        <v>1157.75</v>
      </c>
      <c r="AH470">
        <f t="shared" si="116"/>
        <v>1157.75</v>
      </c>
      <c r="AI470">
        <f t="shared" si="117"/>
        <v>0.176352134580555</v>
      </c>
      <c r="AJ470" t="s">
        <v>77</v>
      </c>
      <c r="AK470" t="str">
        <f t="shared" si="118"/>
        <v>Paid</v>
      </c>
      <c r="AL470" t="s">
        <v>78</v>
      </c>
      <c r="AM470" t="str">
        <f t="shared" si="119"/>
        <v>Completed</v>
      </c>
      <c r="AN470">
        <v>1</v>
      </c>
      <c r="AO470">
        <v>2025</v>
      </c>
      <c r="AP470" t="s">
        <v>253</v>
      </c>
    </row>
    <row r="471" spans="1:42">
      <c r="A471" t="s">
        <v>2353</v>
      </c>
      <c r="B471" s="3" t="s">
        <v>2354</v>
      </c>
      <c r="C471" s="3">
        <v>45310</v>
      </c>
      <c r="D471" t="s">
        <v>2106</v>
      </c>
      <c r="E471" s="3">
        <v>45316</v>
      </c>
      <c r="F471" t="s">
        <v>2355</v>
      </c>
      <c r="G471" t="s">
        <v>146</v>
      </c>
      <c r="H471" t="str">
        <f t="shared" si="105"/>
        <v>Aditi Sen</v>
      </c>
      <c r="I471" t="s">
        <v>147</v>
      </c>
      <c r="J471" t="str">
        <f t="shared" si="106"/>
        <v>Corporate</v>
      </c>
      <c r="K471" t="s">
        <v>11</v>
      </c>
      <c r="L471" t="str">
        <f t="shared" si="107"/>
        <v>West</v>
      </c>
      <c r="M471" t="s">
        <v>292</v>
      </c>
      <c r="N471" t="str">
        <f t="shared" si="108"/>
        <v>Goa</v>
      </c>
      <c r="O471" t="s">
        <v>293</v>
      </c>
      <c r="P471" t="str">
        <f t="shared" si="109"/>
        <v>Panaji</v>
      </c>
      <c r="Q471" t="s">
        <v>24</v>
      </c>
      <c r="R471" t="str">
        <f t="shared" si="110"/>
        <v>Technology</v>
      </c>
      <c r="S471" t="s">
        <v>133</v>
      </c>
      <c r="T471" t="str">
        <f t="shared" si="111"/>
        <v>Copiers</v>
      </c>
      <c r="U471" t="s">
        <v>2356</v>
      </c>
      <c r="V471" t="str">
        <f t="shared" si="112"/>
        <v>Pro Copiers 971</v>
      </c>
      <c r="W471" t="s">
        <v>98</v>
      </c>
      <c r="X471" t="str">
        <f t="shared" si="113"/>
        <v>First Class</v>
      </c>
      <c r="Y471">
        <v>6</v>
      </c>
      <c r="Z471">
        <v>3</v>
      </c>
      <c r="AA471">
        <v>1041.66</v>
      </c>
      <c r="AB471">
        <v>0.1</v>
      </c>
      <c r="AC471">
        <f t="shared" si="114"/>
        <v>0.1</v>
      </c>
      <c r="AD471">
        <v>2812.48</v>
      </c>
      <c r="AE471">
        <f t="shared" si="115"/>
        <v>2812.482</v>
      </c>
      <c r="AF471">
        <v>2282.12</v>
      </c>
      <c r="AG471">
        <v>530.36</v>
      </c>
      <c r="AH471">
        <f t="shared" si="116"/>
        <v>530.362000000001</v>
      </c>
      <c r="AI471">
        <f t="shared" si="117"/>
        <v>0.188574362431475</v>
      </c>
      <c r="AJ471" t="s">
        <v>77</v>
      </c>
      <c r="AK471" t="str">
        <f t="shared" si="118"/>
        <v>Paid</v>
      </c>
      <c r="AL471" t="s">
        <v>78</v>
      </c>
      <c r="AM471" t="str">
        <f t="shared" si="119"/>
        <v>Completed</v>
      </c>
      <c r="AN471">
        <v>1</v>
      </c>
      <c r="AO471">
        <v>2024</v>
      </c>
      <c r="AP471" t="s">
        <v>79</v>
      </c>
    </row>
    <row r="472" spans="1:42">
      <c r="A472" t="s">
        <v>2357</v>
      </c>
      <c r="B472" s="3" t="s">
        <v>2358</v>
      </c>
      <c r="C472" s="3">
        <v>45501</v>
      </c>
      <c r="D472" t="s">
        <v>1648</v>
      </c>
      <c r="E472" s="3">
        <v>45504</v>
      </c>
      <c r="F472" t="s">
        <v>2359</v>
      </c>
      <c r="G472" t="s">
        <v>146</v>
      </c>
      <c r="H472" t="str">
        <f t="shared" si="105"/>
        <v>Aditi Sen</v>
      </c>
      <c r="I472" t="s">
        <v>71</v>
      </c>
      <c r="J472" t="str">
        <f t="shared" si="106"/>
        <v>Consumer</v>
      </c>
      <c r="K472" t="s">
        <v>8</v>
      </c>
      <c r="L472" t="str">
        <f t="shared" si="107"/>
        <v>North</v>
      </c>
      <c r="M472" t="s">
        <v>72</v>
      </c>
      <c r="N472" t="str">
        <f t="shared" si="108"/>
        <v>Rajasthan</v>
      </c>
      <c r="O472" t="s">
        <v>73</v>
      </c>
      <c r="P472" t="str">
        <f t="shared" si="109"/>
        <v>Jaipur</v>
      </c>
      <c r="Q472" t="s">
        <v>19</v>
      </c>
      <c r="R472" t="str">
        <f t="shared" si="110"/>
        <v>Furniture</v>
      </c>
      <c r="S472" t="s">
        <v>88</v>
      </c>
      <c r="T472" t="str">
        <f t="shared" si="111"/>
        <v>Tables</v>
      </c>
      <c r="U472" t="s">
        <v>2360</v>
      </c>
      <c r="V472" t="str">
        <f t="shared" si="112"/>
        <v>Pro Tables 833</v>
      </c>
      <c r="W472" t="s">
        <v>90</v>
      </c>
      <c r="X472" t="str">
        <f t="shared" si="113"/>
        <v>Same Day</v>
      </c>
      <c r="Y472">
        <v>3</v>
      </c>
      <c r="Z472">
        <v>2</v>
      </c>
      <c r="AA472">
        <v>4424.78</v>
      </c>
      <c r="AB472">
        <v>0.2</v>
      </c>
      <c r="AC472">
        <f t="shared" si="114"/>
        <v>0.2</v>
      </c>
      <c r="AD472">
        <v>7079.65</v>
      </c>
      <c r="AE472">
        <f t="shared" si="115"/>
        <v>7079.648</v>
      </c>
      <c r="AF472">
        <v>4465.91</v>
      </c>
      <c r="AG472">
        <v>2613.74</v>
      </c>
      <c r="AH472">
        <f t="shared" si="116"/>
        <v>2613.738</v>
      </c>
      <c r="AI472">
        <f t="shared" si="117"/>
        <v>0.369190389126691</v>
      </c>
      <c r="AJ472" t="s">
        <v>77</v>
      </c>
      <c r="AK472" t="str">
        <f t="shared" si="118"/>
        <v>Paid</v>
      </c>
      <c r="AL472" t="s">
        <v>78</v>
      </c>
      <c r="AM472" t="str">
        <f t="shared" si="119"/>
        <v>Completed</v>
      </c>
      <c r="AN472">
        <v>7</v>
      </c>
      <c r="AO472">
        <v>2024</v>
      </c>
      <c r="AP472" t="s">
        <v>79</v>
      </c>
    </row>
    <row r="473" spans="1:42">
      <c r="A473" t="s">
        <v>2361</v>
      </c>
      <c r="B473" s="3" t="s">
        <v>2362</v>
      </c>
      <c r="C473" s="3">
        <v>45333</v>
      </c>
      <c r="D473" t="s">
        <v>2363</v>
      </c>
      <c r="E473" s="3">
        <v>45337</v>
      </c>
      <c r="F473" t="s">
        <v>2364</v>
      </c>
      <c r="G473" t="s">
        <v>411</v>
      </c>
      <c r="H473" t="str">
        <f t="shared" si="105"/>
        <v>Kabir Singh</v>
      </c>
      <c r="I473" t="s">
        <v>71</v>
      </c>
      <c r="J473" t="str">
        <f t="shared" si="106"/>
        <v>Consumer</v>
      </c>
      <c r="K473" t="s">
        <v>10</v>
      </c>
      <c r="L473" t="str">
        <f t="shared" si="107"/>
        <v>South</v>
      </c>
      <c r="M473" t="s">
        <v>104</v>
      </c>
      <c r="N473" t="str">
        <f t="shared" si="108"/>
        <v>Telangana</v>
      </c>
      <c r="O473" t="s">
        <v>105</v>
      </c>
      <c r="P473" t="str">
        <f t="shared" si="109"/>
        <v>Hyderabad</v>
      </c>
      <c r="Q473" t="s">
        <v>22</v>
      </c>
      <c r="R473" t="str">
        <f t="shared" si="110"/>
        <v>Office Supplies</v>
      </c>
      <c r="S473" t="s">
        <v>239</v>
      </c>
      <c r="T473" t="str">
        <f t="shared" si="111"/>
        <v>Binders</v>
      </c>
      <c r="U473" t="s">
        <v>2365</v>
      </c>
      <c r="V473" t="str">
        <f t="shared" si="112"/>
        <v>Prime Binders 497</v>
      </c>
      <c r="W473" t="s">
        <v>108</v>
      </c>
      <c r="X473" t="str">
        <f t="shared" si="113"/>
        <v>Standard Class</v>
      </c>
      <c r="Y473">
        <v>4</v>
      </c>
      <c r="Z473">
        <v>3</v>
      </c>
      <c r="AA473">
        <v>3019.14</v>
      </c>
      <c r="AB473">
        <v>0.25</v>
      </c>
      <c r="AC473">
        <f t="shared" si="114"/>
        <v>0.25</v>
      </c>
      <c r="AD473">
        <v>6793.07</v>
      </c>
      <c r="AE473">
        <f t="shared" si="115"/>
        <v>6793.065</v>
      </c>
      <c r="AF473">
        <v>4985.22</v>
      </c>
      <c r="AG473">
        <v>1807.85</v>
      </c>
      <c r="AH473">
        <f t="shared" si="116"/>
        <v>1807.845</v>
      </c>
      <c r="AI473">
        <f t="shared" si="117"/>
        <v>0.266130973279367</v>
      </c>
      <c r="AJ473" t="s">
        <v>77</v>
      </c>
      <c r="AK473" t="str">
        <f t="shared" si="118"/>
        <v>Paid</v>
      </c>
      <c r="AL473" t="s">
        <v>78</v>
      </c>
      <c r="AM473" t="str">
        <f t="shared" si="119"/>
        <v>Completed</v>
      </c>
      <c r="AN473">
        <v>2</v>
      </c>
      <c r="AO473">
        <v>2024</v>
      </c>
      <c r="AP473" t="s">
        <v>79</v>
      </c>
    </row>
    <row r="474" spans="1:42">
      <c r="A474" t="s">
        <v>2366</v>
      </c>
      <c r="B474" s="3" t="s">
        <v>2367</v>
      </c>
      <c r="C474" s="3">
        <v>45353</v>
      </c>
      <c r="D474" t="s">
        <v>1560</v>
      </c>
      <c r="E474" s="3">
        <v>45358</v>
      </c>
      <c r="F474" t="s">
        <v>2368</v>
      </c>
      <c r="G474" t="s">
        <v>220</v>
      </c>
      <c r="H474" t="str">
        <f t="shared" si="105"/>
        <v>Rohan Mehta</v>
      </c>
      <c r="I474" t="s">
        <v>147</v>
      </c>
      <c r="J474" t="str">
        <f t="shared" si="106"/>
        <v>Corporate</v>
      </c>
      <c r="K474" t="s">
        <v>7</v>
      </c>
      <c r="L474" t="str">
        <f t="shared" si="107"/>
        <v>East</v>
      </c>
      <c r="M474" t="s">
        <v>86</v>
      </c>
      <c r="N474" t="str">
        <f t="shared" si="108"/>
        <v>Odisha</v>
      </c>
      <c r="O474" t="s">
        <v>87</v>
      </c>
      <c r="P474" t="str">
        <f t="shared" si="109"/>
        <v>Bhubaneswar</v>
      </c>
      <c r="Q474" t="s">
        <v>22</v>
      </c>
      <c r="R474" t="str">
        <f t="shared" si="110"/>
        <v>Office Supplies</v>
      </c>
      <c r="S474" t="s">
        <v>196</v>
      </c>
      <c r="T474" t="str">
        <f t="shared" si="111"/>
        <v>Storage</v>
      </c>
      <c r="U474" t="s">
        <v>2369</v>
      </c>
      <c r="V474" t="str">
        <f t="shared" si="112"/>
        <v>Pro Storage 756</v>
      </c>
      <c r="W474" t="s">
        <v>108</v>
      </c>
      <c r="X474" t="str">
        <f t="shared" si="113"/>
        <v>Standard Class</v>
      </c>
      <c r="Y474">
        <v>5</v>
      </c>
      <c r="Z474">
        <v>7</v>
      </c>
      <c r="AA474">
        <v>263.46</v>
      </c>
      <c r="AB474">
        <v>0</v>
      </c>
      <c r="AC474">
        <f t="shared" si="114"/>
        <v>0</v>
      </c>
      <c r="AD474">
        <v>1844.22</v>
      </c>
      <c r="AE474">
        <f t="shared" si="115"/>
        <v>1844.22</v>
      </c>
      <c r="AF474">
        <v>1094.21</v>
      </c>
      <c r="AG474">
        <v>750.01</v>
      </c>
      <c r="AH474">
        <f t="shared" si="116"/>
        <v>750.01</v>
      </c>
      <c r="AI474">
        <f t="shared" si="117"/>
        <v>0.40668141544935</v>
      </c>
      <c r="AJ474" t="s">
        <v>77</v>
      </c>
      <c r="AK474" t="str">
        <f t="shared" si="118"/>
        <v>Paid</v>
      </c>
      <c r="AL474" t="s">
        <v>78</v>
      </c>
      <c r="AM474" t="str">
        <f t="shared" si="119"/>
        <v>Completed</v>
      </c>
      <c r="AN474">
        <v>3</v>
      </c>
      <c r="AO474">
        <v>2024</v>
      </c>
      <c r="AP474" t="s">
        <v>79</v>
      </c>
    </row>
    <row r="475" spans="1:42">
      <c r="A475" t="s">
        <v>2370</v>
      </c>
      <c r="B475" s="3" t="s">
        <v>2371</v>
      </c>
      <c r="C475" s="3">
        <v>45609</v>
      </c>
      <c r="D475" t="s">
        <v>490</v>
      </c>
      <c r="E475" s="3">
        <v>45609</v>
      </c>
      <c r="F475" t="s">
        <v>2372</v>
      </c>
      <c r="G475" t="s">
        <v>182</v>
      </c>
      <c r="H475" t="str">
        <f t="shared" si="105"/>
        <v>Priya Menon</v>
      </c>
      <c r="I475" t="s">
        <v>71</v>
      </c>
      <c r="J475" t="str">
        <f t="shared" si="106"/>
        <v>Consumer</v>
      </c>
      <c r="K475" t="s">
        <v>11</v>
      </c>
      <c r="L475" t="str">
        <f t="shared" si="107"/>
        <v>West</v>
      </c>
      <c r="M475" t="s">
        <v>292</v>
      </c>
      <c r="N475" t="str">
        <f t="shared" si="108"/>
        <v>Goa</v>
      </c>
      <c r="O475" t="s">
        <v>293</v>
      </c>
      <c r="P475" t="str">
        <f t="shared" si="109"/>
        <v>Panaji</v>
      </c>
      <c r="Q475" t="s">
        <v>24</v>
      </c>
      <c r="R475" t="str">
        <f t="shared" si="110"/>
        <v>Technology</v>
      </c>
      <c r="S475" t="s">
        <v>133</v>
      </c>
      <c r="T475" t="str">
        <f t="shared" si="111"/>
        <v>Copiers</v>
      </c>
      <c r="U475" t="s">
        <v>2373</v>
      </c>
      <c r="V475" t="str">
        <f t="shared" si="112"/>
        <v>Max Copiers 829</v>
      </c>
      <c r="W475" t="s">
        <v>108</v>
      </c>
      <c r="X475" t="str">
        <f t="shared" si="113"/>
        <v>Standard Class</v>
      </c>
      <c r="Y475">
        <v>0</v>
      </c>
      <c r="Z475">
        <v>6</v>
      </c>
      <c r="AA475">
        <v>191.45</v>
      </c>
      <c r="AB475">
        <v>0.2</v>
      </c>
      <c r="AC475">
        <f t="shared" si="114"/>
        <v>0.2</v>
      </c>
      <c r="AD475">
        <v>918.96</v>
      </c>
      <c r="AE475">
        <f t="shared" si="115"/>
        <v>918.96</v>
      </c>
      <c r="AF475">
        <v>554.18</v>
      </c>
      <c r="AG475">
        <v>364.78</v>
      </c>
      <c r="AH475">
        <f t="shared" si="116"/>
        <v>364.78</v>
      </c>
      <c r="AI475">
        <f t="shared" si="117"/>
        <v>0.396948724645251</v>
      </c>
      <c r="AJ475" t="s">
        <v>77</v>
      </c>
      <c r="AK475" t="str">
        <f t="shared" si="118"/>
        <v>Paid</v>
      </c>
      <c r="AL475" t="s">
        <v>78</v>
      </c>
      <c r="AM475" t="str">
        <f t="shared" si="119"/>
        <v>Completed</v>
      </c>
      <c r="AN475">
        <v>11</v>
      </c>
      <c r="AO475">
        <v>2024</v>
      </c>
      <c r="AP475" t="s">
        <v>79</v>
      </c>
    </row>
    <row r="476" spans="1:42">
      <c r="A476" t="s">
        <v>2374</v>
      </c>
      <c r="B476" s="3" t="s">
        <v>1273</v>
      </c>
      <c r="C476" s="3">
        <v>45446</v>
      </c>
      <c r="D476" t="s">
        <v>2375</v>
      </c>
      <c r="E476" s="3">
        <v>45453</v>
      </c>
      <c r="F476" t="s">
        <v>2376</v>
      </c>
      <c r="G476" t="s">
        <v>251</v>
      </c>
      <c r="H476" t="str">
        <f t="shared" si="105"/>
        <v>Diya Patel</v>
      </c>
      <c r="I476" t="s">
        <v>147</v>
      </c>
      <c r="J476" t="str">
        <f t="shared" si="106"/>
        <v>Corporate</v>
      </c>
      <c r="K476" t="s">
        <v>8</v>
      </c>
      <c r="L476" t="str">
        <f t="shared" si="107"/>
        <v>North</v>
      </c>
      <c r="M476" t="s">
        <v>194</v>
      </c>
      <c r="N476" t="str">
        <f t="shared" si="108"/>
        <v>Punjab</v>
      </c>
      <c r="O476" t="s">
        <v>195</v>
      </c>
      <c r="P476" t="str">
        <f t="shared" si="109"/>
        <v>Ludhiana</v>
      </c>
      <c r="Q476" t="s">
        <v>19</v>
      </c>
      <c r="R476" t="str">
        <f t="shared" si="110"/>
        <v>Furniture</v>
      </c>
      <c r="S476" t="s">
        <v>106</v>
      </c>
      <c r="T476" t="str">
        <f t="shared" si="111"/>
        <v>Furnishings</v>
      </c>
      <c r="U476" t="s">
        <v>2377</v>
      </c>
      <c r="V476" t="str">
        <f t="shared" si="112"/>
        <v>Prime Furnishings 827</v>
      </c>
      <c r="W476" t="s">
        <v>108</v>
      </c>
      <c r="X476" t="str">
        <f t="shared" si="113"/>
        <v>Standard Class</v>
      </c>
      <c r="Y476">
        <v>7</v>
      </c>
      <c r="Z476">
        <v>3</v>
      </c>
      <c r="AA476">
        <v>1633.57</v>
      </c>
      <c r="AB476">
        <v>0</v>
      </c>
      <c r="AC476">
        <f t="shared" si="114"/>
        <v>0</v>
      </c>
      <c r="AD476">
        <v>4900.71</v>
      </c>
      <c r="AE476">
        <f t="shared" si="115"/>
        <v>4900.71</v>
      </c>
      <c r="AF476">
        <v>2713.9</v>
      </c>
      <c r="AG476">
        <v>2186.81</v>
      </c>
      <c r="AH476">
        <f t="shared" si="116"/>
        <v>2186.81</v>
      </c>
      <c r="AI476">
        <f t="shared" si="117"/>
        <v>0.446223098285759</v>
      </c>
      <c r="AJ476" t="s">
        <v>77</v>
      </c>
      <c r="AK476" t="str">
        <f t="shared" si="118"/>
        <v>Paid</v>
      </c>
      <c r="AL476" t="s">
        <v>78</v>
      </c>
      <c r="AM476" t="str">
        <f t="shared" si="119"/>
        <v>Completed</v>
      </c>
      <c r="AN476">
        <v>6</v>
      </c>
      <c r="AO476">
        <v>2024</v>
      </c>
      <c r="AP476" t="s">
        <v>79</v>
      </c>
    </row>
    <row r="477" spans="1:42">
      <c r="A477" t="s">
        <v>2378</v>
      </c>
      <c r="B477" s="3" t="s">
        <v>2379</v>
      </c>
      <c r="C477" s="3">
        <v>45717</v>
      </c>
      <c r="D477" t="s">
        <v>2380</v>
      </c>
      <c r="E477" s="3">
        <v>45724</v>
      </c>
      <c r="F477" t="s">
        <v>2381</v>
      </c>
      <c r="G477" t="s">
        <v>123</v>
      </c>
      <c r="H477" t="str">
        <f t="shared" si="105"/>
        <v>Vikram Iyer</v>
      </c>
      <c r="I477" t="s">
        <v>71</v>
      </c>
      <c r="J477" t="str">
        <f t="shared" si="106"/>
        <v>Consumer</v>
      </c>
      <c r="K477" t="s">
        <v>7</v>
      </c>
      <c r="L477" t="str">
        <f t="shared" si="107"/>
        <v>East</v>
      </c>
      <c r="M477" t="s">
        <v>160</v>
      </c>
      <c r="N477" t="str">
        <f t="shared" si="108"/>
        <v>West Bengal</v>
      </c>
      <c r="O477" t="s">
        <v>161</v>
      </c>
      <c r="P477" t="str">
        <f t="shared" si="109"/>
        <v>Kolkata</v>
      </c>
      <c r="Q477" t="s">
        <v>19</v>
      </c>
      <c r="R477" t="str">
        <f t="shared" si="110"/>
        <v>Furniture</v>
      </c>
      <c r="S477" t="s">
        <v>116</v>
      </c>
      <c r="T477" t="str">
        <f t="shared" si="111"/>
        <v>Chairs</v>
      </c>
      <c r="U477" t="s">
        <v>2382</v>
      </c>
      <c r="V477" t="str">
        <f t="shared" si="112"/>
        <v>Eco Chairs 365</v>
      </c>
      <c r="W477" t="s">
        <v>90</v>
      </c>
      <c r="X477" t="str">
        <f t="shared" si="113"/>
        <v>Same Day</v>
      </c>
      <c r="Y477">
        <v>7</v>
      </c>
      <c r="Z477">
        <v>8</v>
      </c>
      <c r="AA477">
        <v>3378.82</v>
      </c>
      <c r="AB477">
        <v>0.25</v>
      </c>
      <c r="AC477">
        <f t="shared" si="114"/>
        <v>0.25</v>
      </c>
      <c r="AD477">
        <v>20272.92</v>
      </c>
      <c r="AE477">
        <f t="shared" si="115"/>
        <v>20272.92</v>
      </c>
      <c r="AF477">
        <v>15873.38</v>
      </c>
      <c r="AG477">
        <v>4399.54</v>
      </c>
      <c r="AH477">
        <f t="shared" si="116"/>
        <v>4399.54</v>
      </c>
      <c r="AI477">
        <f t="shared" si="117"/>
        <v>0.217015605053441</v>
      </c>
      <c r="AJ477" t="s">
        <v>177</v>
      </c>
      <c r="AK477" t="str">
        <f t="shared" si="118"/>
        <v>Pending</v>
      </c>
      <c r="AL477" t="s">
        <v>164</v>
      </c>
      <c r="AM477" t="str">
        <f t="shared" si="119"/>
        <v>Returned</v>
      </c>
      <c r="AN477">
        <v>3</v>
      </c>
      <c r="AO477">
        <v>2025</v>
      </c>
      <c r="AP477" t="s">
        <v>79</v>
      </c>
    </row>
    <row r="478" spans="1:42">
      <c r="A478" t="s">
        <v>2383</v>
      </c>
      <c r="B478" s="3" t="s">
        <v>2384</v>
      </c>
      <c r="C478" s="3">
        <v>45419</v>
      </c>
      <c r="D478" t="s">
        <v>2385</v>
      </c>
      <c r="E478" s="3">
        <v>45426</v>
      </c>
      <c r="F478" t="s">
        <v>2386</v>
      </c>
      <c r="G478" t="s">
        <v>208</v>
      </c>
      <c r="H478" t="str">
        <f t="shared" si="105"/>
        <v>Sneha Kapoor</v>
      </c>
      <c r="I478" t="s">
        <v>85</v>
      </c>
      <c r="J478" t="str">
        <f t="shared" si="106"/>
        <v>Small Business</v>
      </c>
      <c r="K478" t="s">
        <v>8</v>
      </c>
      <c r="L478" t="str">
        <f t="shared" si="107"/>
        <v>North</v>
      </c>
      <c r="M478" t="s">
        <v>72</v>
      </c>
      <c r="N478" t="str">
        <f t="shared" si="108"/>
        <v>Rajasthan</v>
      </c>
      <c r="O478" t="s">
        <v>73</v>
      </c>
      <c r="P478" t="str">
        <f t="shared" si="109"/>
        <v>Jaipur</v>
      </c>
      <c r="Q478" t="s">
        <v>22</v>
      </c>
      <c r="R478" t="str">
        <f t="shared" si="110"/>
        <v>Office Supplies</v>
      </c>
      <c r="S478" t="s">
        <v>196</v>
      </c>
      <c r="T478" t="str">
        <f t="shared" si="111"/>
        <v>Storage</v>
      </c>
      <c r="U478" t="s">
        <v>2387</v>
      </c>
      <c r="V478" t="str">
        <f t="shared" si="112"/>
        <v>Classic Storage 545</v>
      </c>
      <c r="W478" t="s">
        <v>98</v>
      </c>
      <c r="X478" t="str">
        <f t="shared" si="113"/>
        <v>First Class</v>
      </c>
      <c r="Y478">
        <v>7</v>
      </c>
      <c r="Z478">
        <v>3</v>
      </c>
      <c r="AA478">
        <v>383.58</v>
      </c>
      <c r="AB478">
        <v>0.1</v>
      </c>
      <c r="AC478">
        <f t="shared" si="114"/>
        <v>0.1</v>
      </c>
      <c r="AD478">
        <v>1035.67</v>
      </c>
      <c r="AE478">
        <f t="shared" si="115"/>
        <v>1035.666</v>
      </c>
      <c r="AF478">
        <v>595.42</v>
      </c>
      <c r="AG478">
        <v>440.25</v>
      </c>
      <c r="AH478">
        <f t="shared" si="116"/>
        <v>440.246</v>
      </c>
      <c r="AI478">
        <f t="shared" si="117"/>
        <v>0.425084921200464</v>
      </c>
      <c r="AJ478" t="s">
        <v>77</v>
      </c>
      <c r="AK478" t="str">
        <f t="shared" si="118"/>
        <v>Paid</v>
      </c>
      <c r="AL478" t="s">
        <v>78</v>
      </c>
      <c r="AM478" t="str">
        <f t="shared" si="119"/>
        <v>Completed</v>
      </c>
      <c r="AN478">
        <v>5</v>
      </c>
      <c r="AO478">
        <v>2024</v>
      </c>
      <c r="AP478" t="s">
        <v>79</v>
      </c>
    </row>
    <row r="479" spans="1:42">
      <c r="A479" t="s">
        <v>2388</v>
      </c>
      <c r="B479" s="3" t="s">
        <v>2389</v>
      </c>
      <c r="C479" s="3">
        <v>45892</v>
      </c>
      <c r="D479" t="s">
        <v>2390</v>
      </c>
      <c r="E479" s="3">
        <v>45897</v>
      </c>
      <c r="F479" t="s">
        <v>2391</v>
      </c>
      <c r="G479" t="s">
        <v>123</v>
      </c>
      <c r="H479" t="str">
        <f t="shared" si="105"/>
        <v>Vikram Iyer</v>
      </c>
      <c r="I479" t="s">
        <v>147</v>
      </c>
      <c r="J479" t="str">
        <f t="shared" si="106"/>
        <v>Corporate</v>
      </c>
      <c r="K479" t="s">
        <v>11</v>
      </c>
      <c r="L479" t="str">
        <f t="shared" si="107"/>
        <v>West</v>
      </c>
      <c r="M479" t="s">
        <v>278</v>
      </c>
      <c r="N479" t="str">
        <f t="shared" si="108"/>
        <v>Gujarat</v>
      </c>
      <c r="O479" t="s">
        <v>279</v>
      </c>
      <c r="P479" t="str">
        <f t="shared" si="109"/>
        <v>Ahmedabad</v>
      </c>
      <c r="Q479" t="s">
        <v>19</v>
      </c>
      <c r="R479" t="str">
        <f t="shared" si="110"/>
        <v>Furniture</v>
      </c>
      <c r="S479" t="s">
        <v>116</v>
      </c>
      <c r="T479" t="str">
        <f t="shared" si="111"/>
        <v>Chairs</v>
      </c>
      <c r="U479" t="s">
        <v>2392</v>
      </c>
      <c r="V479" t="str">
        <f t="shared" si="112"/>
        <v>Pro Chairs 186</v>
      </c>
      <c r="W479" t="s">
        <v>108</v>
      </c>
      <c r="X479" t="str">
        <f t="shared" si="113"/>
        <v>Standard Class</v>
      </c>
      <c r="Y479">
        <v>5</v>
      </c>
      <c r="Z479">
        <v>6</v>
      </c>
      <c r="AA479">
        <v>2193.23</v>
      </c>
      <c r="AB479">
        <v>0.1</v>
      </c>
      <c r="AC479">
        <f t="shared" si="114"/>
        <v>0.1</v>
      </c>
      <c r="AD479">
        <v>11843.44</v>
      </c>
      <c r="AE479">
        <f t="shared" si="115"/>
        <v>11843.442</v>
      </c>
      <c r="AF479">
        <v>9356.88</v>
      </c>
      <c r="AG479">
        <v>2486.56</v>
      </c>
      <c r="AH479">
        <f t="shared" si="116"/>
        <v>2486.562</v>
      </c>
      <c r="AI479">
        <f t="shared" si="117"/>
        <v>0.20995264721185</v>
      </c>
      <c r="AJ479" t="s">
        <v>77</v>
      </c>
      <c r="AK479" t="str">
        <f t="shared" si="118"/>
        <v>Paid</v>
      </c>
      <c r="AL479" t="s">
        <v>118</v>
      </c>
      <c r="AM479" t="str">
        <f t="shared" si="119"/>
        <v>Cancelled</v>
      </c>
      <c r="AN479">
        <v>8</v>
      </c>
      <c r="AO479">
        <v>2025</v>
      </c>
      <c r="AP479" t="s">
        <v>79</v>
      </c>
    </row>
    <row r="480" spans="1:42">
      <c r="A480" t="s">
        <v>2393</v>
      </c>
      <c r="B480" s="3" t="s">
        <v>2394</v>
      </c>
      <c r="C480" s="3">
        <v>45452</v>
      </c>
      <c r="D480" t="s">
        <v>2395</v>
      </c>
      <c r="E480" s="3">
        <v>45456</v>
      </c>
      <c r="F480" t="s">
        <v>2396</v>
      </c>
      <c r="G480" t="s">
        <v>84</v>
      </c>
      <c r="H480" t="str">
        <f t="shared" si="105"/>
        <v>Mira Das</v>
      </c>
      <c r="I480" t="s">
        <v>154</v>
      </c>
      <c r="J480" t="str">
        <f t="shared" si="106"/>
        <v>Home Office</v>
      </c>
      <c r="L480" t="str">
        <f t="shared" si="107"/>
        <v/>
      </c>
      <c r="M480" t="s">
        <v>214</v>
      </c>
      <c r="N480" t="str">
        <f t="shared" si="108"/>
        <v>Uttar Pradesh</v>
      </c>
      <c r="O480" t="s">
        <v>215</v>
      </c>
      <c r="P480" t="str">
        <f t="shared" si="109"/>
        <v>Noida</v>
      </c>
      <c r="Q480" t="s">
        <v>24</v>
      </c>
      <c r="R480" t="str">
        <f t="shared" si="110"/>
        <v>Technology</v>
      </c>
      <c r="S480" t="s">
        <v>427</v>
      </c>
      <c r="T480" t="str">
        <f t="shared" si="111"/>
        <v>Machines</v>
      </c>
      <c r="U480" t="s">
        <v>2397</v>
      </c>
      <c r="V480" t="str">
        <f t="shared" si="112"/>
        <v>Classic Machines 561</v>
      </c>
      <c r="W480" t="s">
        <v>90</v>
      </c>
      <c r="X480" t="str">
        <f t="shared" si="113"/>
        <v>Same Day</v>
      </c>
      <c r="Y480">
        <v>4</v>
      </c>
      <c r="Z480">
        <v>7</v>
      </c>
      <c r="AA480">
        <v>4079.71</v>
      </c>
      <c r="AB480">
        <v>0.1</v>
      </c>
      <c r="AC480">
        <f t="shared" si="114"/>
        <v>0.1</v>
      </c>
      <c r="AD480">
        <v>25702.17</v>
      </c>
      <c r="AE480">
        <f t="shared" si="115"/>
        <v>25702.173</v>
      </c>
      <c r="AF480">
        <v>14571.48</v>
      </c>
      <c r="AG480">
        <v>11130.69</v>
      </c>
      <c r="AH480">
        <f t="shared" si="116"/>
        <v>11130.693</v>
      </c>
      <c r="AI480">
        <f t="shared" si="117"/>
        <v>0.433064278261609</v>
      </c>
      <c r="AJ480" t="s">
        <v>163</v>
      </c>
      <c r="AK480" t="str">
        <f t="shared" si="118"/>
        <v>Refunded</v>
      </c>
      <c r="AL480" t="s">
        <v>164</v>
      </c>
      <c r="AM480" t="str">
        <f t="shared" si="119"/>
        <v>Returned</v>
      </c>
      <c r="AN480">
        <v>6</v>
      </c>
      <c r="AO480">
        <v>2024</v>
      </c>
      <c r="AP480" t="s">
        <v>79</v>
      </c>
    </row>
    <row r="481" spans="1:42">
      <c r="A481" t="s">
        <v>2398</v>
      </c>
      <c r="B481" s="3" t="s">
        <v>2399</v>
      </c>
      <c r="C481" s="3">
        <v>45345</v>
      </c>
      <c r="D481" t="s">
        <v>2143</v>
      </c>
      <c r="E481" s="3">
        <v>45342</v>
      </c>
      <c r="F481" t="s">
        <v>2400</v>
      </c>
      <c r="G481" t="s">
        <v>103</v>
      </c>
      <c r="H481" t="str">
        <f t="shared" si="105"/>
        <v>Arjun Bose</v>
      </c>
      <c r="I481" t="s">
        <v>147</v>
      </c>
      <c r="J481" t="str">
        <f t="shared" si="106"/>
        <v>Corporate</v>
      </c>
      <c r="K481" t="s">
        <v>7</v>
      </c>
      <c r="L481" t="str">
        <f t="shared" si="107"/>
        <v>East</v>
      </c>
      <c r="M481" t="s">
        <v>86</v>
      </c>
      <c r="N481" t="str">
        <f t="shared" si="108"/>
        <v>Odisha</v>
      </c>
      <c r="O481" t="s">
        <v>87</v>
      </c>
      <c r="P481" t="str">
        <f t="shared" si="109"/>
        <v>Bhubaneswar</v>
      </c>
      <c r="Q481" t="s">
        <v>19</v>
      </c>
      <c r="R481" t="str">
        <f t="shared" si="110"/>
        <v>Furniture</v>
      </c>
      <c r="S481" t="s">
        <v>116</v>
      </c>
      <c r="T481" t="str">
        <f t="shared" si="111"/>
        <v>Chairs</v>
      </c>
      <c r="U481" t="s">
        <v>2401</v>
      </c>
      <c r="V481" t="str">
        <f t="shared" si="112"/>
        <v>Max Chairs 594</v>
      </c>
      <c r="W481" t="s">
        <v>76</v>
      </c>
      <c r="X481" t="str">
        <f t="shared" si="113"/>
        <v>Second Class</v>
      </c>
      <c r="Y481">
        <v>-3</v>
      </c>
      <c r="Z481">
        <v>1</v>
      </c>
      <c r="AA481">
        <v>2202.55</v>
      </c>
      <c r="AC481">
        <f t="shared" si="114"/>
        <v>0</v>
      </c>
      <c r="AD481">
        <v>1651.91</v>
      </c>
      <c r="AE481">
        <f t="shared" si="115"/>
        <v>2202.55</v>
      </c>
      <c r="AF481">
        <v>1034.57</v>
      </c>
      <c r="AG481">
        <v>617.34</v>
      </c>
      <c r="AH481">
        <f t="shared" si="116"/>
        <v>1167.98</v>
      </c>
      <c r="AI481">
        <f t="shared" si="117"/>
        <v>0.53028535107035</v>
      </c>
      <c r="AJ481" t="s">
        <v>77</v>
      </c>
      <c r="AK481" t="str">
        <f t="shared" si="118"/>
        <v>Paid</v>
      </c>
      <c r="AL481" t="s">
        <v>78</v>
      </c>
      <c r="AM481" t="str">
        <f t="shared" si="119"/>
        <v>Completed</v>
      </c>
      <c r="AN481">
        <v>2</v>
      </c>
      <c r="AO481">
        <v>2024</v>
      </c>
      <c r="AP481" t="s">
        <v>253</v>
      </c>
    </row>
    <row r="482" spans="1:42">
      <c r="A482" t="s">
        <v>2402</v>
      </c>
      <c r="B482" s="3" t="s">
        <v>430</v>
      </c>
      <c r="C482" s="3">
        <v>45662</v>
      </c>
      <c r="D482" t="s">
        <v>2349</v>
      </c>
      <c r="E482" s="3">
        <v>45666</v>
      </c>
      <c r="F482" t="s">
        <v>2403</v>
      </c>
      <c r="G482" t="s">
        <v>132</v>
      </c>
      <c r="H482" t="str">
        <f t="shared" si="105"/>
        <v>Neha Gupta</v>
      </c>
      <c r="I482" t="s">
        <v>85</v>
      </c>
      <c r="J482" t="str">
        <f t="shared" si="106"/>
        <v>Small Business</v>
      </c>
      <c r="K482" t="s">
        <v>10</v>
      </c>
      <c r="L482" t="str">
        <f t="shared" si="107"/>
        <v>South</v>
      </c>
      <c r="M482" t="s">
        <v>382</v>
      </c>
      <c r="N482" t="str">
        <f t="shared" si="108"/>
        <v>Tamil Nadu</v>
      </c>
      <c r="O482" t="s">
        <v>383</v>
      </c>
      <c r="P482" t="str">
        <f t="shared" si="109"/>
        <v>Chennai</v>
      </c>
      <c r="Q482" t="s">
        <v>22</v>
      </c>
      <c r="R482" t="str">
        <f t="shared" si="110"/>
        <v>Office Supplies</v>
      </c>
      <c r="S482" t="s">
        <v>196</v>
      </c>
      <c r="T482" t="str">
        <f t="shared" si="111"/>
        <v>Storage</v>
      </c>
      <c r="U482" t="s">
        <v>2404</v>
      </c>
      <c r="V482" t="str">
        <f t="shared" si="112"/>
        <v>Eco Storage 923</v>
      </c>
      <c r="X482" t="str">
        <f t="shared" si="113"/>
        <v/>
      </c>
      <c r="Y482">
        <v>4</v>
      </c>
      <c r="Z482">
        <v>5</v>
      </c>
      <c r="AA482">
        <v>905.16</v>
      </c>
      <c r="AB482">
        <v>0</v>
      </c>
      <c r="AC482">
        <f t="shared" si="114"/>
        <v>0</v>
      </c>
      <c r="AD482">
        <v>4525.8</v>
      </c>
      <c r="AE482">
        <f t="shared" si="115"/>
        <v>4525.8</v>
      </c>
      <c r="AF482">
        <v>2714.51</v>
      </c>
      <c r="AG482">
        <v>1811.29</v>
      </c>
      <c r="AH482">
        <f t="shared" si="116"/>
        <v>1811.29</v>
      </c>
      <c r="AI482">
        <f t="shared" si="117"/>
        <v>0.400214326748862</v>
      </c>
      <c r="AJ482" t="s">
        <v>77</v>
      </c>
      <c r="AK482" t="str">
        <f t="shared" si="118"/>
        <v>Paid</v>
      </c>
      <c r="AL482" t="s">
        <v>78</v>
      </c>
      <c r="AM482" t="str">
        <f t="shared" si="119"/>
        <v>Completed</v>
      </c>
      <c r="AN482">
        <v>1</v>
      </c>
      <c r="AO482">
        <v>2025</v>
      </c>
      <c r="AP482" t="s">
        <v>79</v>
      </c>
    </row>
    <row r="483" spans="1:42">
      <c r="A483" t="s">
        <v>2405</v>
      </c>
      <c r="B483" s="3" t="s">
        <v>2406</v>
      </c>
      <c r="C483" s="3">
        <v>45813</v>
      </c>
      <c r="D483" t="s">
        <v>2407</v>
      </c>
      <c r="E483" s="3">
        <v>45821</v>
      </c>
      <c r="F483" t="s">
        <v>2408</v>
      </c>
      <c r="G483" t="s">
        <v>95</v>
      </c>
      <c r="H483" t="str">
        <f t="shared" si="105"/>
        <v>Isha Nair</v>
      </c>
      <c r="I483" t="s">
        <v>71</v>
      </c>
      <c r="J483" t="str">
        <f t="shared" si="106"/>
        <v>Consumer</v>
      </c>
      <c r="K483" t="s">
        <v>8</v>
      </c>
      <c r="L483" t="str">
        <f t="shared" si="107"/>
        <v>North</v>
      </c>
      <c r="M483" t="s">
        <v>214</v>
      </c>
      <c r="N483" t="str">
        <f t="shared" si="108"/>
        <v>Uttar Pradesh</v>
      </c>
      <c r="O483" t="s">
        <v>215</v>
      </c>
      <c r="P483" t="str">
        <f t="shared" si="109"/>
        <v>Noida</v>
      </c>
      <c r="Q483" t="s">
        <v>24</v>
      </c>
      <c r="R483" t="str">
        <f t="shared" si="110"/>
        <v>Technology</v>
      </c>
      <c r="S483" t="s">
        <v>427</v>
      </c>
      <c r="T483" t="str">
        <f t="shared" si="111"/>
        <v>Machines</v>
      </c>
      <c r="U483" t="s">
        <v>2409</v>
      </c>
      <c r="V483" t="str">
        <f t="shared" si="112"/>
        <v>Classic Machines 287</v>
      </c>
      <c r="W483" t="s">
        <v>90</v>
      </c>
      <c r="X483" t="str">
        <f t="shared" si="113"/>
        <v>Same Day</v>
      </c>
      <c r="Y483">
        <v>8</v>
      </c>
      <c r="Z483">
        <v>4</v>
      </c>
      <c r="AA483">
        <v>2793.88</v>
      </c>
      <c r="AB483" t="s">
        <v>1223</v>
      </c>
      <c r="AC483" t="str">
        <f t="shared" si="114"/>
        <v>85%</v>
      </c>
      <c r="AD483">
        <v>10616.74</v>
      </c>
      <c r="AE483">
        <f t="shared" si="115"/>
        <v>1676.328</v>
      </c>
      <c r="AF483">
        <v>6353.59</v>
      </c>
      <c r="AG483">
        <v>4263.15</v>
      </c>
      <c r="AH483">
        <f t="shared" si="116"/>
        <v>-4677.262</v>
      </c>
      <c r="AI483">
        <f t="shared" si="117"/>
        <v>-2.79018306679838</v>
      </c>
      <c r="AJ483" t="s">
        <v>77</v>
      </c>
      <c r="AK483" t="str">
        <f t="shared" si="118"/>
        <v>Paid</v>
      </c>
      <c r="AL483" t="s">
        <v>78</v>
      </c>
      <c r="AM483" t="str">
        <f t="shared" si="119"/>
        <v>Completed</v>
      </c>
      <c r="AN483">
        <v>6</v>
      </c>
      <c r="AO483">
        <v>2025</v>
      </c>
      <c r="AP483" t="s">
        <v>79</v>
      </c>
    </row>
    <row r="484" spans="1:42">
      <c r="A484" t="s">
        <v>2410</v>
      </c>
      <c r="B484" s="3" t="s">
        <v>306</v>
      </c>
      <c r="C484" s="3">
        <v>45495</v>
      </c>
      <c r="D484" t="s">
        <v>306</v>
      </c>
      <c r="E484" s="3">
        <v>45495</v>
      </c>
      <c r="F484" t="s">
        <v>2411</v>
      </c>
      <c r="G484" t="s">
        <v>182</v>
      </c>
      <c r="H484" t="str">
        <f t="shared" si="105"/>
        <v>Priya Menon</v>
      </c>
      <c r="I484" t="s">
        <v>71</v>
      </c>
      <c r="J484" t="str">
        <f t="shared" si="106"/>
        <v>Consumer</v>
      </c>
      <c r="K484" t="s">
        <v>10</v>
      </c>
      <c r="L484" t="str">
        <f t="shared" si="107"/>
        <v>South</v>
      </c>
      <c r="M484" t="s">
        <v>272</v>
      </c>
      <c r="N484" t="str">
        <f t="shared" si="108"/>
        <v>Karnataka</v>
      </c>
      <c r="O484" t="s">
        <v>273</v>
      </c>
      <c r="P484" t="str">
        <f t="shared" si="109"/>
        <v>Bengaluru</v>
      </c>
      <c r="Q484" t="s">
        <v>24</v>
      </c>
      <c r="R484" t="str">
        <f t="shared" si="110"/>
        <v>Technology</v>
      </c>
      <c r="S484" t="s">
        <v>126</v>
      </c>
      <c r="T484" t="str">
        <f t="shared" si="111"/>
        <v>Accessories</v>
      </c>
      <c r="U484" t="s">
        <v>2412</v>
      </c>
      <c r="V484" t="str">
        <f t="shared" si="112"/>
        <v>Basic Accessories 518</v>
      </c>
      <c r="W484" t="s">
        <v>76</v>
      </c>
      <c r="X484" t="str">
        <f t="shared" si="113"/>
        <v>Second Class</v>
      </c>
      <c r="Y484">
        <v>0</v>
      </c>
      <c r="Z484">
        <v>3</v>
      </c>
      <c r="AA484">
        <v>1286.22</v>
      </c>
      <c r="AB484">
        <v>0.25</v>
      </c>
      <c r="AC484">
        <f t="shared" si="114"/>
        <v>0.25</v>
      </c>
      <c r="AD484">
        <v>2893.99</v>
      </c>
      <c r="AE484">
        <f t="shared" si="115"/>
        <v>2893.995</v>
      </c>
      <c r="AF484">
        <v>1856.03</v>
      </c>
      <c r="AG484">
        <v>1037.96</v>
      </c>
      <c r="AH484">
        <f t="shared" si="116"/>
        <v>1037.965</v>
      </c>
      <c r="AI484">
        <f t="shared" si="117"/>
        <v>0.358661642470011</v>
      </c>
      <c r="AJ484" t="s">
        <v>77</v>
      </c>
      <c r="AK484" t="str">
        <f t="shared" si="118"/>
        <v>Paid</v>
      </c>
      <c r="AL484" t="s">
        <v>78</v>
      </c>
      <c r="AM484" t="str">
        <f t="shared" si="119"/>
        <v>Completed</v>
      </c>
      <c r="AN484">
        <v>7</v>
      </c>
      <c r="AO484">
        <v>2024</v>
      </c>
      <c r="AP484" t="s">
        <v>79</v>
      </c>
    </row>
    <row r="485" spans="1:42">
      <c r="A485" t="s">
        <v>2413</v>
      </c>
      <c r="B485" s="3" t="s">
        <v>1458</v>
      </c>
      <c r="C485" s="3">
        <v>45651</v>
      </c>
      <c r="D485" t="s">
        <v>2414</v>
      </c>
      <c r="E485" s="3">
        <v>45651</v>
      </c>
      <c r="F485" t="s">
        <v>2415</v>
      </c>
      <c r="G485" t="s">
        <v>84</v>
      </c>
      <c r="H485" t="str">
        <f t="shared" si="105"/>
        <v>Mira Das</v>
      </c>
      <c r="I485" t="s">
        <v>147</v>
      </c>
      <c r="J485" t="str">
        <f t="shared" si="106"/>
        <v>Corporate</v>
      </c>
      <c r="K485" t="s">
        <v>7</v>
      </c>
      <c r="L485" t="str">
        <f t="shared" si="107"/>
        <v>East</v>
      </c>
      <c r="M485" t="s">
        <v>227</v>
      </c>
      <c r="N485" t="str">
        <f t="shared" si="108"/>
        <v>Bihar</v>
      </c>
      <c r="O485" t="s">
        <v>228</v>
      </c>
      <c r="P485" t="str">
        <f t="shared" si="109"/>
        <v>Patna</v>
      </c>
      <c r="Q485" t="s">
        <v>24</v>
      </c>
      <c r="R485" t="str">
        <f t="shared" si="110"/>
        <v>Technology</v>
      </c>
      <c r="S485" t="s">
        <v>133</v>
      </c>
      <c r="T485" t="str">
        <f t="shared" si="111"/>
        <v>Copiers</v>
      </c>
      <c r="U485" t="s">
        <v>2416</v>
      </c>
      <c r="V485" t="str">
        <f t="shared" si="112"/>
        <v>Pro Copiers 984</v>
      </c>
      <c r="W485" t="s">
        <v>108</v>
      </c>
      <c r="X485" t="str">
        <f t="shared" si="113"/>
        <v>Standard Class</v>
      </c>
      <c r="Y485">
        <v>0</v>
      </c>
      <c r="Z485">
        <v>1</v>
      </c>
      <c r="AA485">
        <v>829.66</v>
      </c>
      <c r="AB485">
        <v>0.15</v>
      </c>
      <c r="AC485">
        <f t="shared" si="114"/>
        <v>0.15</v>
      </c>
      <c r="AD485">
        <v>705.21</v>
      </c>
      <c r="AE485">
        <f t="shared" si="115"/>
        <v>705.211</v>
      </c>
      <c r="AF485">
        <v>438.32</v>
      </c>
      <c r="AG485">
        <v>266.89</v>
      </c>
      <c r="AH485">
        <f t="shared" si="116"/>
        <v>266.891</v>
      </c>
      <c r="AI485">
        <f t="shared" si="117"/>
        <v>0.378455526076593</v>
      </c>
      <c r="AJ485" t="s">
        <v>77</v>
      </c>
      <c r="AK485" t="str">
        <f t="shared" si="118"/>
        <v>Paid</v>
      </c>
      <c r="AL485" t="s">
        <v>78</v>
      </c>
      <c r="AM485" t="str">
        <f t="shared" si="119"/>
        <v>Completed</v>
      </c>
      <c r="AN485">
        <v>12</v>
      </c>
      <c r="AO485">
        <v>2024</v>
      </c>
      <c r="AP485" t="s">
        <v>79</v>
      </c>
    </row>
    <row r="486" spans="1:42">
      <c r="A486" t="s">
        <v>2417</v>
      </c>
      <c r="B486" s="3" t="s">
        <v>2418</v>
      </c>
      <c r="C486" s="3">
        <v>45654</v>
      </c>
      <c r="D486" t="s">
        <v>2419</v>
      </c>
      <c r="E486" s="3">
        <v>45657</v>
      </c>
      <c r="F486" t="s">
        <v>2420</v>
      </c>
      <c r="G486" t="s">
        <v>84</v>
      </c>
      <c r="H486" t="str">
        <f t="shared" si="105"/>
        <v>Mira Das</v>
      </c>
      <c r="I486" t="s">
        <v>85</v>
      </c>
      <c r="J486" t="str">
        <f t="shared" si="106"/>
        <v>Small Business</v>
      </c>
      <c r="K486" t="s">
        <v>10</v>
      </c>
      <c r="L486" t="str">
        <f t="shared" si="107"/>
        <v>South</v>
      </c>
      <c r="M486" t="s">
        <v>139</v>
      </c>
      <c r="N486" t="str">
        <f t="shared" si="108"/>
        <v>Andhra Pradesh</v>
      </c>
      <c r="O486" t="s">
        <v>140</v>
      </c>
      <c r="P486" t="str">
        <f t="shared" si="109"/>
        <v>Vijayawada</v>
      </c>
      <c r="Q486" t="s">
        <v>19</v>
      </c>
      <c r="R486" t="str">
        <f t="shared" si="110"/>
        <v>Furniture</v>
      </c>
      <c r="S486" t="s">
        <v>106</v>
      </c>
      <c r="T486" t="str">
        <f t="shared" si="111"/>
        <v>Furnishings</v>
      </c>
      <c r="U486" t="s">
        <v>2421</v>
      </c>
      <c r="V486" t="str">
        <f t="shared" si="112"/>
        <v>Max Furnishings 297</v>
      </c>
      <c r="W486" t="s">
        <v>98</v>
      </c>
      <c r="X486" t="str">
        <f t="shared" si="113"/>
        <v>First Class</v>
      </c>
      <c r="Y486">
        <v>3</v>
      </c>
      <c r="Z486">
        <v>6</v>
      </c>
      <c r="AA486">
        <v>3641.22</v>
      </c>
      <c r="AB486">
        <v>0.25</v>
      </c>
      <c r="AC486">
        <f t="shared" si="114"/>
        <v>0.25</v>
      </c>
      <c r="AD486">
        <v>16385.49</v>
      </c>
      <c r="AE486">
        <f t="shared" si="115"/>
        <v>16385.49</v>
      </c>
      <c r="AF486">
        <v>13679.24</v>
      </c>
      <c r="AG486">
        <v>2706.25</v>
      </c>
      <c r="AH486">
        <f t="shared" si="116"/>
        <v>2706.25</v>
      </c>
      <c r="AI486">
        <f t="shared" si="117"/>
        <v>0.165161371432896</v>
      </c>
      <c r="AJ486" t="s">
        <v>77</v>
      </c>
      <c r="AK486" t="str">
        <f t="shared" si="118"/>
        <v>Paid</v>
      </c>
      <c r="AL486" t="s">
        <v>78</v>
      </c>
      <c r="AM486" t="str">
        <f t="shared" si="119"/>
        <v>Completed</v>
      </c>
      <c r="AN486">
        <v>12</v>
      </c>
      <c r="AO486">
        <v>2024</v>
      </c>
      <c r="AP486" t="s">
        <v>79</v>
      </c>
    </row>
    <row r="487" spans="1:42">
      <c r="A487" t="s">
        <v>2422</v>
      </c>
      <c r="B487" s="3" t="s">
        <v>1891</v>
      </c>
      <c r="C487" s="3">
        <v>45679</v>
      </c>
      <c r="D487" t="s">
        <v>225</v>
      </c>
      <c r="E487" s="3">
        <v>45680</v>
      </c>
      <c r="F487" t="s">
        <v>2423</v>
      </c>
      <c r="G487" t="s">
        <v>188</v>
      </c>
      <c r="H487" t="str">
        <f t="shared" si="105"/>
        <v>Rahul Verma</v>
      </c>
      <c r="I487" t="s">
        <v>147</v>
      </c>
      <c r="J487" t="str">
        <f t="shared" si="106"/>
        <v>Corporate</v>
      </c>
      <c r="K487" t="s">
        <v>11</v>
      </c>
      <c r="L487" t="str">
        <f t="shared" si="107"/>
        <v>West</v>
      </c>
      <c r="M487" t="s">
        <v>292</v>
      </c>
      <c r="N487" t="str">
        <f t="shared" si="108"/>
        <v>Goa</v>
      </c>
      <c r="O487" t="s">
        <v>293</v>
      </c>
      <c r="P487" t="str">
        <f t="shared" si="109"/>
        <v>Panaji</v>
      </c>
      <c r="Q487" t="s">
        <v>19</v>
      </c>
      <c r="R487" t="str">
        <f t="shared" si="110"/>
        <v>Furniture</v>
      </c>
      <c r="S487" t="s">
        <v>245</v>
      </c>
      <c r="T487" t="str">
        <f t="shared" si="111"/>
        <v>Bookcases</v>
      </c>
      <c r="U487" t="s">
        <v>2424</v>
      </c>
      <c r="V487" t="str">
        <f t="shared" si="112"/>
        <v>Elite Bookcases 802</v>
      </c>
      <c r="W487" t="s">
        <v>108</v>
      </c>
      <c r="X487" t="str">
        <f t="shared" si="113"/>
        <v>Standard Class</v>
      </c>
      <c r="Y487">
        <v>1</v>
      </c>
      <c r="Z487">
        <v>4</v>
      </c>
      <c r="AA487">
        <v>2555.19</v>
      </c>
      <c r="AB487">
        <v>0.25</v>
      </c>
      <c r="AC487">
        <f t="shared" si="114"/>
        <v>0.25</v>
      </c>
      <c r="AD487">
        <v>7665.57</v>
      </c>
      <c r="AE487">
        <f t="shared" si="115"/>
        <v>7665.57</v>
      </c>
      <c r="AF487">
        <v>5595.6</v>
      </c>
      <c r="AG487">
        <v>2069.97</v>
      </c>
      <c r="AH487">
        <f t="shared" si="116"/>
        <v>2069.97</v>
      </c>
      <c r="AI487">
        <f t="shared" si="117"/>
        <v>0.270034713661215</v>
      </c>
      <c r="AJ487" t="s">
        <v>77</v>
      </c>
      <c r="AK487" t="str">
        <f t="shared" si="118"/>
        <v>Paid</v>
      </c>
      <c r="AL487" t="s">
        <v>78</v>
      </c>
      <c r="AM487" t="str">
        <f t="shared" si="119"/>
        <v>Completed</v>
      </c>
      <c r="AN487">
        <v>1</v>
      </c>
      <c r="AO487">
        <v>2025</v>
      </c>
      <c r="AP487" t="s">
        <v>79</v>
      </c>
    </row>
    <row r="488" spans="1:42">
      <c r="A488" t="s">
        <v>2425</v>
      </c>
      <c r="B488" s="3" t="s">
        <v>2426</v>
      </c>
      <c r="C488" s="3">
        <v>45830</v>
      </c>
      <c r="D488" t="s">
        <v>2427</v>
      </c>
      <c r="E488" s="3">
        <v>45834</v>
      </c>
      <c r="F488" t="s">
        <v>2428</v>
      </c>
      <c r="G488" t="s">
        <v>188</v>
      </c>
      <c r="H488" t="str">
        <f t="shared" si="105"/>
        <v>Rahul Verma</v>
      </c>
      <c r="I488" t="s">
        <v>147</v>
      </c>
      <c r="J488" t="str">
        <f t="shared" si="106"/>
        <v>Corporate</v>
      </c>
      <c r="K488" t="s">
        <v>11</v>
      </c>
      <c r="L488" t="str">
        <f t="shared" si="107"/>
        <v>West</v>
      </c>
      <c r="M488" t="s">
        <v>292</v>
      </c>
      <c r="N488" t="str">
        <f t="shared" si="108"/>
        <v>Goa</v>
      </c>
      <c r="O488" t="s">
        <v>293</v>
      </c>
      <c r="P488" t="str">
        <f t="shared" si="109"/>
        <v>Panaji</v>
      </c>
      <c r="Q488" t="s">
        <v>19</v>
      </c>
      <c r="R488" t="str">
        <f t="shared" si="110"/>
        <v>Furniture</v>
      </c>
      <c r="S488" t="s">
        <v>88</v>
      </c>
      <c r="T488" t="str">
        <f t="shared" si="111"/>
        <v>Tables</v>
      </c>
      <c r="U488" t="s">
        <v>2429</v>
      </c>
      <c r="V488" t="str">
        <f t="shared" si="112"/>
        <v>Pro Tables 257</v>
      </c>
      <c r="W488" t="s">
        <v>108</v>
      </c>
      <c r="X488" t="str">
        <f t="shared" si="113"/>
        <v>Standard Class</v>
      </c>
      <c r="Y488">
        <v>4</v>
      </c>
      <c r="Z488">
        <v>3</v>
      </c>
      <c r="AA488">
        <v>1946.18</v>
      </c>
      <c r="AB488">
        <v>0.2</v>
      </c>
      <c r="AC488">
        <f t="shared" si="114"/>
        <v>0.2</v>
      </c>
      <c r="AD488">
        <v>4670.83</v>
      </c>
      <c r="AE488">
        <f t="shared" si="115"/>
        <v>4670.832</v>
      </c>
      <c r="AF488">
        <v>3166.49</v>
      </c>
      <c r="AG488">
        <v>1504.34</v>
      </c>
      <c r="AH488">
        <f t="shared" si="116"/>
        <v>1504.342</v>
      </c>
      <c r="AI488">
        <f t="shared" si="117"/>
        <v>0.322071528156012</v>
      </c>
      <c r="AJ488" t="s">
        <v>77</v>
      </c>
      <c r="AK488" t="str">
        <f t="shared" si="118"/>
        <v>Paid</v>
      </c>
      <c r="AL488" t="s">
        <v>78</v>
      </c>
      <c r="AM488" t="str">
        <f t="shared" si="119"/>
        <v>Completed</v>
      </c>
      <c r="AN488">
        <v>6</v>
      </c>
      <c r="AO488">
        <v>2025</v>
      </c>
      <c r="AP488" t="s">
        <v>79</v>
      </c>
    </row>
    <row r="489" spans="1:42">
      <c r="A489" t="s">
        <v>2430</v>
      </c>
      <c r="B489" s="3" t="s">
        <v>2022</v>
      </c>
      <c r="C489" s="3">
        <v>45818</v>
      </c>
      <c r="D489" t="s">
        <v>2431</v>
      </c>
      <c r="E489" s="3">
        <v>45825</v>
      </c>
      <c r="F489" t="s">
        <v>2432</v>
      </c>
      <c r="G489" t="s">
        <v>188</v>
      </c>
      <c r="H489" t="str">
        <f t="shared" si="105"/>
        <v>Rahul Verma</v>
      </c>
      <c r="I489" t="s">
        <v>147</v>
      </c>
      <c r="J489" t="str">
        <f t="shared" si="106"/>
        <v>Corporate</v>
      </c>
      <c r="K489" t="s">
        <v>10</v>
      </c>
      <c r="L489" t="str">
        <f t="shared" si="107"/>
        <v>South</v>
      </c>
      <c r="M489" t="s">
        <v>104</v>
      </c>
      <c r="N489" t="str">
        <f t="shared" si="108"/>
        <v>Telangana</v>
      </c>
      <c r="O489" t="s">
        <v>105</v>
      </c>
      <c r="P489" t="str">
        <f t="shared" si="109"/>
        <v>Hyderabad</v>
      </c>
      <c r="Q489" t="s">
        <v>19</v>
      </c>
      <c r="R489" t="str">
        <f t="shared" si="110"/>
        <v>Furniture</v>
      </c>
      <c r="S489" t="s">
        <v>106</v>
      </c>
      <c r="T489" t="str">
        <f t="shared" si="111"/>
        <v>Furnishings</v>
      </c>
      <c r="U489" t="s">
        <v>2433</v>
      </c>
      <c r="V489" t="str">
        <f t="shared" si="112"/>
        <v>Prime Furnishings 299</v>
      </c>
      <c r="W489" t="s">
        <v>108</v>
      </c>
      <c r="X489" t="str">
        <f t="shared" si="113"/>
        <v>Standard Class</v>
      </c>
      <c r="Y489">
        <v>7</v>
      </c>
      <c r="Z489">
        <v>5</v>
      </c>
      <c r="AA489">
        <v>1231.1</v>
      </c>
      <c r="AB489">
        <v>0</v>
      </c>
      <c r="AC489">
        <f t="shared" si="114"/>
        <v>0</v>
      </c>
      <c r="AD489">
        <v>6155.5</v>
      </c>
      <c r="AE489">
        <f t="shared" si="115"/>
        <v>6155.5</v>
      </c>
      <c r="AF489">
        <v>4282.09</v>
      </c>
      <c r="AG489">
        <v>1873.41</v>
      </c>
      <c r="AH489">
        <f t="shared" si="116"/>
        <v>1873.41</v>
      </c>
      <c r="AI489">
        <f t="shared" si="117"/>
        <v>0.304347331654618</v>
      </c>
      <c r="AJ489" t="s">
        <v>163</v>
      </c>
      <c r="AK489" t="str">
        <f t="shared" si="118"/>
        <v>Refunded</v>
      </c>
      <c r="AL489" t="s">
        <v>164</v>
      </c>
      <c r="AM489" t="str">
        <f t="shared" si="119"/>
        <v>Returned</v>
      </c>
      <c r="AN489">
        <v>6</v>
      </c>
      <c r="AO489">
        <v>2025</v>
      </c>
      <c r="AP489" t="s">
        <v>79</v>
      </c>
    </row>
    <row r="490" spans="1:42">
      <c r="A490" t="s">
        <v>2434</v>
      </c>
      <c r="B490" s="3" t="s">
        <v>2435</v>
      </c>
      <c r="C490" s="3">
        <v>45579</v>
      </c>
      <c r="D490" t="s">
        <v>2436</v>
      </c>
      <c r="E490" s="3">
        <v>45585</v>
      </c>
      <c r="F490" t="s">
        <v>2437</v>
      </c>
      <c r="G490" t="s">
        <v>146</v>
      </c>
      <c r="H490" t="str">
        <f t="shared" si="105"/>
        <v>Aditi Sen</v>
      </c>
      <c r="I490" t="s">
        <v>85</v>
      </c>
      <c r="J490" t="str">
        <f t="shared" si="106"/>
        <v>Small Business</v>
      </c>
      <c r="K490" t="s">
        <v>9</v>
      </c>
      <c r="L490" t="str">
        <f t="shared" si="107"/>
        <v>North</v>
      </c>
      <c r="M490" t="s">
        <v>72</v>
      </c>
      <c r="N490" t="str">
        <f t="shared" si="108"/>
        <v>Rajasthan</v>
      </c>
      <c r="O490" t="s">
        <v>73</v>
      </c>
      <c r="P490" t="str">
        <f t="shared" si="109"/>
        <v>Jaipur</v>
      </c>
      <c r="Q490" t="s">
        <v>19</v>
      </c>
      <c r="R490" t="str">
        <f t="shared" si="110"/>
        <v>Furniture</v>
      </c>
      <c r="S490" t="s">
        <v>88</v>
      </c>
      <c r="T490" t="str">
        <f t="shared" si="111"/>
        <v>Tables</v>
      </c>
      <c r="U490" t="s">
        <v>2438</v>
      </c>
      <c r="V490" t="str">
        <f t="shared" si="112"/>
        <v>Eco Tables 487</v>
      </c>
      <c r="W490" t="s">
        <v>90</v>
      </c>
      <c r="X490" t="str">
        <f t="shared" si="113"/>
        <v>Same Day</v>
      </c>
      <c r="Y490">
        <v>6</v>
      </c>
      <c r="Z490">
        <v>7</v>
      </c>
      <c r="AA490">
        <v>1547.6</v>
      </c>
      <c r="AB490">
        <v>0.2</v>
      </c>
      <c r="AC490">
        <f t="shared" si="114"/>
        <v>0.2</v>
      </c>
      <c r="AD490">
        <v>8666.56</v>
      </c>
      <c r="AE490">
        <f t="shared" si="115"/>
        <v>8666.56</v>
      </c>
      <c r="AF490">
        <v>5967.44</v>
      </c>
      <c r="AG490">
        <v>2699.12</v>
      </c>
      <c r="AH490">
        <f t="shared" si="116"/>
        <v>2699.12</v>
      </c>
      <c r="AI490">
        <f t="shared" si="117"/>
        <v>0.311440756193922</v>
      </c>
      <c r="AJ490" t="s">
        <v>77</v>
      </c>
      <c r="AK490" t="str">
        <f t="shared" si="118"/>
        <v>Paid</v>
      </c>
      <c r="AL490" t="s">
        <v>78</v>
      </c>
      <c r="AM490" t="str">
        <f t="shared" si="119"/>
        <v>Completed</v>
      </c>
      <c r="AN490">
        <v>10</v>
      </c>
      <c r="AO490">
        <v>2024</v>
      </c>
      <c r="AP490" t="s">
        <v>79</v>
      </c>
    </row>
    <row r="491" spans="1:42">
      <c r="A491" t="s">
        <v>2439</v>
      </c>
      <c r="B491" s="3" t="s">
        <v>435</v>
      </c>
      <c r="C491" s="3">
        <v>45329</v>
      </c>
      <c r="D491" t="s">
        <v>2440</v>
      </c>
      <c r="E491" s="3">
        <v>45334</v>
      </c>
      <c r="F491" t="s">
        <v>2441</v>
      </c>
      <c r="G491" t="s">
        <v>103</v>
      </c>
      <c r="H491" t="str">
        <f t="shared" si="105"/>
        <v>Arjun Bose</v>
      </c>
      <c r="I491" t="s">
        <v>154</v>
      </c>
      <c r="J491" t="str">
        <f t="shared" si="106"/>
        <v>Home Office</v>
      </c>
      <c r="K491" t="s">
        <v>7</v>
      </c>
      <c r="L491" t="str">
        <f t="shared" si="107"/>
        <v>East</v>
      </c>
      <c r="M491" t="s">
        <v>160</v>
      </c>
      <c r="N491" t="str">
        <f t="shared" si="108"/>
        <v>West Bengal</v>
      </c>
      <c r="O491" t="s">
        <v>161</v>
      </c>
      <c r="P491" t="str">
        <f t="shared" si="109"/>
        <v>Kolkata</v>
      </c>
      <c r="Q491" t="s">
        <v>24</v>
      </c>
      <c r="R491" t="str">
        <f t="shared" si="110"/>
        <v>Technology</v>
      </c>
      <c r="S491" t="s">
        <v>126</v>
      </c>
      <c r="T491" t="str">
        <f t="shared" si="111"/>
        <v>Accessories</v>
      </c>
      <c r="U491" t="s">
        <v>2442</v>
      </c>
      <c r="V491" t="str">
        <f t="shared" si="112"/>
        <v>Prime Accessories 960</v>
      </c>
      <c r="W491" t="s">
        <v>76</v>
      </c>
      <c r="X491" t="str">
        <f t="shared" si="113"/>
        <v>Second Class</v>
      </c>
      <c r="Y491">
        <v>5</v>
      </c>
      <c r="Z491">
        <v>1</v>
      </c>
      <c r="AA491">
        <v>452.19</v>
      </c>
      <c r="AB491">
        <v>0.2</v>
      </c>
      <c r="AC491">
        <f t="shared" si="114"/>
        <v>0.2</v>
      </c>
      <c r="AD491">
        <v>361.75</v>
      </c>
      <c r="AE491">
        <f t="shared" si="115"/>
        <v>361.752</v>
      </c>
      <c r="AF491">
        <v>262.53</v>
      </c>
      <c r="AG491">
        <v>99.22</v>
      </c>
      <c r="AH491">
        <f t="shared" si="116"/>
        <v>99.222</v>
      </c>
      <c r="AI491">
        <f t="shared" si="117"/>
        <v>0.27428182843495</v>
      </c>
      <c r="AJ491" t="s">
        <v>77</v>
      </c>
      <c r="AK491" t="str">
        <f t="shared" si="118"/>
        <v>Paid</v>
      </c>
      <c r="AL491" t="s">
        <v>78</v>
      </c>
      <c r="AM491" t="str">
        <f t="shared" si="119"/>
        <v>Completed</v>
      </c>
      <c r="AN491">
        <v>2</v>
      </c>
      <c r="AO491">
        <v>2024</v>
      </c>
      <c r="AP491" t="s">
        <v>79</v>
      </c>
    </row>
    <row r="492" spans="1:42">
      <c r="A492" t="s">
        <v>2443</v>
      </c>
      <c r="B492" s="3" t="s">
        <v>2444</v>
      </c>
      <c r="C492" s="3">
        <v>45551</v>
      </c>
      <c r="D492" t="s">
        <v>1943</v>
      </c>
      <c r="E492" s="3">
        <v>45554</v>
      </c>
      <c r="F492" t="s">
        <v>2445</v>
      </c>
      <c r="G492" t="s">
        <v>146</v>
      </c>
      <c r="H492" t="str">
        <f t="shared" si="105"/>
        <v>Aditi Sen</v>
      </c>
      <c r="I492" t="s">
        <v>71</v>
      </c>
      <c r="J492" t="str">
        <f t="shared" si="106"/>
        <v>Consumer</v>
      </c>
      <c r="K492" t="s">
        <v>11</v>
      </c>
      <c r="L492" t="str">
        <f t="shared" si="107"/>
        <v>West</v>
      </c>
      <c r="M492" t="s">
        <v>72</v>
      </c>
      <c r="N492" t="str">
        <f t="shared" si="108"/>
        <v>Rajasthan</v>
      </c>
      <c r="O492" t="s">
        <v>175</v>
      </c>
      <c r="P492" t="str">
        <f t="shared" si="109"/>
        <v>Udaipur</v>
      </c>
      <c r="Q492" t="s">
        <v>22</v>
      </c>
      <c r="R492" t="str">
        <f t="shared" si="110"/>
        <v>Office Supplies</v>
      </c>
      <c r="S492" t="s">
        <v>239</v>
      </c>
      <c r="T492" t="str">
        <f t="shared" si="111"/>
        <v>Binders</v>
      </c>
      <c r="U492" t="s">
        <v>2446</v>
      </c>
      <c r="V492" t="str">
        <f t="shared" si="112"/>
        <v>Smart Binders 191</v>
      </c>
      <c r="W492" t="s">
        <v>98</v>
      </c>
      <c r="X492" t="str">
        <f t="shared" si="113"/>
        <v>First Class</v>
      </c>
      <c r="Y492">
        <v>3</v>
      </c>
      <c r="Z492">
        <v>7</v>
      </c>
      <c r="AA492">
        <v>406.42</v>
      </c>
      <c r="AB492">
        <v>0.15</v>
      </c>
      <c r="AC492">
        <f t="shared" si="114"/>
        <v>0.15</v>
      </c>
      <c r="AD492">
        <v>2418.2</v>
      </c>
      <c r="AE492">
        <f t="shared" si="115"/>
        <v>2418.199</v>
      </c>
      <c r="AF492">
        <v>1613.82</v>
      </c>
      <c r="AG492">
        <v>804.38</v>
      </c>
      <c r="AH492">
        <f t="shared" si="116"/>
        <v>804.379</v>
      </c>
      <c r="AI492">
        <f t="shared" si="117"/>
        <v>0.332635568867575</v>
      </c>
      <c r="AJ492" t="s">
        <v>77</v>
      </c>
      <c r="AK492" t="str">
        <f t="shared" si="118"/>
        <v>Paid</v>
      </c>
      <c r="AL492" t="s">
        <v>78</v>
      </c>
      <c r="AM492" t="str">
        <f t="shared" si="119"/>
        <v>Completed</v>
      </c>
      <c r="AN492">
        <v>9</v>
      </c>
      <c r="AO492">
        <v>2024</v>
      </c>
      <c r="AP492" t="s">
        <v>79</v>
      </c>
    </row>
    <row r="493" spans="1:42">
      <c r="A493" t="s">
        <v>2447</v>
      </c>
      <c r="B493" s="3" t="s">
        <v>2033</v>
      </c>
      <c r="C493" s="3">
        <v>45776</v>
      </c>
      <c r="D493" t="s">
        <v>2448</v>
      </c>
      <c r="E493" s="3">
        <v>45777</v>
      </c>
      <c r="F493" t="s">
        <v>2449</v>
      </c>
      <c r="G493" t="s">
        <v>84</v>
      </c>
      <c r="H493" t="str">
        <f t="shared" si="105"/>
        <v>Mira Das</v>
      </c>
      <c r="I493" t="s">
        <v>147</v>
      </c>
      <c r="J493" t="str">
        <f t="shared" si="106"/>
        <v>Corporate</v>
      </c>
      <c r="K493" t="s">
        <v>10</v>
      </c>
      <c r="L493" t="str">
        <f t="shared" si="107"/>
        <v>South</v>
      </c>
      <c r="M493" t="s">
        <v>285</v>
      </c>
      <c r="N493" t="str">
        <f t="shared" si="108"/>
        <v>Kerala</v>
      </c>
      <c r="O493" t="s">
        <v>286</v>
      </c>
      <c r="P493" t="str">
        <f t="shared" si="109"/>
        <v>Kochi</v>
      </c>
      <c r="Q493" t="s">
        <v>24</v>
      </c>
      <c r="R493" t="str">
        <f t="shared" si="110"/>
        <v>Technology</v>
      </c>
      <c r="S493" t="s">
        <v>126</v>
      </c>
      <c r="T493" t="str">
        <f t="shared" si="111"/>
        <v>Accessories</v>
      </c>
      <c r="U493" t="s">
        <v>2450</v>
      </c>
      <c r="V493" t="str">
        <f t="shared" si="112"/>
        <v>Prime Accessories 118</v>
      </c>
      <c r="W493" t="s">
        <v>108</v>
      </c>
      <c r="X493" t="str">
        <f t="shared" si="113"/>
        <v>Standard Class</v>
      </c>
      <c r="Y493">
        <v>1</v>
      </c>
      <c r="Z493">
        <v>4</v>
      </c>
      <c r="AA493">
        <v>606.58</v>
      </c>
      <c r="AB493">
        <v>0.2</v>
      </c>
      <c r="AC493">
        <f t="shared" si="114"/>
        <v>0.2</v>
      </c>
      <c r="AD493">
        <v>1941.06</v>
      </c>
      <c r="AE493">
        <f t="shared" si="115"/>
        <v>1941.056</v>
      </c>
      <c r="AF493">
        <v>1207.42</v>
      </c>
      <c r="AG493">
        <v>733.64</v>
      </c>
      <c r="AH493">
        <f t="shared" si="116"/>
        <v>733.636</v>
      </c>
      <c r="AI493">
        <f t="shared" si="117"/>
        <v>0.377957153219691</v>
      </c>
      <c r="AJ493" t="s">
        <v>77</v>
      </c>
      <c r="AK493" t="str">
        <f t="shared" si="118"/>
        <v>Paid</v>
      </c>
      <c r="AL493" t="s">
        <v>78</v>
      </c>
      <c r="AM493" t="str">
        <f t="shared" si="119"/>
        <v>Completed</v>
      </c>
      <c r="AN493">
        <v>4</v>
      </c>
      <c r="AO493">
        <v>2025</v>
      </c>
      <c r="AP493" t="s">
        <v>79</v>
      </c>
    </row>
    <row r="494" spans="1:42">
      <c r="A494" t="s">
        <v>2451</v>
      </c>
      <c r="B494" s="3" t="s">
        <v>2452</v>
      </c>
      <c r="C494" s="3">
        <v>45836</v>
      </c>
      <c r="D494" t="s">
        <v>2453</v>
      </c>
      <c r="E494" s="3">
        <v>45840</v>
      </c>
      <c r="F494" t="s">
        <v>2454</v>
      </c>
      <c r="G494" t="s">
        <v>113</v>
      </c>
      <c r="H494" t="str">
        <f t="shared" si="105"/>
        <v>Ananya Rao</v>
      </c>
      <c r="I494" t="s">
        <v>147</v>
      </c>
      <c r="J494" t="str">
        <f t="shared" si="106"/>
        <v>Corporate</v>
      </c>
      <c r="K494" t="s">
        <v>10</v>
      </c>
      <c r="L494" t="str">
        <f t="shared" si="107"/>
        <v>South</v>
      </c>
      <c r="M494" t="s">
        <v>139</v>
      </c>
      <c r="N494" t="str">
        <f t="shared" si="108"/>
        <v>Andhra Pradesh</v>
      </c>
      <c r="O494" t="s">
        <v>140</v>
      </c>
      <c r="P494" t="str">
        <f t="shared" si="109"/>
        <v>Vijayawada</v>
      </c>
      <c r="Q494" t="s">
        <v>22</v>
      </c>
      <c r="R494" t="str">
        <f t="shared" si="110"/>
        <v>Office Supplies</v>
      </c>
      <c r="S494" t="s">
        <v>196</v>
      </c>
      <c r="T494" t="str">
        <f t="shared" si="111"/>
        <v>Storage</v>
      </c>
      <c r="U494" t="s">
        <v>2455</v>
      </c>
      <c r="V494" t="str">
        <f t="shared" si="112"/>
        <v>Elite Storage 331</v>
      </c>
      <c r="W494" t="s">
        <v>76</v>
      </c>
      <c r="X494" t="str">
        <f t="shared" si="113"/>
        <v>Second Class</v>
      </c>
      <c r="Y494">
        <v>4</v>
      </c>
      <c r="Z494">
        <v>2</v>
      </c>
      <c r="AA494">
        <v>2725.44</v>
      </c>
      <c r="AB494">
        <v>0.25</v>
      </c>
      <c r="AC494">
        <f t="shared" si="114"/>
        <v>0.25</v>
      </c>
      <c r="AD494">
        <v>4088.16</v>
      </c>
      <c r="AE494">
        <f t="shared" si="115"/>
        <v>4088.16</v>
      </c>
      <c r="AF494">
        <v>3205.68</v>
      </c>
      <c r="AG494">
        <v>882.48</v>
      </c>
      <c r="AH494">
        <f t="shared" si="116"/>
        <v>882.48</v>
      </c>
      <c r="AI494">
        <f t="shared" si="117"/>
        <v>0.215862392861336</v>
      </c>
      <c r="AJ494" t="s">
        <v>77</v>
      </c>
      <c r="AK494" t="str">
        <f t="shared" si="118"/>
        <v>Paid</v>
      </c>
      <c r="AL494" t="s">
        <v>78</v>
      </c>
      <c r="AM494" t="str">
        <f t="shared" si="119"/>
        <v>Completed</v>
      </c>
      <c r="AN494">
        <v>6</v>
      </c>
      <c r="AO494">
        <v>2025</v>
      </c>
      <c r="AP494" t="s">
        <v>79</v>
      </c>
    </row>
    <row r="495" spans="1:42">
      <c r="A495" t="s">
        <v>2456</v>
      </c>
      <c r="B495" s="3" t="s">
        <v>1468</v>
      </c>
      <c r="C495" s="3">
        <v>45701</v>
      </c>
      <c r="D495" t="s">
        <v>2457</v>
      </c>
      <c r="E495" s="3">
        <v>45701</v>
      </c>
      <c r="F495" t="s">
        <v>2458</v>
      </c>
      <c r="G495" t="s">
        <v>411</v>
      </c>
      <c r="H495" t="str">
        <f t="shared" si="105"/>
        <v>Kabir Singh</v>
      </c>
      <c r="I495" t="s">
        <v>147</v>
      </c>
      <c r="J495" t="str">
        <f t="shared" si="106"/>
        <v>Corporate</v>
      </c>
      <c r="K495" t="s">
        <v>7</v>
      </c>
      <c r="L495" t="str">
        <f t="shared" si="107"/>
        <v>East</v>
      </c>
      <c r="M495" t="s">
        <v>86</v>
      </c>
      <c r="N495" t="str">
        <f t="shared" si="108"/>
        <v>Odisha</v>
      </c>
      <c r="O495" t="s">
        <v>87</v>
      </c>
      <c r="P495" t="str">
        <f t="shared" si="109"/>
        <v>Bhubaneswar</v>
      </c>
      <c r="Q495" t="s">
        <v>22</v>
      </c>
      <c r="R495" t="str">
        <f t="shared" si="110"/>
        <v>Office Supplies</v>
      </c>
      <c r="S495" t="s">
        <v>74</v>
      </c>
      <c r="T495" t="str">
        <f t="shared" si="111"/>
        <v>Paper</v>
      </c>
      <c r="U495" t="s">
        <v>2459</v>
      </c>
      <c r="V495" t="str">
        <f t="shared" si="112"/>
        <v>Prime Paper 996</v>
      </c>
      <c r="W495" t="s">
        <v>76</v>
      </c>
      <c r="X495" t="str">
        <f t="shared" si="113"/>
        <v>Second Class</v>
      </c>
      <c r="Y495">
        <v>0</v>
      </c>
      <c r="Z495">
        <v>7</v>
      </c>
      <c r="AA495">
        <v>2296.7</v>
      </c>
      <c r="AB495">
        <v>0.05</v>
      </c>
      <c r="AC495">
        <f t="shared" si="114"/>
        <v>0.05</v>
      </c>
      <c r="AD495">
        <v>15273.05</v>
      </c>
      <c r="AE495">
        <f t="shared" si="115"/>
        <v>15273.055</v>
      </c>
      <c r="AF495">
        <v>11088.76</v>
      </c>
      <c r="AG495">
        <v>4184.29</v>
      </c>
      <c r="AH495">
        <f t="shared" si="116"/>
        <v>4184.295</v>
      </c>
      <c r="AI495">
        <f t="shared" si="117"/>
        <v>0.273965817578736</v>
      </c>
      <c r="AJ495" t="s">
        <v>77</v>
      </c>
      <c r="AK495" t="str">
        <f t="shared" si="118"/>
        <v>Paid</v>
      </c>
      <c r="AL495" t="s">
        <v>2460</v>
      </c>
      <c r="AM495" t="str">
        <f t="shared" si="119"/>
        <v>Completed</v>
      </c>
      <c r="AN495">
        <v>2</v>
      </c>
      <c r="AO495">
        <v>2025</v>
      </c>
      <c r="AP495" t="s">
        <v>79</v>
      </c>
    </row>
    <row r="496" spans="1:42">
      <c r="A496" t="s">
        <v>2461</v>
      </c>
      <c r="B496" s="3" t="s">
        <v>2462</v>
      </c>
      <c r="C496" s="3">
        <v>45610</v>
      </c>
      <c r="D496" t="s">
        <v>2463</v>
      </c>
      <c r="E496" s="3">
        <v>45618</v>
      </c>
      <c r="F496" t="s">
        <v>2464</v>
      </c>
      <c r="G496" t="s">
        <v>95</v>
      </c>
      <c r="H496" t="str">
        <f t="shared" si="105"/>
        <v>Isha Nair</v>
      </c>
      <c r="I496" t="s">
        <v>71</v>
      </c>
      <c r="J496" t="str">
        <f t="shared" si="106"/>
        <v>Consumer</v>
      </c>
      <c r="K496" t="s">
        <v>11</v>
      </c>
      <c r="L496" t="str">
        <f t="shared" si="107"/>
        <v>West</v>
      </c>
      <c r="M496" t="s">
        <v>124</v>
      </c>
      <c r="N496" t="str">
        <f t="shared" si="108"/>
        <v>Madhya Pradesh</v>
      </c>
      <c r="O496" t="s">
        <v>125</v>
      </c>
      <c r="P496" t="str">
        <f t="shared" si="109"/>
        <v>Indore</v>
      </c>
      <c r="Q496" t="s">
        <v>24</v>
      </c>
      <c r="R496" t="str">
        <f t="shared" si="110"/>
        <v>Technology</v>
      </c>
      <c r="S496" t="s">
        <v>265</v>
      </c>
      <c r="T496" t="str">
        <f t="shared" si="111"/>
        <v>Phones</v>
      </c>
      <c r="U496" t="s">
        <v>2465</v>
      </c>
      <c r="V496" t="str">
        <f t="shared" si="112"/>
        <v>Smart Phones 125</v>
      </c>
      <c r="W496" t="s">
        <v>108</v>
      </c>
      <c r="X496" t="str">
        <f t="shared" si="113"/>
        <v>Standard Class</v>
      </c>
      <c r="Y496">
        <v>8</v>
      </c>
      <c r="Z496">
        <v>3</v>
      </c>
      <c r="AA496">
        <v>671.68</v>
      </c>
      <c r="AB496">
        <v>-0.13</v>
      </c>
      <c r="AC496">
        <f t="shared" si="114"/>
        <v>0</v>
      </c>
      <c r="AD496">
        <v>1712.78</v>
      </c>
      <c r="AE496">
        <f t="shared" si="115"/>
        <v>2015.04</v>
      </c>
      <c r="AF496">
        <v>1569.38</v>
      </c>
      <c r="AG496">
        <v>360.66</v>
      </c>
      <c r="AH496">
        <f t="shared" si="116"/>
        <v>445.66</v>
      </c>
      <c r="AI496">
        <f t="shared" si="117"/>
        <v>0.221166825472447</v>
      </c>
      <c r="AJ496" t="s">
        <v>241</v>
      </c>
      <c r="AK496" t="str">
        <f t="shared" si="118"/>
        <v>Failed</v>
      </c>
      <c r="AL496" t="s">
        <v>118</v>
      </c>
      <c r="AM496" t="str">
        <f t="shared" si="119"/>
        <v>Cancelled</v>
      </c>
      <c r="AN496">
        <v>11</v>
      </c>
      <c r="AO496">
        <v>2024</v>
      </c>
      <c r="AP496" t="s">
        <v>222</v>
      </c>
    </row>
    <row r="497" spans="1:42">
      <c r="A497" t="s">
        <v>2466</v>
      </c>
      <c r="B497" s="3" t="s">
        <v>2247</v>
      </c>
      <c r="C497" s="3">
        <v>45421</v>
      </c>
      <c r="D497" t="s">
        <v>2467</v>
      </c>
      <c r="E497" s="3">
        <v>45427</v>
      </c>
      <c r="F497" t="s">
        <v>2468</v>
      </c>
      <c r="G497" t="s">
        <v>84</v>
      </c>
      <c r="H497" t="str">
        <f t="shared" si="105"/>
        <v>Mira Das</v>
      </c>
      <c r="I497" t="s">
        <v>85</v>
      </c>
      <c r="J497" t="str">
        <f t="shared" si="106"/>
        <v>Small Business</v>
      </c>
      <c r="K497" t="s">
        <v>7</v>
      </c>
      <c r="L497" t="str">
        <f t="shared" si="107"/>
        <v>East</v>
      </c>
      <c r="M497" t="s">
        <v>258</v>
      </c>
      <c r="N497" t="str">
        <f t="shared" si="108"/>
        <v>Assam</v>
      </c>
      <c r="O497" t="s">
        <v>259</v>
      </c>
      <c r="P497" t="str">
        <f t="shared" si="109"/>
        <v>Guwahati</v>
      </c>
      <c r="Q497" t="s">
        <v>24</v>
      </c>
      <c r="R497" t="str">
        <f t="shared" si="110"/>
        <v>Technology</v>
      </c>
      <c r="S497" t="s">
        <v>265</v>
      </c>
      <c r="T497" t="str">
        <f t="shared" si="111"/>
        <v>Phones</v>
      </c>
      <c r="U497" t="s">
        <v>2469</v>
      </c>
      <c r="V497" t="str">
        <f t="shared" si="112"/>
        <v>Eco Phones 220</v>
      </c>
      <c r="W497" t="s">
        <v>76</v>
      </c>
      <c r="X497" t="str">
        <f t="shared" si="113"/>
        <v>Second Class</v>
      </c>
      <c r="Y497">
        <v>6</v>
      </c>
      <c r="Z497">
        <v>4</v>
      </c>
      <c r="AA497">
        <v>995.98</v>
      </c>
      <c r="AB497">
        <v>0.05</v>
      </c>
      <c r="AC497">
        <f t="shared" si="114"/>
        <v>0.05</v>
      </c>
      <c r="AD497">
        <v>3784.72</v>
      </c>
      <c r="AE497">
        <f t="shared" si="115"/>
        <v>3784.724</v>
      </c>
      <c r="AF497">
        <v>2419.24</v>
      </c>
      <c r="AG497">
        <v>1365.48</v>
      </c>
      <c r="AH497">
        <f t="shared" si="116"/>
        <v>1365.484</v>
      </c>
      <c r="AI497">
        <f t="shared" si="117"/>
        <v>0.360788263556339</v>
      </c>
      <c r="AJ497" t="s">
        <v>163</v>
      </c>
      <c r="AK497" t="str">
        <f t="shared" si="118"/>
        <v>Refunded</v>
      </c>
      <c r="AL497" t="s">
        <v>164</v>
      </c>
      <c r="AM497" t="str">
        <f t="shared" si="119"/>
        <v>Returned</v>
      </c>
      <c r="AN497">
        <v>5</v>
      </c>
      <c r="AO497">
        <v>2024</v>
      </c>
      <c r="AP497" t="s">
        <v>79</v>
      </c>
    </row>
    <row r="498" spans="1:42">
      <c r="A498" t="s">
        <v>2470</v>
      </c>
      <c r="B498" s="3" t="s">
        <v>2471</v>
      </c>
      <c r="C498" s="3">
        <v>45842</v>
      </c>
      <c r="D498" t="s">
        <v>2472</v>
      </c>
      <c r="E498" s="3">
        <v>45844</v>
      </c>
      <c r="F498" t="s">
        <v>2473</v>
      </c>
      <c r="G498" t="s">
        <v>411</v>
      </c>
      <c r="H498" t="str">
        <f t="shared" si="105"/>
        <v>Kabir Singh</v>
      </c>
      <c r="I498" t="s">
        <v>85</v>
      </c>
      <c r="J498" t="str">
        <f t="shared" si="106"/>
        <v>Small Business</v>
      </c>
      <c r="K498" t="s">
        <v>7</v>
      </c>
      <c r="L498" t="str">
        <f t="shared" si="107"/>
        <v>East</v>
      </c>
      <c r="M498" t="s">
        <v>354</v>
      </c>
      <c r="N498" t="str">
        <f t="shared" si="108"/>
        <v>Jharkhand</v>
      </c>
      <c r="O498" t="s">
        <v>355</v>
      </c>
      <c r="P498" t="str">
        <f t="shared" si="109"/>
        <v>Ranchi</v>
      </c>
      <c r="Q498" t="s">
        <v>19</v>
      </c>
      <c r="R498" t="str">
        <f t="shared" si="110"/>
        <v>Furniture</v>
      </c>
      <c r="S498" t="s">
        <v>116</v>
      </c>
      <c r="T498" t="str">
        <f t="shared" si="111"/>
        <v>Chairs</v>
      </c>
      <c r="U498" t="s">
        <v>2474</v>
      </c>
      <c r="V498" t="str">
        <f t="shared" si="112"/>
        <v>Eco Chairs 795</v>
      </c>
      <c r="W498" t="s">
        <v>76</v>
      </c>
      <c r="X498" t="str">
        <f t="shared" si="113"/>
        <v>Second Class</v>
      </c>
      <c r="Y498">
        <v>2</v>
      </c>
      <c r="Z498">
        <v>2</v>
      </c>
      <c r="AA498">
        <v>3686.42</v>
      </c>
      <c r="AB498">
        <v>0.1</v>
      </c>
      <c r="AC498">
        <f t="shared" si="114"/>
        <v>0.1</v>
      </c>
      <c r="AD498">
        <v>6635.56</v>
      </c>
      <c r="AE498">
        <f t="shared" si="115"/>
        <v>6635.556</v>
      </c>
      <c r="AF498">
        <v>3652.91</v>
      </c>
      <c r="AG498">
        <v>2982.65</v>
      </c>
      <c r="AH498">
        <f t="shared" si="116"/>
        <v>2982.646</v>
      </c>
      <c r="AI498">
        <f t="shared" si="117"/>
        <v>0.449494511085431</v>
      </c>
      <c r="AJ498" t="s">
        <v>77</v>
      </c>
      <c r="AK498" t="str">
        <f t="shared" si="118"/>
        <v>Paid</v>
      </c>
      <c r="AL498" t="s">
        <v>78</v>
      </c>
      <c r="AM498" t="str">
        <f t="shared" si="119"/>
        <v>Completed</v>
      </c>
      <c r="AN498">
        <v>7</v>
      </c>
      <c r="AO498">
        <v>2025</v>
      </c>
      <c r="AP498" t="s">
        <v>79</v>
      </c>
    </row>
    <row r="499" spans="1:42">
      <c r="A499" t="s">
        <v>2475</v>
      </c>
      <c r="B499" s="3" t="s">
        <v>2476</v>
      </c>
      <c r="C499" s="3">
        <v>45533</v>
      </c>
      <c r="D499" t="s">
        <v>2476</v>
      </c>
      <c r="E499" s="3">
        <v>45533</v>
      </c>
      <c r="F499" t="s">
        <v>2477</v>
      </c>
      <c r="G499" t="s">
        <v>208</v>
      </c>
      <c r="H499" t="str">
        <f t="shared" si="105"/>
        <v>Sneha Kapoor</v>
      </c>
      <c r="I499" t="s">
        <v>85</v>
      </c>
      <c r="J499" t="str">
        <f t="shared" si="106"/>
        <v>Small Business</v>
      </c>
      <c r="K499" t="s">
        <v>761</v>
      </c>
      <c r="L499" t="str">
        <f t="shared" si="107"/>
        <v>North</v>
      </c>
      <c r="M499" t="s">
        <v>214</v>
      </c>
      <c r="N499" t="str">
        <f t="shared" si="108"/>
        <v>Uttar Pradesh</v>
      </c>
      <c r="O499" t="s">
        <v>215</v>
      </c>
      <c r="P499" t="str">
        <f t="shared" si="109"/>
        <v>Noida</v>
      </c>
      <c r="Q499" t="s">
        <v>24</v>
      </c>
      <c r="R499" t="str">
        <f t="shared" si="110"/>
        <v>Technology</v>
      </c>
      <c r="S499" t="s">
        <v>126</v>
      </c>
      <c r="T499" t="str">
        <f t="shared" si="111"/>
        <v>Accessories</v>
      </c>
      <c r="U499" t="s">
        <v>2478</v>
      </c>
      <c r="V499" t="str">
        <f t="shared" si="112"/>
        <v>Smart Accessories 896</v>
      </c>
      <c r="W499" t="s">
        <v>76</v>
      </c>
      <c r="X499" t="str">
        <f t="shared" si="113"/>
        <v>Second Class</v>
      </c>
      <c r="Y499">
        <v>0</v>
      </c>
      <c r="Z499">
        <v>1</v>
      </c>
      <c r="AA499">
        <v>3106.88</v>
      </c>
      <c r="AB499">
        <v>0.2</v>
      </c>
      <c r="AC499">
        <f t="shared" si="114"/>
        <v>0.2</v>
      </c>
      <c r="AD499">
        <v>2485.5</v>
      </c>
      <c r="AE499">
        <f t="shared" si="115"/>
        <v>2485.504</v>
      </c>
      <c r="AF499">
        <v>2028.43</v>
      </c>
      <c r="AG499">
        <v>457.07</v>
      </c>
      <c r="AH499">
        <f t="shared" si="116"/>
        <v>457.074</v>
      </c>
      <c r="AI499">
        <f t="shared" si="117"/>
        <v>0.183895901998146</v>
      </c>
      <c r="AJ499" t="s">
        <v>77</v>
      </c>
      <c r="AK499" t="str">
        <f t="shared" si="118"/>
        <v>Paid</v>
      </c>
      <c r="AL499" t="s">
        <v>118</v>
      </c>
      <c r="AM499" t="str">
        <f t="shared" si="119"/>
        <v>Cancelled</v>
      </c>
      <c r="AN499">
        <v>8</v>
      </c>
      <c r="AO499">
        <v>2024</v>
      </c>
      <c r="AP499" t="s">
        <v>79</v>
      </c>
    </row>
    <row r="500" spans="1:42">
      <c r="A500" t="s">
        <v>2479</v>
      </c>
      <c r="B500" s="3" t="s">
        <v>2480</v>
      </c>
      <c r="C500" s="3">
        <v>45907</v>
      </c>
      <c r="D500" t="s">
        <v>2481</v>
      </c>
      <c r="E500" s="3">
        <v>45910</v>
      </c>
      <c r="F500" t="s">
        <v>2482</v>
      </c>
      <c r="G500" t="s">
        <v>70</v>
      </c>
      <c r="H500" t="str">
        <f t="shared" si="105"/>
        <v>Karan Malhotra</v>
      </c>
      <c r="I500" t="s">
        <v>71</v>
      </c>
      <c r="J500" t="str">
        <f t="shared" si="106"/>
        <v>Consumer</v>
      </c>
      <c r="K500" t="s">
        <v>8</v>
      </c>
      <c r="L500" t="str">
        <f t="shared" si="107"/>
        <v>North</v>
      </c>
      <c r="M500" t="s">
        <v>194</v>
      </c>
      <c r="N500" t="str">
        <f t="shared" si="108"/>
        <v>Punjab</v>
      </c>
      <c r="O500" t="s">
        <v>195</v>
      </c>
      <c r="P500" t="str">
        <f t="shared" si="109"/>
        <v>Ludhiana</v>
      </c>
      <c r="Q500" t="s">
        <v>19</v>
      </c>
      <c r="R500" t="str">
        <f t="shared" si="110"/>
        <v>Furniture</v>
      </c>
      <c r="S500" t="s">
        <v>116</v>
      </c>
      <c r="T500" t="str">
        <f t="shared" si="111"/>
        <v>Chairs</v>
      </c>
      <c r="U500" t="s">
        <v>2483</v>
      </c>
      <c r="V500" t="str">
        <f t="shared" si="112"/>
        <v>Basic Chairs 255</v>
      </c>
      <c r="W500" t="s">
        <v>90</v>
      </c>
      <c r="X500" t="str">
        <f t="shared" si="113"/>
        <v>Same Day</v>
      </c>
      <c r="Y500">
        <v>3</v>
      </c>
      <c r="Z500">
        <v>2</v>
      </c>
      <c r="AA500">
        <v>447.55</v>
      </c>
      <c r="AB500">
        <v>0.05</v>
      </c>
      <c r="AC500">
        <f t="shared" si="114"/>
        <v>0.05</v>
      </c>
      <c r="AD500">
        <v>850.35</v>
      </c>
      <c r="AE500">
        <f t="shared" si="115"/>
        <v>850.345</v>
      </c>
      <c r="AF500">
        <v>600.98</v>
      </c>
      <c r="AG500">
        <v>249.37</v>
      </c>
      <c r="AH500">
        <f t="shared" si="116"/>
        <v>249.365</v>
      </c>
      <c r="AI500">
        <f t="shared" si="117"/>
        <v>0.293251562601062</v>
      </c>
      <c r="AJ500" t="s">
        <v>163</v>
      </c>
      <c r="AK500" t="str">
        <f t="shared" si="118"/>
        <v>Refunded</v>
      </c>
      <c r="AL500" t="s">
        <v>2484</v>
      </c>
      <c r="AM500" t="str">
        <f t="shared" si="119"/>
        <v>Cancelled</v>
      </c>
      <c r="AN500">
        <v>9</v>
      </c>
      <c r="AO500">
        <v>2025</v>
      </c>
      <c r="AP500" t="s">
        <v>79</v>
      </c>
    </row>
    <row r="501" spans="1:42">
      <c r="A501" t="s">
        <v>2485</v>
      </c>
      <c r="B501" s="3" t="s">
        <v>2486</v>
      </c>
      <c r="C501" s="3">
        <v>45648</v>
      </c>
      <c r="D501" t="s">
        <v>1499</v>
      </c>
      <c r="E501" s="3">
        <v>45652</v>
      </c>
      <c r="F501" t="s">
        <v>2487</v>
      </c>
      <c r="G501" t="s">
        <v>188</v>
      </c>
      <c r="H501" t="str">
        <f t="shared" si="105"/>
        <v>Rahul Verma</v>
      </c>
      <c r="I501" t="s">
        <v>154</v>
      </c>
      <c r="J501" t="str">
        <f t="shared" si="106"/>
        <v>Home Office</v>
      </c>
      <c r="K501" t="s">
        <v>8</v>
      </c>
      <c r="L501" t="str">
        <f t="shared" si="107"/>
        <v>North</v>
      </c>
      <c r="M501" t="s">
        <v>214</v>
      </c>
      <c r="N501" t="str">
        <f t="shared" si="108"/>
        <v>Uttar Pradesh</v>
      </c>
      <c r="O501" t="s">
        <v>215</v>
      </c>
      <c r="P501" t="str">
        <f t="shared" si="109"/>
        <v>Noida</v>
      </c>
      <c r="Q501" t="s">
        <v>19</v>
      </c>
      <c r="R501" t="str">
        <f t="shared" si="110"/>
        <v>Furniture</v>
      </c>
      <c r="S501" t="s">
        <v>116</v>
      </c>
      <c r="T501" t="str">
        <f t="shared" si="111"/>
        <v>Chairs</v>
      </c>
      <c r="U501" t="s">
        <v>2488</v>
      </c>
      <c r="V501" t="str">
        <f t="shared" si="112"/>
        <v>Eco Chairs 210</v>
      </c>
      <c r="W501" t="s">
        <v>108</v>
      </c>
      <c r="X501" t="str">
        <f t="shared" si="113"/>
        <v>Standard Class</v>
      </c>
      <c r="Y501">
        <v>4</v>
      </c>
      <c r="Z501">
        <v>9</v>
      </c>
      <c r="AA501">
        <v>1110.87</v>
      </c>
      <c r="AC501">
        <f t="shared" si="114"/>
        <v>0</v>
      </c>
      <c r="AD501">
        <v>7498.37</v>
      </c>
      <c r="AE501">
        <f t="shared" si="115"/>
        <v>9997.83</v>
      </c>
      <c r="AF501">
        <v>6059.07</v>
      </c>
      <c r="AG501">
        <v>1439.3</v>
      </c>
      <c r="AH501">
        <f t="shared" si="116"/>
        <v>3938.76</v>
      </c>
      <c r="AI501">
        <f t="shared" si="117"/>
        <v>0.393961489643253</v>
      </c>
      <c r="AJ501" t="s">
        <v>77</v>
      </c>
      <c r="AK501" t="str">
        <f t="shared" si="118"/>
        <v>Paid</v>
      </c>
      <c r="AL501" t="s">
        <v>118</v>
      </c>
      <c r="AM501" t="str">
        <f t="shared" si="119"/>
        <v>Cancelled</v>
      </c>
      <c r="AN501">
        <v>12</v>
      </c>
      <c r="AO501">
        <v>2024</v>
      </c>
      <c r="AP501" t="s">
        <v>222</v>
      </c>
    </row>
    <row r="502" spans="1:42">
      <c r="A502" t="s">
        <v>2489</v>
      </c>
      <c r="B502" s="3" t="s">
        <v>1180</v>
      </c>
      <c r="C502" s="3">
        <v>45429</v>
      </c>
      <c r="D502" t="s">
        <v>2490</v>
      </c>
      <c r="E502" s="3">
        <v>45434</v>
      </c>
      <c r="F502" t="s">
        <v>2491</v>
      </c>
      <c r="G502" t="s">
        <v>208</v>
      </c>
      <c r="H502" t="str">
        <f t="shared" si="105"/>
        <v>Sneha Kapoor</v>
      </c>
      <c r="I502" t="s">
        <v>71</v>
      </c>
      <c r="J502" t="str">
        <f t="shared" si="106"/>
        <v>Consumer</v>
      </c>
      <c r="K502" t="s">
        <v>10</v>
      </c>
      <c r="L502" t="str">
        <f t="shared" si="107"/>
        <v>South</v>
      </c>
      <c r="M502" t="s">
        <v>285</v>
      </c>
      <c r="N502" t="str">
        <f t="shared" si="108"/>
        <v>Kerala</v>
      </c>
      <c r="O502" t="s">
        <v>286</v>
      </c>
      <c r="P502" t="str">
        <f t="shared" si="109"/>
        <v>Kochi</v>
      </c>
      <c r="Q502" t="s">
        <v>24</v>
      </c>
      <c r="R502" t="str">
        <f t="shared" si="110"/>
        <v>Technology</v>
      </c>
      <c r="S502" t="s">
        <v>265</v>
      </c>
      <c r="T502" t="str">
        <f t="shared" si="111"/>
        <v>Phones</v>
      </c>
      <c r="U502" t="s">
        <v>2492</v>
      </c>
      <c r="V502" t="str">
        <f t="shared" si="112"/>
        <v>Prime Phones 533</v>
      </c>
      <c r="W502" t="s">
        <v>90</v>
      </c>
      <c r="X502" t="str">
        <f t="shared" si="113"/>
        <v>Same Day</v>
      </c>
      <c r="Y502">
        <v>5</v>
      </c>
      <c r="Z502">
        <v>9</v>
      </c>
      <c r="AA502">
        <v>3795.99</v>
      </c>
      <c r="AB502" t="s">
        <v>1223</v>
      </c>
      <c r="AC502" t="str">
        <f t="shared" si="114"/>
        <v>85%</v>
      </c>
      <c r="AD502">
        <v>34163.91</v>
      </c>
      <c r="AE502">
        <f t="shared" si="115"/>
        <v>5124.5865</v>
      </c>
      <c r="AF502">
        <v>28577.15</v>
      </c>
      <c r="AG502">
        <v>5586.76</v>
      </c>
      <c r="AH502">
        <f t="shared" si="116"/>
        <v>-23452.5635</v>
      </c>
      <c r="AI502">
        <f t="shared" si="117"/>
        <v>-4.57647919495553</v>
      </c>
      <c r="AJ502" t="s">
        <v>77</v>
      </c>
      <c r="AK502" t="str">
        <f t="shared" si="118"/>
        <v>Paid</v>
      </c>
      <c r="AL502" t="s">
        <v>78</v>
      </c>
      <c r="AM502" t="str">
        <f t="shared" si="119"/>
        <v>Completed</v>
      </c>
      <c r="AN502">
        <v>5</v>
      </c>
      <c r="AO502">
        <v>2024</v>
      </c>
      <c r="AP502" t="s">
        <v>79</v>
      </c>
    </row>
    <row r="503" spans="1:42">
      <c r="A503" t="s">
        <v>2493</v>
      </c>
      <c r="B503" s="3" t="s">
        <v>2494</v>
      </c>
      <c r="C503" s="3">
        <v>45515</v>
      </c>
      <c r="D503" t="s">
        <v>2495</v>
      </c>
      <c r="E503" s="3">
        <v>45521</v>
      </c>
      <c r="F503" t="s">
        <v>1289</v>
      </c>
      <c r="G503" t="s">
        <v>132</v>
      </c>
      <c r="H503" t="str">
        <f t="shared" si="105"/>
        <v>Neha Gupta</v>
      </c>
      <c r="I503" t="s">
        <v>71</v>
      </c>
      <c r="J503" t="str">
        <f t="shared" si="106"/>
        <v>Consumer</v>
      </c>
      <c r="K503" t="s">
        <v>7</v>
      </c>
      <c r="L503" t="str">
        <f t="shared" si="107"/>
        <v>East</v>
      </c>
      <c r="M503" t="s">
        <v>354</v>
      </c>
      <c r="N503" t="str">
        <f t="shared" si="108"/>
        <v>Jharkhand</v>
      </c>
      <c r="O503" t="s">
        <v>355</v>
      </c>
      <c r="P503" t="str">
        <f t="shared" si="109"/>
        <v>Ranchi</v>
      </c>
      <c r="Q503" t="s">
        <v>22</v>
      </c>
      <c r="R503" t="str">
        <f t="shared" si="110"/>
        <v>Office Supplies</v>
      </c>
      <c r="S503" t="s">
        <v>96</v>
      </c>
      <c r="T503" t="str">
        <f t="shared" si="111"/>
        <v>Art</v>
      </c>
      <c r="U503" t="s">
        <v>2496</v>
      </c>
      <c r="V503" t="str">
        <f t="shared" si="112"/>
        <v>Elite Art 325</v>
      </c>
      <c r="W503" t="s">
        <v>76</v>
      </c>
      <c r="X503" t="str">
        <f t="shared" si="113"/>
        <v>Second Class</v>
      </c>
      <c r="Y503">
        <v>6</v>
      </c>
      <c r="Z503">
        <v>6</v>
      </c>
      <c r="AA503">
        <v>3497.54</v>
      </c>
      <c r="AB503">
        <v>0.15</v>
      </c>
      <c r="AC503">
        <f t="shared" si="114"/>
        <v>0.15</v>
      </c>
      <c r="AD503">
        <v>17837.45</v>
      </c>
      <c r="AE503">
        <f t="shared" si="115"/>
        <v>17837.454</v>
      </c>
      <c r="AF503">
        <v>13627.02</v>
      </c>
      <c r="AG503">
        <v>4210.43</v>
      </c>
      <c r="AH503">
        <f t="shared" si="116"/>
        <v>4210.434</v>
      </c>
      <c r="AI503">
        <f t="shared" si="117"/>
        <v>0.236044561067964</v>
      </c>
      <c r="AJ503" t="s">
        <v>77</v>
      </c>
      <c r="AK503" t="str">
        <f t="shared" si="118"/>
        <v>Paid</v>
      </c>
      <c r="AL503" t="s">
        <v>78</v>
      </c>
      <c r="AM503" t="str">
        <f t="shared" si="119"/>
        <v>Completed</v>
      </c>
      <c r="AN503">
        <v>8</v>
      </c>
      <c r="AO503">
        <v>2024</v>
      </c>
      <c r="AP503" t="s">
        <v>79</v>
      </c>
    </row>
    <row r="504" spans="1:42">
      <c r="A504" t="s">
        <v>2497</v>
      </c>
      <c r="B504" s="3" t="s">
        <v>2498</v>
      </c>
      <c r="C504" s="3">
        <v>45383</v>
      </c>
      <c r="D504" t="s">
        <v>2499</v>
      </c>
      <c r="E504" s="3">
        <v>45391</v>
      </c>
      <c r="F504" t="s">
        <v>2500</v>
      </c>
      <c r="G504" t="s">
        <v>182</v>
      </c>
      <c r="H504" t="str">
        <f t="shared" si="105"/>
        <v>Priya Menon</v>
      </c>
      <c r="I504" t="s">
        <v>85</v>
      </c>
      <c r="J504" t="str">
        <f t="shared" si="106"/>
        <v>Small Business</v>
      </c>
      <c r="K504" t="s">
        <v>4</v>
      </c>
      <c r="L504" t="str">
        <f t="shared" si="107"/>
        <v>East</v>
      </c>
      <c r="M504" t="s">
        <v>86</v>
      </c>
      <c r="N504" t="str">
        <f t="shared" si="108"/>
        <v>Odisha</v>
      </c>
      <c r="O504" t="s">
        <v>87</v>
      </c>
      <c r="P504" t="str">
        <f t="shared" si="109"/>
        <v>Bhubaneswar</v>
      </c>
      <c r="Q504" t="s">
        <v>24</v>
      </c>
      <c r="R504" t="str">
        <f t="shared" si="110"/>
        <v>Technology</v>
      </c>
      <c r="S504" t="s">
        <v>133</v>
      </c>
      <c r="T504" t="str">
        <f t="shared" si="111"/>
        <v>Copiers</v>
      </c>
      <c r="U504" t="s">
        <v>2501</v>
      </c>
      <c r="V504" t="str">
        <f t="shared" si="112"/>
        <v>Prime Copiers 557</v>
      </c>
      <c r="W504" t="s">
        <v>76</v>
      </c>
      <c r="X504" t="str">
        <f t="shared" si="113"/>
        <v>Second Class</v>
      </c>
      <c r="Y504">
        <v>8</v>
      </c>
      <c r="Z504">
        <v>6</v>
      </c>
      <c r="AA504">
        <v>826.93</v>
      </c>
      <c r="AB504">
        <v>0.1</v>
      </c>
      <c r="AC504">
        <f t="shared" si="114"/>
        <v>0.1</v>
      </c>
      <c r="AD504">
        <v>4465.42</v>
      </c>
      <c r="AE504">
        <f t="shared" si="115"/>
        <v>4465.422</v>
      </c>
      <c r="AF504">
        <v>3377.1</v>
      </c>
      <c r="AG504">
        <v>1088.32</v>
      </c>
      <c r="AH504">
        <f t="shared" si="116"/>
        <v>1088.322</v>
      </c>
      <c r="AI504">
        <f t="shared" si="117"/>
        <v>0.243722093902883</v>
      </c>
      <c r="AJ504" t="s">
        <v>77</v>
      </c>
      <c r="AK504" t="str">
        <f t="shared" si="118"/>
        <v>Paid</v>
      </c>
      <c r="AL504" t="s">
        <v>78</v>
      </c>
      <c r="AM504" t="str">
        <f t="shared" si="119"/>
        <v>Completed</v>
      </c>
      <c r="AN504">
        <v>4</v>
      </c>
      <c r="AO504">
        <v>2024</v>
      </c>
      <c r="AP504" t="s">
        <v>79</v>
      </c>
    </row>
    <row r="505" spans="1:42">
      <c r="A505" t="s">
        <v>2502</v>
      </c>
      <c r="B505" s="3" t="s">
        <v>2503</v>
      </c>
      <c r="C505" s="3">
        <v>45563</v>
      </c>
      <c r="D505" t="s">
        <v>2504</v>
      </c>
      <c r="E505" s="3">
        <v>45570</v>
      </c>
      <c r="F505" t="s">
        <v>2505</v>
      </c>
      <c r="G505" t="s">
        <v>202</v>
      </c>
      <c r="H505" t="str">
        <f t="shared" si="105"/>
        <v>Aarav Sharma</v>
      </c>
      <c r="I505" t="s">
        <v>71</v>
      </c>
      <c r="J505" t="str">
        <f t="shared" si="106"/>
        <v>Consumer</v>
      </c>
      <c r="K505" t="s">
        <v>10</v>
      </c>
      <c r="L505" t="str">
        <f t="shared" si="107"/>
        <v>South</v>
      </c>
      <c r="M505" t="s">
        <v>382</v>
      </c>
      <c r="N505" t="str">
        <f t="shared" si="108"/>
        <v>Tamil Nadu</v>
      </c>
      <c r="O505" t="s">
        <v>383</v>
      </c>
      <c r="P505" t="str">
        <f t="shared" si="109"/>
        <v>Chennai</v>
      </c>
      <c r="Q505" t="s">
        <v>24</v>
      </c>
      <c r="R505" t="str">
        <f t="shared" si="110"/>
        <v>Technology</v>
      </c>
      <c r="S505" t="s">
        <v>265</v>
      </c>
      <c r="T505" t="str">
        <f t="shared" si="111"/>
        <v>Phones</v>
      </c>
      <c r="U505" t="s">
        <v>2506</v>
      </c>
      <c r="V505" t="str">
        <f t="shared" si="112"/>
        <v>Smart Phones 674</v>
      </c>
      <c r="W505" t="s">
        <v>108</v>
      </c>
      <c r="X505" t="str">
        <f t="shared" si="113"/>
        <v>Standard Class</v>
      </c>
      <c r="Y505">
        <v>7</v>
      </c>
      <c r="Z505">
        <v>7</v>
      </c>
      <c r="AA505">
        <v>1681.6</v>
      </c>
      <c r="AB505">
        <v>0.1</v>
      </c>
      <c r="AC505">
        <f t="shared" si="114"/>
        <v>0.1</v>
      </c>
      <c r="AD505">
        <v>10594.08</v>
      </c>
      <c r="AE505">
        <f t="shared" si="115"/>
        <v>10594.08</v>
      </c>
      <c r="AF505">
        <v>7160.31</v>
      </c>
      <c r="AG505">
        <v>3433.77</v>
      </c>
      <c r="AH505">
        <f t="shared" si="116"/>
        <v>3433.77</v>
      </c>
      <c r="AI505">
        <f t="shared" si="117"/>
        <v>0.324121584885143</v>
      </c>
      <c r="AJ505" t="s">
        <v>77</v>
      </c>
      <c r="AK505" t="str">
        <f t="shared" si="118"/>
        <v>Paid</v>
      </c>
      <c r="AL505" t="s">
        <v>78</v>
      </c>
      <c r="AM505" t="str">
        <f t="shared" si="119"/>
        <v>Completed</v>
      </c>
      <c r="AN505">
        <v>9</v>
      </c>
      <c r="AO505">
        <v>2024</v>
      </c>
      <c r="AP505" t="s">
        <v>79</v>
      </c>
    </row>
    <row r="506" spans="1:42">
      <c r="A506" t="s">
        <v>2507</v>
      </c>
      <c r="B506" s="3" t="s">
        <v>2508</v>
      </c>
      <c r="C506" s="3">
        <v>45700</v>
      </c>
      <c r="D506" t="s">
        <v>2509</v>
      </c>
      <c r="E506" s="3">
        <v>45705</v>
      </c>
      <c r="F506" t="s">
        <v>2510</v>
      </c>
      <c r="G506" t="s">
        <v>103</v>
      </c>
      <c r="H506" t="str">
        <f t="shared" si="105"/>
        <v>Arjun Bose</v>
      </c>
      <c r="I506" t="s">
        <v>147</v>
      </c>
      <c r="J506" t="str">
        <f t="shared" si="106"/>
        <v>Corporate</v>
      </c>
      <c r="K506" t="s">
        <v>11</v>
      </c>
      <c r="L506" t="str">
        <f t="shared" si="107"/>
        <v>West</v>
      </c>
      <c r="M506" t="s">
        <v>278</v>
      </c>
      <c r="N506" t="str">
        <f t="shared" si="108"/>
        <v>Gujarat</v>
      </c>
      <c r="O506" t="s">
        <v>279</v>
      </c>
      <c r="P506" t="str">
        <f t="shared" si="109"/>
        <v>Ahmedabad</v>
      </c>
      <c r="Q506" t="s">
        <v>22</v>
      </c>
      <c r="R506" t="str">
        <f t="shared" si="110"/>
        <v>Office Supplies</v>
      </c>
      <c r="S506" t="s">
        <v>96</v>
      </c>
      <c r="T506" t="str">
        <f t="shared" si="111"/>
        <v>Art</v>
      </c>
      <c r="U506" t="s">
        <v>2511</v>
      </c>
      <c r="V506" t="str">
        <f t="shared" si="112"/>
        <v>Elite Art 553</v>
      </c>
      <c r="W506" t="s">
        <v>108</v>
      </c>
      <c r="X506" t="str">
        <f t="shared" si="113"/>
        <v>Standard Class</v>
      </c>
      <c r="Y506">
        <v>5</v>
      </c>
      <c r="Z506">
        <v>4</v>
      </c>
      <c r="AA506">
        <v>4328.12</v>
      </c>
      <c r="AB506">
        <v>0</v>
      </c>
      <c r="AC506">
        <f t="shared" si="114"/>
        <v>0</v>
      </c>
      <c r="AD506">
        <v>17312.48</v>
      </c>
      <c r="AE506">
        <f t="shared" si="115"/>
        <v>17312.48</v>
      </c>
      <c r="AF506">
        <v>14424.22</v>
      </c>
      <c r="AG506">
        <v>2888.26</v>
      </c>
      <c r="AH506">
        <f t="shared" si="116"/>
        <v>2888.26</v>
      </c>
      <c r="AI506">
        <f t="shared" si="117"/>
        <v>0.166831095256139</v>
      </c>
      <c r="AJ506" t="s">
        <v>77</v>
      </c>
      <c r="AK506" t="str">
        <f t="shared" si="118"/>
        <v>Paid</v>
      </c>
      <c r="AL506" t="s">
        <v>78</v>
      </c>
      <c r="AM506" t="str">
        <f t="shared" si="119"/>
        <v>Completed</v>
      </c>
      <c r="AN506">
        <v>2</v>
      </c>
      <c r="AO506">
        <v>2025</v>
      </c>
      <c r="AP506" t="s">
        <v>79</v>
      </c>
    </row>
    <row r="507" spans="1:42">
      <c r="A507" t="s">
        <v>2512</v>
      </c>
      <c r="B507" s="3" t="s">
        <v>2513</v>
      </c>
      <c r="C507" s="3">
        <v>45605</v>
      </c>
      <c r="D507" t="s">
        <v>1432</v>
      </c>
      <c r="E507" s="3">
        <v>45610</v>
      </c>
      <c r="F507" t="s">
        <v>2514</v>
      </c>
      <c r="G507" t="s">
        <v>132</v>
      </c>
      <c r="H507" t="str">
        <f t="shared" si="105"/>
        <v>Neha Gupta</v>
      </c>
      <c r="I507" t="s">
        <v>147</v>
      </c>
      <c r="J507" t="str">
        <f t="shared" si="106"/>
        <v>Corporate</v>
      </c>
      <c r="K507" t="s">
        <v>11</v>
      </c>
      <c r="L507" t="str">
        <f t="shared" si="107"/>
        <v>West</v>
      </c>
      <c r="M507" t="s">
        <v>124</v>
      </c>
      <c r="N507" t="str">
        <f t="shared" si="108"/>
        <v>Madhya Pradesh</v>
      </c>
      <c r="O507" t="s">
        <v>125</v>
      </c>
      <c r="P507" t="str">
        <f t="shared" si="109"/>
        <v>Indore</v>
      </c>
      <c r="Q507" t="s">
        <v>22</v>
      </c>
      <c r="R507" t="str">
        <f t="shared" si="110"/>
        <v>Office Supplies</v>
      </c>
      <c r="S507" t="s">
        <v>96</v>
      </c>
      <c r="T507" t="str">
        <f t="shared" si="111"/>
        <v>Art</v>
      </c>
      <c r="U507" t="s">
        <v>2515</v>
      </c>
      <c r="V507" t="str">
        <f t="shared" si="112"/>
        <v>Classic Art 339</v>
      </c>
      <c r="W507" t="s">
        <v>98</v>
      </c>
      <c r="X507" t="str">
        <f t="shared" si="113"/>
        <v>First Class</v>
      </c>
      <c r="Y507">
        <v>5</v>
      </c>
      <c r="Z507">
        <v>9</v>
      </c>
      <c r="AA507">
        <v>2438.29</v>
      </c>
      <c r="AB507">
        <v>0.2</v>
      </c>
      <c r="AC507">
        <f t="shared" si="114"/>
        <v>0.2</v>
      </c>
      <c r="AD507">
        <v>17555.69</v>
      </c>
      <c r="AE507">
        <f t="shared" si="115"/>
        <v>17555.688</v>
      </c>
      <c r="AF507">
        <v>13293.2</v>
      </c>
      <c r="AG507">
        <v>4262.49</v>
      </c>
      <c r="AH507">
        <f t="shared" si="116"/>
        <v>4262.488</v>
      </c>
      <c r="AI507">
        <f t="shared" si="117"/>
        <v>0.242798117624328</v>
      </c>
      <c r="AJ507" t="s">
        <v>77</v>
      </c>
      <c r="AK507" t="str">
        <f t="shared" si="118"/>
        <v>Paid</v>
      </c>
      <c r="AL507" t="s">
        <v>118</v>
      </c>
      <c r="AM507" t="str">
        <f t="shared" si="119"/>
        <v>Cancelled</v>
      </c>
      <c r="AN507">
        <v>11</v>
      </c>
      <c r="AO507">
        <v>2024</v>
      </c>
      <c r="AP507" t="s">
        <v>79</v>
      </c>
    </row>
    <row r="508" spans="1:42">
      <c r="A508" t="s">
        <v>2516</v>
      </c>
      <c r="B508" s="3" t="s">
        <v>2517</v>
      </c>
      <c r="C508" s="3">
        <v>45641</v>
      </c>
      <c r="D508" t="s">
        <v>2518</v>
      </c>
      <c r="E508" s="3">
        <v>45641</v>
      </c>
      <c r="F508" t="s">
        <v>2519</v>
      </c>
      <c r="G508" t="s">
        <v>202</v>
      </c>
      <c r="H508" t="str">
        <f t="shared" si="105"/>
        <v>Aarav Sharma</v>
      </c>
      <c r="I508" t="s">
        <v>85</v>
      </c>
      <c r="J508" t="str">
        <f t="shared" si="106"/>
        <v>Small Business</v>
      </c>
      <c r="K508" t="s">
        <v>8</v>
      </c>
      <c r="L508" t="str">
        <f t="shared" si="107"/>
        <v>North</v>
      </c>
      <c r="M508" t="s">
        <v>194</v>
      </c>
      <c r="N508" t="str">
        <f t="shared" si="108"/>
        <v>Punjab</v>
      </c>
      <c r="O508" t="s">
        <v>195</v>
      </c>
      <c r="P508" t="str">
        <f t="shared" si="109"/>
        <v>Ludhiana</v>
      </c>
      <c r="Q508" t="s">
        <v>19</v>
      </c>
      <c r="R508" t="str">
        <f t="shared" si="110"/>
        <v>Furniture</v>
      </c>
      <c r="S508" t="s">
        <v>106</v>
      </c>
      <c r="T508" t="str">
        <f t="shared" si="111"/>
        <v>Furnishings</v>
      </c>
      <c r="U508" t="s">
        <v>2520</v>
      </c>
      <c r="V508" t="str">
        <f t="shared" si="112"/>
        <v>Smart Furnishings 352</v>
      </c>
      <c r="W508" t="s">
        <v>98</v>
      </c>
      <c r="X508" t="str">
        <f t="shared" si="113"/>
        <v>First Class</v>
      </c>
      <c r="Y508">
        <v>0</v>
      </c>
      <c r="Z508">
        <v>2</v>
      </c>
      <c r="AA508">
        <v>669.8</v>
      </c>
      <c r="AB508">
        <v>0.1</v>
      </c>
      <c r="AC508">
        <f t="shared" si="114"/>
        <v>0.1</v>
      </c>
      <c r="AD508">
        <v>1205.64</v>
      </c>
      <c r="AE508">
        <f t="shared" si="115"/>
        <v>1205.64</v>
      </c>
      <c r="AF508">
        <v>842.07</v>
      </c>
      <c r="AG508">
        <v>363.57</v>
      </c>
      <c r="AH508">
        <f t="shared" si="116"/>
        <v>363.57</v>
      </c>
      <c r="AI508">
        <f t="shared" si="117"/>
        <v>0.301557678909127</v>
      </c>
      <c r="AJ508" t="s">
        <v>163</v>
      </c>
      <c r="AK508" t="str">
        <f t="shared" si="118"/>
        <v>Refunded</v>
      </c>
      <c r="AL508" t="s">
        <v>164</v>
      </c>
      <c r="AM508" t="str">
        <f t="shared" si="119"/>
        <v>Returned</v>
      </c>
      <c r="AN508">
        <v>12</v>
      </c>
      <c r="AO508">
        <v>2024</v>
      </c>
      <c r="AP508" t="s">
        <v>79</v>
      </c>
    </row>
    <row r="509" spans="1:42">
      <c r="A509" t="s">
        <v>2521</v>
      </c>
      <c r="B509" s="3" t="s">
        <v>2198</v>
      </c>
      <c r="C509" s="3">
        <v>45762</v>
      </c>
      <c r="D509" t="s">
        <v>2164</v>
      </c>
      <c r="E509" s="3">
        <v>45769</v>
      </c>
      <c r="F509" t="s">
        <v>2522</v>
      </c>
      <c r="G509" t="s">
        <v>95</v>
      </c>
      <c r="H509" t="str">
        <f t="shared" si="105"/>
        <v>Isha Nair</v>
      </c>
      <c r="I509" t="s">
        <v>85</v>
      </c>
      <c r="J509" t="str">
        <f t="shared" si="106"/>
        <v>Small Business</v>
      </c>
      <c r="K509" t="s">
        <v>8</v>
      </c>
      <c r="L509" t="str">
        <f t="shared" si="107"/>
        <v>North</v>
      </c>
      <c r="M509" t="s">
        <v>366</v>
      </c>
      <c r="N509" t="str">
        <f t="shared" si="108"/>
        <v>Haryana</v>
      </c>
      <c r="O509" t="s">
        <v>367</v>
      </c>
      <c r="P509" t="str">
        <f t="shared" si="109"/>
        <v>Gurugram</v>
      </c>
      <c r="Q509" t="s">
        <v>22</v>
      </c>
      <c r="R509" t="str">
        <f t="shared" si="110"/>
        <v>Office Supplies</v>
      </c>
      <c r="S509" t="s">
        <v>239</v>
      </c>
      <c r="T509" t="str">
        <f t="shared" si="111"/>
        <v>Binders</v>
      </c>
      <c r="U509" t="s">
        <v>2523</v>
      </c>
      <c r="V509" t="str">
        <f t="shared" si="112"/>
        <v>Classic Binders 602</v>
      </c>
      <c r="W509" t="s">
        <v>90</v>
      </c>
      <c r="X509" t="str">
        <f t="shared" si="113"/>
        <v>Same Day</v>
      </c>
      <c r="Y509">
        <v>7</v>
      </c>
      <c r="Z509">
        <v>4</v>
      </c>
      <c r="AA509">
        <v>2990.42</v>
      </c>
      <c r="AB509">
        <v>0.25</v>
      </c>
      <c r="AC509">
        <f t="shared" si="114"/>
        <v>0.25</v>
      </c>
      <c r="AD509">
        <v>8971.26</v>
      </c>
      <c r="AE509">
        <f t="shared" si="115"/>
        <v>8971.26</v>
      </c>
      <c r="AF509">
        <v>6814.35</v>
      </c>
      <c r="AG509">
        <v>2156.91</v>
      </c>
      <c r="AH509">
        <f t="shared" si="116"/>
        <v>2156.91</v>
      </c>
      <c r="AI509">
        <f t="shared" si="117"/>
        <v>0.240424421987547</v>
      </c>
      <c r="AJ509" t="s">
        <v>77</v>
      </c>
      <c r="AK509" t="str">
        <f t="shared" si="118"/>
        <v>Paid</v>
      </c>
      <c r="AL509" t="s">
        <v>78</v>
      </c>
      <c r="AM509" t="str">
        <f t="shared" si="119"/>
        <v>Completed</v>
      </c>
      <c r="AN509">
        <v>4</v>
      </c>
      <c r="AO509">
        <v>2025</v>
      </c>
      <c r="AP509" t="s">
        <v>79</v>
      </c>
    </row>
    <row r="510" spans="1:42">
      <c r="A510" t="s">
        <v>2524</v>
      </c>
      <c r="B510" s="3" t="s">
        <v>2525</v>
      </c>
      <c r="C510" s="3">
        <v>45382</v>
      </c>
      <c r="D510" t="s">
        <v>1472</v>
      </c>
      <c r="E510" s="3">
        <v>45389</v>
      </c>
      <c r="F510" t="s">
        <v>2526</v>
      </c>
      <c r="G510" t="s">
        <v>95</v>
      </c>
      <c r="H510" t="str">
        <f t="shared" si="105"/>
        <v>Isha Nair</v>
      </c>
      <c r="I510" t="s">
        <v>85</v>
      </c>
      <c r="J510" t="str">
        <f t="shared" si="106"/>
        <v>Small Business</v>
      </c>
      <c r="K510" t="s">
        <v>8</v>
      </c>
      <c r="L510" t="str">
        <f t="shared" si="107"/>
        <v>North</v>
      </c>
      <c r="M510" t="s">
        <v>366</v>
      </c>
      <c r="N510" t="str">
        <f t="shared" si="108"/>
        <v>Haryana</v>
      </c>
      <c r="O510" t="s">
        <v>367</v>
      </c>
      <c r="P510" t="str">
        <f t="shared" si="109"/>
        <v>Gurugram</v>
      </c>
      <c r="Q510" t="s">
        <v>24</v>
      </c>
      <c r="R510" t="str">
        <f t="shared" si="110"/>
        <v>Technology</v>
      </c>
      <c r="S510" t="s">
        <v>427</v>
      </c>
      <c r="T510" t="str">
        <f t="shared" si="111"/>
        <v>Machines</v>
      </c>
      <c r="U510" t="s">
        <v>2527</v>
      </c>
      <c r="V510" t="str">
        <f t="shared" si="112"/>
        <v>Smart Machines 853</v>
      </c>
      <c r="W510" t="s">
        <v>76</v>
      </c>
      <c r="X510" t="str">
        <f t="shared" si="113"/>
        <v>Second Class</v>
      </c>
      <c r="Y510">
        <v>7</v>
      </c>
      <c r="Z510">
        <v>4</v>
      </c>
      <c r="AA510">
        <v>1831</v>
      </c>
      <c r="AB510">
        <v>0</v>
      </c>
      <c r="AC510">
        <f t="shared" si="114"/>
        <v>0</v>
      </c>
      <c r="AD510">
        <v>7324</v>
      </c>
      <c r="AE510">
        <f t="shared" si="115"/>
        <v>7324</v>
      </c>
      <c r="AF510">
        <v>4179.63</v>
      </c>
      <c r="AG510">
        <v>3144.37</v>
      </c>
      <c r="AH510">
        <f t="shared" si="116"/>
        <v>3144.37</v>
      </c>
      <c r="AI510">
        <f t="shared" si="117"/>
        <v>0.429324139814309</v>
      </c>
      <c r="AJ510" t="s">
        <v>77</v>
      </c>
      <c r="AK510" t="str">
        <f t="shared" si="118"/>
        <v>Paid</v>
      </c>
      <c r="AL510" t="s">
        <v>78</v>
      </c>
      <c r="AM510" t="str">
        <f t="shared" si="119"/>
        <v>Completed</v>
      </c>
      <c r="AN510">
        <v>3</v>
      </c>
      <c r="AO510">
        <v>2024</v>
      </c>
      <c r="AP510" t="s">
        <v>79</v>
      </c>
    </row>
    <row r="511" spans="1:42">
      <c r="A511" t="s">
        <v>2528</v>
      </c>
      <c r="B511" s="3" t="s">
        <v>2529</v>
      </c>
      <c r="C511" s="3">
        <v>45789</v>
      </c>
      <c r="D511" t="s">
        <v>2530</v>
      </c>
      <c r="E511" s="3">
        <v>45791</v>
      </c>
      <c r="F511" t="s">
        <v>2531</v>
      </c>
      <c r="G511" t="s">
        <v>132</v>
      </c>
      <c r="H511" t="str">
        <f t="shared" si="105"/>
        <v>Neha Gupta</v>
      </c>
      <c r="I511" t="s">
        <v>71</v>
      </c>
      <c r="J511" t="str">
        <f t="shared" si="106"/>
        <v>Consumer</v>
      </c>
      <c r="K511" t="s">
        <v>11</v>
      </c>
      <c r="L511" t="str">
        <f t="shared" si="107"/>
        <v>West</v>
      </c>
      <c r="M511" t="s">
        <v>278</v>
      </c>
      <c r="N511" t="str">
        <f t="shared" si="108"/>
        <v>Gujarat</v>
      </c>
      <c r="O511" t="s">
        <v>279</v>
      </c>
      <c r="P511" t="str">
        <f t="shared" si="109"/>
        <v>Ahmedabad</v>
      </c>
      <c r="Q511" t="s">
        <v>24</v>
      </c>
      <c r="R511" t="str">
        <f t="shared" si="110"/>
        <v>Technology</v>
      </c>
      <c r="S511" t="s">
        <v>427</v>
      </c>
      <c r="T511" t="str">
        <f t="shared" si="111"/>
        <v>Machines</v>
      </c>
      <c r="U511" t="s">
        <v>2532</v>
      </c>
      <c r="V511" t="str">
        <f t="shared" si="112"/>
        <v>Classic Machines 599</v>
      </c>
      <c r="W511" t="s">
        <v>90</v>
      </c>
      <c r="X511" t="str">
        <f t="shared" si="113"/>
        <v>Same Day</v>
      </c>
      <c r="Y511">
        <v>2</v>
      </c>
      <c r="Z511">
        <v>8</v>
      </c>
      <c r="AA511">
        <v>3631.44</v>
      </c>
      <c r="AB511">
        <v>0.2</v>
      </c>
      <c r="AC511">
        <f t="shared" si="114"/>
        <v>0.2</v>
      </c>
      <c r="AD511">
        <v>23241.22</v>
      </c>
      <c r="AE511">
        <f t="shared" si="115"/>
        <v>23241.216</v>
      </c>
      <c r="AF511">
        <v>17220.9</v>
      </c>
      <c r="AG511">
        <v>6020.32</v>
      </c>
      <c r="AH511">
        <f t="shared" si="116"/>
        <v>6020.316</v>
      </c>
      <c r="AI511">
        <f t="shared" si="117"/>
        <v>0.259036188123719</v>
      </c>
      <c r="AJ511" t="s">
        <v>77</v>
      </c>
      <c r="AK511" t="str">
        <f t="shared" si="118"/>
        <v>Paid</v>
      </c>
      <c r="AL511" t="s">
        <v>78</v>
      </c>
      <c r="AM511" t="str">
        <f t="shared" si="119"/>
        <v>Completed</v>
      </c>
      <c r="AN511">
        <v>5</v>
      </c>
      <c r="AO511">
        <v>2025</v>
      </c>
      <c r="AP511" t="s">
        <v>79</v>
      </c>
    </row>
    <row r="512" spans="1:42">
      <c r="A512" t="s">
        <v>2533</v>
      </c>
      <c r="B512" s="3" t="s">
        <v>691</v>
      </c>
      <c r="C512" s="3">
        <v>45583</v>
      </c>
      <c r="D512" t="s">
        <v>2534</v>
      </c>
      <c r="E512" s="3">
        <v>45586</v>
      </c>
      <c r="F512" t="s">
        <v>2535</v>
      </c>
      <c r="G512" t="s">
        <v>2536</v>
      </c>
      <c r="H512" t="str">
        <f t="shared" si="105"/>
        <v>Aarav Sharma</v>
      </c>
      <c r="I512" t="s">
        <v>71</v>
      </c>
      <c r="J512" t="str">
        <f t="shared" si="106"/>
        <v>Consumer</v>
      </c>
      <c r="K512" t="s">
        <v>10</v>
      </c>
      <c r="L512" t="str">
        <f t="shared" si="107"/>
        <v>South</v>
      </c>
      <c r="M512" t="s">
        <v>272</v>
      </c>
      <c r="N512" t="str">
        <f t="shared" si="108"/>
        <v>Karnataka</v>
      </c>
      <c r="O512" t="s">
        <v>273</v>
      </c>
      <c r="P512" t="str">
        <f t="shared" si="109"/>
        <v>Bengaluru</v>
      </c>
      <c r="Q512" t="s">
        <v>22</v>
      </c>
      <c r="R512" t="str">
        <f t="shared" si="110"/>
        <v>Office Supplies</v>
      </c>
      <c r="S512" t="s">
        <v>196</v>
      </c>
      <c r="T512" t="str">
        <f t="shared" si="111"/>
        <v>Storage</v>
      </c>
      <c r="U512" t="s">
        <v>2537</v>
      </c>
      <c r="V512" t="str">
        <f t="shared" si="112"/>
        <v>Pro Storage 373</v>
      </c>
      <c r="W512" t="s">
        <v>76</v>
      </c>
      <c r="X512" t="str">
        <f t="shared" si="113"/>
        <v>Second Class</v>
      </c>
      <c r="Y512">
        <v>3</v>
      </c>
      <c r="Z512">
        <v>2</v>
      </c>
      <c r="AA512">
        <v>4238.51</v>
      </c>
      <c r="AB512">
        <v>0</v>
      </c>
      <c r="AC512">
        <f t="shared" si="114"/>
        <v>0</v>
      </c>
      <c r="AD512">
        <v>8477.02</v>
      </c>
      <c r="AE512">
        <f t="shared" si="115"/>
        <v>8477.02</v>
      </c>
      <c r="AF512">
        <v>6884.96</v>
      </c>
      <c r="AG512">
        <v>1592.06</v>
      </c>
      <c r="AH512">
        <f t="shared" si="116"/>
        <v>1592.06</v>
      </c>
      <c r="AI512">
        <f t="shared" si="117"/>
        <v>0.187808923418843</v>
      </c>
      <c r="AJ512" t="s">
        <v>77</v>
      </c>
      <c r="AK512" t="str">
        <f t="shared" si="118"/>
        <v>Paid</v>
      </c>
      <c r="AL512" t="s">
        <v>78</v>
      </c>
      <c r="AM512" t="str">
        <f t="shared" si="119"/>
        <v>Completed</v>
      </c>
      <c r="AN512">
        <v>10</v>
      </c>
      <c r="AO512">
        <v>2024</v>
      </c>
      <c r="AP512" t="s">
        <v>79</v>
      </c>
    </row>
    <row r="513" spans="1:42">
      <c r="A513" t="s">
        <v>2538</v>
      </c>
      <c r="B513" s="3" t="s">
        <v>2539</v>
      </c>
      <c r="C513" s="3">
        <v>45588</v>
      </c>
      <c r="D513" t="s">
        <v>2540</v>
      </c>
      <c r="E513" s="3">
        <v>45591</v>
      </c>
      <c r="F513" t="s">
        <v>2541</v>
      </c>
      <c r="G513" t="s">
        <v>208</v>
      </c>
      <c r="H513" t="str">
        <f t="shared" si="105"/>
        <v>Sneha Kapoor</v>
      </c>
      <c r="I513" t="s">
        <v>71</v>
      </c>
      <c r="J513" t="str">
        <f t="shared" si="106"/>
        <v>Consumer</v>
      </c>
      <c r="K513" t="s">
        <v>11</v>
      </c>
      <c r="L513" t="str">
        <f t="shared" si="107"/>
        <v>West</v>
      </c>
      <c r="M513" t="s">
        <v>124</v>
      </c>
      <c r="N513" t="str">
        <f t="shared" si="108"/>
        <v>Madhya Pradesh</v>
      </c>
      <c r="O513" t="s">
        <v>125</v>
      </c>
      <c r="P513" t="str">
        <f t="shared" si="109"/>
        <v>Indore</v>
      </c>
      <c r="Q513" t="s">
        <v>19</v>
      </c>
      <c r="R513" t="str">
        <f t="shared" si="110"/>
        <v>Furniture</v>
      </c>
      <c r="S513" t="s">
        <v>245</v>
      </c>
      <c r="T513" t="str">
        <f t="shared" si="111"/>
        <v>Bookcases</v>
      </c>
      <c r="U513" t="s">
        <v>2542</v>
      </c>
      <c r="V513" t="str">
        <f t="shared" si="112"/>
        <v>Smart Bookcases 920</v>
      </c>
      <c r="W513" t="s">
        <v>108</v>
      </c>
      <c r="X513" t="str">
        <f t="shared" si="113"/>
        <v>Standard Class</v>
      </c>
      <c r="Y513">
        <v>3</v>
      </c>
      <c r="Z513">
        <v>9</v>
      </c>
      <c r="AA513">
        <v>544.27</v>
      </c>
      <c r="AB513">
        <v>0.25</v>
      </c>
      <c r="AC513">
        <f t="shared" si="114"/>
        <v>0.25</v>
      </c>
      <c r="AD513">
        <v>3673.82</v>
      </c>
      <c r="AE513">
        <f t="shared" si="115"/>
        <v>3673.8225</v>
      </c>
      <c r="AF513">
        <v>2088.15</v>
      </c>
      <c r="AG513">
        <v>1585.67</v>
      </c>
      <c r="AH513">
        <f t="shared" si="116"/>
        <v>1585.6725</v>
      </c>
      <c r="AI513">
        <f t="shared" si="117"/>
        <v>0.431613802789873</v>
      </c>
      <c r="AJ513" t="s">
        <v>77</v>
      </c>
      <c r="AK513" t="str">
        <f t="shared" si="118"/>
        <v>Paid</v>
      </c>
      <c r="AL513" t="s">
        <v>78</v>
      </c>
      <c r="AM513" t="str">
        <f t="shared" si="119"/>
        <v>Completed</v>
      </c>
      <c r="AN513">
        <v>10</v>
      </c>
      <c r="AO513">
        <v>2024</v>
      </c>
      <c r="AP513" t="s">
        <v>79</v>
      </c>
    </row>
    <row r="514" spans="1:42">
      <c r="A514" t="s">
        <v>2543</v>
      </c>
      <c r="B514" s="3" t="s">
        <v>836</v>
      </c>
      <c r="C514" s="3">
        <v>45718</v>
      </c>
      <c r="D514" t="s">
        <v>2544</v>
      </c>
      <c r="E514" s="3">
        <v>45719</v>
      </c>
      <c r="F514" t="s">
        <v>1954</v>
      </c>
      <c r="G514" t="s">
        <v>95</v>
      </c>
      <c r="H514" t="str">
        <f t="shared" ref="H514:H577" si="120">PROPER(TRIM(G514))</f>
        <v>Isha Nair</v>
      </c>
      <c r="I514" t="s">
        <v>147</v>
      </c>
      <c r="J514" t="str">
        <f t="shared" ref="J514:J577" si="121">PROPER(TRIM(I514))</f>
        <v>Corporate</v>
      </c>
      <c r="K514" t="s">
        <v>10</v>
      </c>
      <c r="L514" t="str">
        <f t="shared" ref="L514:L577" si="122">PROPER(TRIM(K514))</f>
        <v>South</v>
      </c>
      <c r="M514" t="s">
        <v>285</v>
      </c>
      <c r="N514" t="str">
        <f t="shared" ref="N514:N577" si="123">PROPER(TRIM(M514))</f>
        <v>Kerala</v>
      </c>
      <c r="O514" t="s">
        <v>286</v>
      </c>
      <c r="P514" t="str">
        <f t="shared" ref="P514:P577" si="124">PROPER(TRIM(O514))</f>
        <v>Kochi</v>
      </c>
      <c r="Q514" t="s">
        <v>22</v>
      </c>
      <c r="R514" t="str">
        <f t="shared" ref="R514:R577" si="125">PROPER(TRIM(Q514))</f>
        <v>Office Supplies</v>
      </c>
      <c r="S514" t="s">
        <v>148</v>
      </c>
      <c r="T514" t="str">
        <f t="shared" ref="T514:T577" si="126">PROPER(TRIM(S514))</f>
        <v>Labels</v>
      </c>
      <c r="U514" t="s">
        <v>2545</v>
      </c>
      <c r="V514" t="str">
        <f t="shared" ref="V514:V577" si="127">PROPER(TRIM(U514))</f>
        <v>Pro Labels 849</v>
      </c>
      <c r="W514" t="s">
        <v>76</v>
      </c>
      <c r="X514" t="str">
        <f t="shared" ref="X514:X577" si="128">PROPER(TRIM(W514))</f>
        <v>Second Class</v>
      </c>
      <c r="Y514">
        <v>1</v>
      </c>
      <c r="Z514">
        <v>2</v>
      </c>
      <c r="AA514">
        <v>4031.45</v>
      </c>
      <c r="AB514">
        <v>0.25</v>
      </c>
      <c r="AC514">
        <f t="shared" ref="AC514:AC577" si="129">IF(OR(AB514="",AB514&lt;0),0,AB514)</f>
        <v>0.25</v>
      </c>
      <c r="AD514">
        <v>6047.17</v>
      </c>
      <c r="AE514">
        <f t="shared" ref="AE514:AE577" si="130">Z514*AA514*(1-AC514)</f>
        <v>6047.175</v>
      </c>
      <c r="AF514">
        <v>3368.79</v>
      </c>
      <c r="AG514">
        <v>2678.38</v>
      </c>
      <c r="AH514">
        <f t="shared" ref="AH514:AH577" si="131">AE514-AF514</f>
        <v>2678.385</v>
      </c>
      <c r="AI514">
        <f t="shared" ref="AI514:AI577" si="132">AH514/AE514</f>
        <v>0.442915080182068</v>
      </c>
      <c r="AJ514" t="s">
        <v>77</v>
      </c>
      <c r="AK514" t="str">
        <f t="shared" ref="AK514:AK577" si="133">PROPER(TRIM(AJ514))</f>
        <v>Paid</v>
      </c>
      <c r="AL514" t="s">
        <v>78</v>
      </c>
      <c r="AM514" t="str">
        <f t="shared" ref="AM514:AM577" si="134">PROPER(TRIM(AL514))</f>
        <v>Completed</v>
      </c>
      <c r="AN514">
        <v>3</v>
      </c>
      <c r="AO514">
        <v>2025</v>
      </c>
      <c r="AP514" t="s">
        <v>79</v>
      </c>
    </row>
    <row r="515" spans="1:42">
      <c r="A515" t="s">
        <v>2546</v>
      </c>
      <c r="B515" s="3" t="s">
        <v>1047</v>
      </c>
      <c r="C515" s="3">
        <v>45835</v>
      </c>
      <c r="D515" t="s">
        <v>2453</v>
      </c>
      <c r="E515" s="3">
        <v>45840</v>
      </c>
      <c r="F515" t="s">
        <v>2547</v>
      </c>
      <c r="G515" t="s">
        <v>202</v>
      </c>
      <c r="H515" t="str">
        <f t="shared" si="120"/>
        <v>Aarav Sharma</v>
      </c>
      <c r="I515" t="s">
        <v>147</v>
      </c>
      <c r="J515" t="str">
        <f t="shared" si="121"/>
        <v>Corporate</v>
      </c>
      <c r="K515" t="s">
        <v>10</v>
      </c>
      <c r="L515" t="str">
        <f t="shared" si="122"/>
        <v>South</v>
      </c>
      <c r="M515" t="s">
        <v>285</v>
      </c>
      <c r="N515" t="str">
        <f t="shared" si="123"/>
        <v>Kerala</v>
      </c>
      <c r="O515" t="s">
        <v>286</v>
      </c>
      <c r="P515" t="str">
        <f t="shared" si="124"/>
        <v>Kochi</v>
      </c>
      <c r="Q515" t="s">
        <v>24</v>
      </c>
      <c r="R515" t="str">
        <f t="shared" si="125"/>
        <v>Technology</v>
      </c>
      <c r="S515" t="s">
        <v>2548</v>
      </c>
      <c r="T515" t="str">
        <f t="shared" si="126"/>
        <v>Accessories</v>
      </c>
      <c r="U515" t="s">
        <v>2549</v>
      </c>
      <c r="V515" t="str">
        <f t="shared" si="127"/>
        <v>Prime Accessories 849</v>
      </c>
      <c r="W515" t="s">
        <v>98</v>
      </c>
      <c r="X515" t="str">
        <f t="shared" si="128"/>
        <v>First Class</v>
      </c>
      <c r="Y515">
        <v>5</v>
      </c>
      <c r="Z515">
        <v>6</v>
      </c>
      <c r="AA515">
        <v>1099.49</v>
      </c>
      <c r="AB515">
        <v>0.1</v>
      </c>
      <c r="AC515">
        <f t="shared" si="129"/>
        <v>0.1</v>
      </c>
      <c r="AD515">
        <v>6212.38</v>
      </c>
      <c r="AE515">
        <f t="shared" si="130"/>
        <v>5937.246</v>
      </c>
      <c r="AF515">
        <v>4088.46</v>
      </c>
      <c r="AG515">
        <v>1848.79</v>
      </c>
      <c r="AH515">
        <f t="shared" si="131"/>
        <v>1848.786</v>
      </c>
      <c r="AI515">
        <f t="shared" si="132"/>
        <v>0.31138780505305</v>
      </c>
      <c r="AJ515" t="s">
        <v>77</v>
      </c>
      <c r="AK515" t="str">
        <f t="shared" si="133"/>
        <v>Paid</v>
      </c>
      <c r="AL515" t="s">
        <v>78</v>
      </c>
      <c r="AM515" t="str">
        <f t="shared" si="134"/>
        <v>Completed</v>
      </c>
      <c r="AN515">
        <v>6</v>
      </c>
      <c r="AO515">
        <v>2025</v>
      </c>
      <c r="AP515" t="s">
        <v>79</v>
      </c>
    </row>
    <row r="516" spans="1:42">
      <c r="A516" t="s">
        <v>2550</v>
      </c>
      <c r="B516" s="3" t="s">
        <v>2551</v>
      </c>
      <c r="C516" s="3">
        <v>45614</v>
      </c>
      <c r="D516" t="s">
        <v>2463</v>
      </c>
      <c r="E516" s="3">
        <v>45618</v>
      </c>
      <c r="F516" t="s">
        <v>2552</v>
      </c>
      <c r="G516" t="s">
        <v>70</v>
      </c>
      <c r="H516" t="str">
        <f t="shared" si="120"/>
        <v>Karan Malhotra</v>
      </c>
      <c r="I516" t="s">
        <v>154</v>
      </c>
      <c r="J516" t="str">
        <f t="shared" si="121"/>
        <v>Home Office</v>
      </c>
      <c r="K516" t="s">
        <v>10</v>
      </c>
      <c r="L516" t="str">
        <f t="shared" si="122"/>
        <v>South</v>
      </c>
      <c r="M516" t="s">
        <v>285</v>
      </c>
      <c r="N516" t="str">
        <f t="shared" si="123"/>
        <v>Kerala</v>
      </c>
      <c r="O516" t="s">
        <v>286</v>
      </c>
      <c r="P516" t="str">
        <f t="shared" si="124"/>
        <v>Kochi</v>
      </c>
      <c r="Q516" t="s">
        <v>24</v>
      </c>
      <c r="R516" t="str">
        <f t="shared" si="125"/>
        <v>Technology</v>
      </c>
      <c r="S516" t="s">
        <v>126</v>
      </c>
      <c r="T516" t="str">
        <f t="shared" si="126"/>
        <v>Accessories</v>
      </c>
      <c r="U516" t="s">
        <v>2553</v>
      </c>
      <c r="V516" t="str">
        <f t="shared" si="127"/>
        <v>Smart Accessories 388</v>
      </c>
      <c r="W516" t="s">
        <v>108</v>
      </c>
      <c r="X516" t="str">
        <f t="shared" si="128"/>
        <v>Standard Class</v>
      </c>
      <c r="Y516">
        <v>4</v>
      </c>
      <c r="Z516">
        <v>6</v>
      </c>
      <c r="AA516">
        <v>3872.94</v>
      </c>
      <c r="AB516">
        <v>0.1</v>
      </c>
      <c r="AC516">
        <f t="shared" si="129"/>
        <v>0.1</v>
      </c>
      <c r="AD516">
        <v>20913.88</v>
      </c>
      <c r="AE516">
        <f t="shared" si="130"/>
        <v>20913.876</v>
      </c>
      <c r="AF516">
        <v>11684.68</v>
      </c>
      <c r="AG516">
        <v>9229.2</v>
      </c>
      <c r="AH516">
        <f t="shared" si="131"/>
        <v>9229.196</v>
      </c>
      <c r="AI516">
        <f t="shared" si="132"/>
        <v>0.441295339037106</v>
      </c>
      <c r="AJ516" t="s">
        <v>77</v>
      </c>
      <c r="AK516" t="str">
        <f t="shared" si="133"/>
        <v>Paid</v>
      </c>
      <c r="AL516" t="s">
        <v>78</v>
      </c>
      <c r="AM516" t="str">
        <f t="shared" si="134"/>
        <v>Completed</v>
      </c>
      <c r="AN516">
        <v>11</v>
      </c>
      <c r="AO516">
        <v>2024</v>
      </c>
      <c r="AP516" t="s">
        <v>79</v>
      </c>
    </row>
    <row r="517" spans="1:42">
      <c r="A517" t="s">
        <v>2554</v>
      </c>
      <c r="B517" s="3" t="s">
        <v>2197</v>
      </c>
      <c r="C517" s="3">
        <v>45758</v>
      </c>
      <c r="D517" t="s">
        <v>2555</v>
      </c>
      <c r="E517" s="3">
        <v>45758</v>
      </c>
      <c r="F517" t="s">
        <v>2556</v>
      </c>
      <c r="G517" t="s">
        <v>188</v>
      </c>
      <c r="H517" t="str">
        <f t="shared" si="120"/>
        <v>Rahul Verma</v>
      </c>
      <c r="I517" t="s">
        <v>147</v>
      </c>
      <c r="J517" t="str">
        <f t="shared" si="121"/>
        <v>Corporate</v>
      </c>
      <c r="K517" t="s">
        <v>8</v>
      </c>
      <c r="L517" t="str">
        <f t="shared" si="122"/>
        <v>North</v>
      </c>
      <c r="M517" t="s">
        <v>552</v>
      </c>
      <c r="N517" t="str">
        <f t="shared" si="123"/>
        <v>Delhi</v>
      </c>
      <c r="O517" t="s">
        <v>553</v>
      </c>
      <c r="P517" t="str">
        <f t="shared" si="124"/>
        <v>New Delhi</v>
      </c>
      <c r="Q517" t="s">
        <v>22</v>
      </c>
      <c r="R517" t="str">
        <f t="shared" si="125"/>
        <v>Office Supplies</v>
      </c>
      <c r="S517" t="s">
        <v>74</v>
      </c>
      <c r="T517" t="str">
        <f t="shared" si="126"/>
        <v>Paper</v>
      </c>
      <c r="U517" t="s">
        <v>2557</v>
      </c>
      <c r="V517" t="str">
        <f t="shared" si="127"/>
        <v>Classic Paper 752</v>
      </c>
      <c r="W517" t="s">
        <v>108</v>
      </c>
      <c r="X517" t="str">
        <f t="shared" si="128"/>
        <v>Standard Class</v>
      </c>
      <c r="Y517">
        <v>0</v>
      </c>
      <c r="Z517">
        <v>1</v>
      </c>
      <c r="AA517">
        <v>4458.49</v>
      </c>
      <c r="AB517">
        <v>-0.07</v>
      </c>
      <c r="AC517">
        <f t="shared" si="129"/>
        <v>0</v>
      </c>
      <c r="AD517">
        <v>3566.79</v>
      </c>
      <c r="AE517">
        <f t="shared" si="130"/>
        <v>4458.49</v>
      </c>
      <c r="AF517">
        <v>2083.41</v>
      </c>
      <c r="AG517">
        <v>1483.38</v>
      </c>
      <c r="AH517">
        <f t="shared" si="131"/>
        <v>2375.08</v>
      </c>
      <c r="AI517">
        <f t="shared" si="132"/>
        <v>0.532709504787495</v>
      </c>
      <c r="AJ517" t="s">
        <v>77</v>
      </c>
      <c r="AK517" t="str">
        <f t="shared" si="133"/>
        <v>Paid</v>
      </c>
      <c r="AL517" t="s">
        <v>78</v>
      </c>
      <c r="AM517" t="str">
        <f t="shared" si="134"/>
        <v>Completed</v>
      </c>
      <c r="AN517">
        <v>4</v>
      </c>
      <c r="AO517">
        <v>2025</v>
      </c>
      <c r="AP517" t="s">
        <v>222</v>
      </c>
    </row>
    <row r="518" spans="1:42">
      <c r="A518" t="s">
        <v>2558</v>
      </c>
      <c r="B518" s="3" t="s">
        <v>2559</v>
      </c>
      <c r="C518" s="3">
        <v>45563</v>
      </c>
      <c r="D518" t="s">
        <v>2560</v>
      </c>
      <c r="E518" s="3">
        <v>45569</v>
      </c>
      <c r="F518" t="s">
        <v>2561</v>
      </c>
      <c r="G518" t="s">
        <v>411</v>
      </c>
      <c r="H518" t="str">
        <f t="shared" si="120"/>
        <v>Kabir Singh</v>
      </c>
      <c r="I518" t="s">
        <v>154</v>
      </c>
      <c r="J518" t="str">
        <f t="shared" si="121"/>
        <v>Home Office</v>
      </c>
      <c r="K518" t="s">
        <v>8</v>
      </c>
      <c r="L518" t="str">
        <f t="shared" si="122"/>
        <v>North</v>
      </c>
      <c r="M518" t="s">
        <v>552</v>
      </c>
      <c r="N518" t="str">
        <f t="shared" si="123"/>
        <v>Delhi</v>
      </c>
      <c r="O518" t="s">
        <v>553</v>
      </c>
      <c r="P518" t="str">
        <f t="shared" si="124"/>
        <v>New Delhi</v>
      </c>
      <c r="Q518" t="s">
        <v>24</v>
      </c>
      <c r="R518" t="str">
        <f t="shared" si="125"/>
        <v>Technology</v>
      </c>
      <c r="S518" t="s">
        <v>133</v>
      </c>
      <c r="T518" t="str">
        <f t="shared" si="126"/>
        <v>Copiers</v>
      </c>
      <c r="U518" t="s">
        <v>2562</v>
      </c>
      <c r="V518" t="str">
        <f t="shared" si="127"/>
        <v>Classic Copiers 143</v>
      </c>
      <c r="W518" t="s">
        <v>108</v>
      </c>
      <c r="X518" t="str">
        <f t="shared" si="128"/>
        <v>Standard Class</v>
      </c>
      <c r="Y518">
        <v>6</v>
      </c>
      <c r="Z518">
        <v>1</v>
      </c>
      <c r="AA518">
        <v>2233.18</v>
      </c>
      <c r="AB518">
        <v>0</v>
      </c>
      <c r="AC518">
        <f t="shared" si="129"/>
        <v>0</v>
      </c>
      <c r="AD518">
        <v>2233.18</v>
      </c>
      <c r="AE518">
        <f t="shared" si="130"/>
        <v>2233.18</v>
      </c>
      <c r="AF518">
        <v>1585.82</v>
      </c>
      <c r="AG518">
        <v>647.36</v>
      </c>
      <c r="AH518">
        <f t="shared" si="131"/>
        <v>647.36</v>
      </c>
      <c r="AI518">
        <f t="shared" si="132"/>
        <v>0.289882588953868</v>
      </c>
      <c r="AJ518" t="s">
        <v>241</v>
      </c>
      <c r="AK518" t="str">
        <f t="shared" si="133"/>
        <v>Failed</v>
      </c>
      <c r="AL518" t="s">
        <v>164</v>
      </c>
      <c r="AM518" t="str">
        <f t="shared" si="134"/>
        <v>Returned</v>
      </c>
      <c r="AN518">
        <v>9</v>
      </c>
      <c r="AO518">
        <v>2024</v>
      </c>
      <c r="AP518" t="s">
        <v>79</v>
      </c>
    </row>
    <row r="519" spans="1:42">
      <c r="A519" t="s">
        <v>2563</v>
      </c>
      <c r="B519" s="3" t="s">
        <v>2564</v>
      </c>
      <c r="C519" s="3">
        <v>45802</v>
      </c>
      <c r="D519" t="s">
        <v>1736</v>
      </c>
      <c r="E519" s="3">
        <v>45804</v>
      </c>
      <c r="F519" t="s">
        <v>2565</v>
      </c>
      <c r="G519" t="s">
        <v>188</v>
      </c>
      <c r="H519" t="str">
        <f t="shared" si="120"/>
        <v>Rahul Verma</v>
      </c>
      <c r="I519" t="s">
        <v>71</v>
      </c>
      <c r="J519" t="str">
        <f t="shared" si="121"/>
        <v>Consumer</v>
      </c>
      <c r="K519" t="s">
        <v>7</v>
      </c>
      <c r="L519" t="str">
        <f t="shared" si="122"/>
        <v>East</v>
      </c>
      <c r="M519" t="s">
        <v>86</v>
      </c>
      <c r="N519" t="str">
        <f t="shared" si="123"/>
        <v>Odisha</v>
      </c>
      <c r="O519" t="s">
        <v>87</v>
      </c>
      <c r="P519" t="str">
        <f t="shared" si="124"/>
        <v>Bhubaneswar</v>
      </c>
      <c r="Q519" t="s">
        <v>19</v>
      </c>
      <c r="R519" t="str">
        <f t="shared" si="125"/>
        <v>Furniture</v>
      </c>
      <c r="S519" t="s">
        <v>106</v>
      </c>
      <c r="T519" t="str">
        <f t="shared" si="126"/>
        <v>Furnishings</v>
      </c>
      <c r="U519" t="s">
        <v>2566</v>
      </c>
      <c r="V519" t="str">
        <f t="shared" si="127"/>
        <v>Basic Furnishings 386</v>
      </c>
      <c r="W519" t="s">
        <v>76</v>
      </c>
      <c r="X519" t="str">
        <f t="shared" si="128"/>
        <v>Second Class</v>
      </c>
      <c r="Y519">
        <v>2</v>
      </c>
      <c r="Z519">
        <v>7</v>
      </c>
      <c r="AA519">
        <v>2123.28</v>
      </c>
      <c r="AB519">
        <v>0.2</v>
      </c>
      <c r="AC519">
        <f t="shared" si="129"/>
        <v>0.2</v>
      </c>
      <c r="AD519">
        <v>11890.37</v>
      </c>
      <c r="AE519">
        <f t="shared" si="130"/>
        <v>11890.368</v>
      </c>
      <c r="AF519">
        <v>9234.53</v>
      </c>
      <c r="AG519">
        <v>2655.84</v>
      </c>
      <c r="AH519">
        <f t="shared" si="131"/>
        <v>2655.838</v>
      </c>
      <c r="AI519">
        <f t="shared" si="132"/>
        <v>0.223360454445144</v>
      </c>
      <c r="AJ519" t="s">
        <v>163</v>
      </c>
      <c r="AK519" t="str">
        <f t="shared" si="133"/>
        <v>Refunded</v>
      </c>
      <c r="AL519" t="s">
        <v>164</v>
      </c>
      <c r="AM519" t="str">
        <f t="shared" si="134"/>
        <v>Returned</v>
      </c>
      <c r="AN519">
        <v>5</v>
      </c>
      <c r="AO519">
        <v>2025</v>
      </c>
      <c r="AP519" t="s">
        <v>79</v>
      </c>
    </row>
    <row r="520" spans="1:42">
      <c r="A520" t="s">
        <v>2567</v>
      </c>
      <c r="B520" s="3" t="s">
        <v>2448</v>
      </c>
      <c r="C520" s="3">
        <v>45777</v>
      </c>
      <c r="D520" t="s">
        <v>2568</v>
      </c>
      <c r="E520" s="3">
        <v>45773</v>
      </c>
      <c r="F520" t="s">
        <v>2569</v>
      </c>
      <c r="G520" t="s">
        <v>251</v>
      </c>
      <c r="H520" t="str">
        <f t="shared" si="120"/>
        <v>Diya Patel</v>
      </c>
      <c r="I520" t="s">
        <v>147</v>
      </c>
      <c r="J520" t="str">
        <f t="shared" si="121"/>
        <v>Corporate</v>
      </c>
      <c r="K520" t="s">
        <v>7</v>
      </c>
      <c r="L520" t="str">
        <f t="shared" si="122"/>
        <v>East</v>
      </c>
      <c r="M520" t="s">
        <v>86</v>
      </c>
      <c r="N520" t="str">
        <f t="shared" si="123"/>
        <v>Odisha</v>
      </c>
      <c r="O520" t="s">
        <v>87</v>
      </c>
      <c r="P520" t="str">
        <f t="shared" si="124"/>
        <v>Bhubaneswar</v>
      </c>
      <c r="Q520" t="s">
        <v>19</v>
      </c>
      <c r="R520" t="str">
        <f t="shared" si="125"/>
        <v>Furniture</v>
      </c>
      <c r="S520" t="s">
        <v>88</v>
      </c>
      <c r="T520" t="str">
        <f t="shared" si="126"/>
        <v>Tables</v>
      </c>
      <c r="U520" t="s">
        <v>2570</v>
      </c>
      <c r="V520" t="str">
        <f t="shared" si="127"/>
        <v>Classic Tables 592</v>
      </c>
      <c r="W520" t="s">
        <v>98</v>
      </c>
      <c r="X520" t="str">
        <f t="shared" si="128"/>
        <v>First Class</v>
      </c>
      <c r="Y520">
        <v>-4</v>
      </c>
      <c r="Z520">
        <v>7</v>
      </c>
      <c r="AA520">
        <v>1604.13</v>
      </c>
      <c r="AB520">
        <v>0.25</v>
      </c>
      <c r="AC520">
        <f t="shared" si="129"/>
        <v>0.25</v>
      </c>
      <c r="AD520">
        <v>8421.68</v>
      </c>
      <c r="AE520">
        <f t="shared" si="130"/>
        <v>8421.6825</v>
      </c>
      <c r="AF520">
        <v>6534.47</v>
      </c>
      <c r="AG520">
        <v>1887.21</v>
      </c>
      <c r="AH520">
        <f t="shared" si="131"/>
        <v>1887.2125</v>
      </c>
      <c r="AI520">
        <f t="shared" si="132"/>
        <v>0.224089723163988</v>
      </c>
      <c r="AJ520" t="s">
        <v>77</v>
      </c>
      <c r="AK520" t="str">
        <f t="shared" si="133"/>
        <v>Paid</v>
      </c>
      <c r="AL520" t="s">
        <v>118</v>
      </c>
      <c r="AM520" t="str">
        <f t="shared" si="134"/>
        <v>Cancelled</v>
      </c>
      <c r="AN520">
        <v>4</v>
      </c>
      <c r="AO520">
        <v>2025</v>
      </c>
      <c r="AP520" t="s">
        <v>253</v>
      </c>
    </row>
    <row r="521" spans="1:42">
      <c r="A521" t="s">
        <v>2571</v>
      </c>
      <c r="B521" s="3" t="s">
        <v>425</v>
      </c>
      <c r="C521" s="3">
        <v>45841</v>
      </c>
      <c r="D521" t="s">
        <v>2572</v>
      </c>
      <c r="E521" s="3">
        <v>45845</v>
      </c>
      <c r="F521" t="s">
        <v>2573</v>
      </c>
      <c r="G521" t="s">
        <v>182</v>
      </c>
      <c r="H521" t="str">
        <f t="shared" si="120"/>
        <v>Priya Menon</v>
      </c>
      <c r="I521" t="s">
        <v>71</v>
      </c>
      <c r="J521" t="str">
        <f t="shared" si="121"/>
        <v>Consumer</v>
      </c>
      <c r="K521" t="s">
        <v>8</v>
      </c>
      <c r="L521" t="str">
        <f t="shared" si="122"/>
        <v>North</v>
      </c>
      <c r="M521" t="s">
        <v>214</v>
      </c>
      <c r="N521" t="str">
        <f t="shared" si="123"/>
        <v>Uttar Pradesh</v>
      </c>
      <c r="O521" t="s">
        <v>215</v>
      </c>
      <c r="P521" t="str">
        <f t="shared" si="124"/>
        <v>Noida</v>
      </c>
      <c r="Q521" t="s">
        <v>19</v>
      </c>
      <c r="R521" t="str">
        <f t="shared" si="125"/>
        <v>Furniture</v>
      </c>
      <c r="S521" t="s">
        <v>88</v>
      </c>
      <c r="T521" t="str">
        <f t="shared" si="126"/>
        <v>Tables</v>
      </c>
      <c r="U521" t="s">
        <v>2574</v>
      </c>
      <c r="V521" t="str">
        <f t="shared" si="127"/>
        <v>Pro Tables 412</v>
      </c>
      <c r="W521" t="s">
        <v>108</v>
      </c>
      <c r="X521" t="str">
        <f t="shared" si="128"/>
        <v>Standard Class</v>
      </c>
      <c r="Y521">
        <v>4</v>
      </c>
      <c r="Z521">
        <v>4</v>
      </c>
      <c r="AA521">
        <v>4365.21</v>
      </c>
      <c r="AB521">
        <v>0.2</v>
      </c>
      <c r="AC521">
        <f t="shared" si="129"/>
        <v>0.2</v>
      </c>
      <c r="AD521">
        <v>13968.67</v>
      </c>
      <c r="AE521">
        <f t="shared" si="130"/>
        <v>13968.672</v>
      </c>
      <c r="AF521">
        <v>8857.58</v>
      </c>
      <c r="AG521">
        <v>5111.09</v>
      </c>
      <c r="AH521">
        <f t="shared" si="131"/>
        <v>5111.092</v>
      </c>
      <c r="AI521">
        <f t="shared" si="132"/>
        <v>0.365896772434774</v>
      </c>
      <c r="AJ521" t="s">
        <v>177</v>
      </c>
      <c r="AK521" t="str">
        <f t="shared" si="133"/>
        <v>Pending</v>
      </c>
      <c r="AL521" t="s">
        <v>118</v>
      </c>
      <c r="AM521" t="str">
        <f t="shared" si="134"/>
        <v>Cancelled</v>
      </c>
      <c r="AN521">
        <v>7</v>
      </c>
      <c r="AO521">
        <v>2025</v>
      </c>
      <c r="AP521" t="s">
        <v>79</v>
      </c>
    </row>
    <row r="522" spans="1:42">
      <c r="A522" t="s">
        <v>2575</v>
      </c>
      <c r="B522" s="3" t="s">
        <v>1160</v>
      </c>
      <c r="C522" s="3">
        <v>45489</v>
      </c>
      <c r="D522" t="s">
        <v>2576</v>
      </c>
      <c r="E522" s="3">
        <v>45496</v>
      </c>
      <c r="F522" t="s">
        <v>2577</v>
      </c>
      <c r="G522" t="s">
        <v>202</v>
      </c>
      <c r="H522" t="str">
        <f t="shared" si="120"/>
        <v>Aarav Sharma</v>
      </c>
      <c r="I522" t="s">
        <v>154</v>
      </c>
      <c r="J522" t="str">
        <f t="shared" si="121"/>
        <v>Home Office</v>
      </c>
      <c r="K522" t="s">
        <v>10</v>
      </c>
      <c r="L522" t="str">
        <f t="shared" si="122"/>
        <v>South</v>
      </c>
      <c r="M522" t="s">
        <v>272</v>
      </c>
      <c r="N522" t="str">
        <f t="shared" si="123"/>
        <v>Karnataka</v>
      </c>
      <c r="O522" t="s">
        <v>273</v>
      </c>
      <c r="P522" t="str">
        <f t="shared" si="124"/>
        <v>Bengaluru</v>
      </c>
      <c r="Q522" t="s">
        <v>24</v>
      </c>
      <c r="R522" t="str">
        <f t="shared" si="125"/>
        <v>Technology</v>
      </c>
      <c r="S522" t="s">
        <v>427</v>
      </c>
      <c r="T522" t="str">
        <f t="shared" si="126"/>
        <v>Machines</v>
      </c>
      <c r="U522" t="s">
        <v>2578</v>
      </c>
      <c r="V522" t="str">
        <f t="shared" si="127"/>
        <v>Prime Machines 393</v>
      </c>
      <c r="W522" t="s">
        <v>90</v>
      </c>
      <c r="X522" t="str">
        <f t="shared" si="128"/>
        <v>Same Day</v>
      </c>
      <c r="Y522">
        <v>7</v>
      </c>
      <c r="Z522">
        <v>1</v>
      </c>
      <c r="AA522">
        <v>1695.91</v>
      </c>
      <c r="AB522">
        <v>0.05</v>
      </c>
      <c r="AC522">
        <f t="shared" si="129"/>
        <v>0.05</v>
      </c>
      <c r="AD522">
        <v>1611.11</v>
      </c>
      <c r="AE522">
        <f t="shared" si="130"/>
        <v>1611.1145</v>
      </c>
      <c r="AF522">
        <v>895.15</v>
      </c>
      <c r="AG522">
        <v>715.96</v>
      </c>
      <c r="AH522">
        <f t="shared" si="131"/>
        <v>715.9645</v>
      </c>
      <c r="AI522">
        <f t="shared" si="132"/>
        <v>0.444390823867577</v>
      </c>
      <c r="AJ522" t="s">
        <v>77</v>
      </c>
      <c r="AK522" t="str">
        <f t="shared" si="133"/>
        <v>Paid</v>
      </c>
      <c r="AL522" t="s">
        <v>78</v>
      </c>
      <c r="AM522" t="str">
        <f t="shared" si="134"/>
        <v>Completed</v>
      </c>
      <c r="AN522">
        <v>7</v>
      </c>
      <c r="AO522">
        <v>2024</v>
      </c>
      <c r="AP522" t="s">
        <v>79</v>
      </c>
    </row>
    <row r="523" spans="1:42">
      <c r="A523" t="s">
        <v>2579</v>
      </c>
      <c r="B523" s="3" t="s">
        <v>2580</v>
      </c>
      <c r="C523" s="3">
        <v>45741</v>
      </c>
      <c r="D523" t="s">
        <v>2581</v>
      </c>
      <c r="E523" s="3">
        <v>45748</v>
      </c>
      <c r="F523" t="s">
        <v>2582</v>
      </c>
      <c r="G523" t="s">
        <v>251</v>
      </c>
      <c r="H523" t="str">
        <f t="shared" si="120"/>
        <v>Diya Patel</v>
      </c>
      <c r="I523" t="s">
        <v>71</v>
      </c>
      <c r="J523" t="str">
        <f t="shared" si="121"/>
        <v>Consumer</v>
      </c>
      <c r="K523" t="s">
        <v>8</v>
      </c>
      <c r="L523" t="str">
        <f t="shared" si="122"/>
        <v>North</v>
      </c>
      <c r="M523" t="s">
        <v>194</v>
      </c>
      <c r="N523" t="str">
        <f t="shared" si="123"/>
        <v>Punjab</v>
      </c>
      <c r="O523" t="s">
        <v>195</v>
      </c>
      <c r="P523" t="str">
        <f t="shared" si="124"/>
        <v>Ludhiana</v>
      </c>
      <c r="Q523" t="s">
        <v>22</v>
      </c>
      <c r="R523" t="str">
        <f t="shared" si="125"/>
        <v>Office Supplies</v>
      </c>
      <c r="S523" t="s">
        <v>148</v>
      </c>
      <c r="T523" t="str">
        <f t="shared" si="126"/>
        <v>Labels</v>
      </c>
      <c r="U523" t="s">
        <v>2583</v>
      </c>
      <c r="V523" t="str">
        <f t="shared" si="127"/>
        <v>Classic Labels 776</v>
      </c>
      <c r="W523" t="s">
        <v>76</v>
      </c>
      <c r="X523" t="str">
        <f t="shared" si="128"/>
        <v>Second Class</v>
      </c>
      <c r="Y523">
        <v>7</v>
      </c>
      <c r="Z523">
        <v>6</v>
      </c>
      <c r="AA523">
        <v>2192.11</v>
      </c>
      <c r="AB523">
        <v>0.05</v>
      </c>
      <c r="AC523">
        <f t="shared" si="129"/>
        <v>0.05</v>
      </c>
      <c r="AD523">
        <v>12495.03</v>
      </c>
      <c r="AE523">
        <f t="shared" si="130"/>
        <v>12495.027</v>
      </c>
      <c r="AF523">
        <v>9184.52</v>
      </c>
      <c r="AG523">
        <v>3310.51</v>
      </c>
      <c r="AH523">
        <f t="shared" si="131"/>
        <v>3310.507</v>
      </c>
      <c r="AI523">
        <f t="shared" si="132"/>
        <v>0.264945966103154</v>
      </c>
      <c r="AJ523" t="s">
        <v>77</v>
      </c>
      <c r="AK523" t="str">
        <f t="shared" si="133"/>
        <v>Paid</v>
      </c>
      <c r="AL523" t="s">
        <v>78</v>
      </c>
      <c r="AM523" t="str">
        <f t="shared" si="134"/>
        <v>Completed</v>
      </c>
      <c r="AN523">
        <v>3</v>
      </c>
      <c r="AO523">
        <v>2025</v>
      </c>
      <c r="AP523" t="s">
        <v>79</v>
      </c>
    </row>
    <row r="524" spans="1:42">
      <c r="A524" t="s">
        <v>2584</v>
      </c>
      <c r="B524" s="3" t="s">
        <v>2585</v>
      </c>
      <c r="C524" s="3">
        <v>45716</v>
      </c>
      <c r="D524" t="s">
        <v>2380</v>
      </c>
      <c r="E524" s="3">
        <v>45724</v>
      </c>
      <c r="F524" t="s">
        <v>2586</v>
      </c>
      <c r="G524" t="s">
        <v>132</v>
      </c>
      <c r="H524" t="str">
        <f t="shared" si="120"/>
        <v>Neha Gupta</v>
      </c>
      <c r="I524" t="s">
        <v>85</v>
      </c>
      <c r="J524" t="str">
        <f t="shared" si="121"/>
        <v>Small Business</v>
      </c>
      <c r="K524" t="s">
        <v>7</v>
      </c>
      <c r="L524" t="str">
        <f t="shared" si="122"/>
        <v>East</v>
      </c>
      <c r="M524" t="s">
        <v>354</v>
      </c>
      <c r="N524" t="str">
        <f t="shared" si="123"/>
        <v>Jharkhand</v>
      </c>
      <c r="O524" t="s">
        <v>355</v>
      </c>
      <c r="P524" t="str">
        <f t="shared" si="124"/>
        <v>Ranchi</v>
      </c>
      <c r="Q524" t="s">
        <v>24</v>
      </c>
      <c r="R524" t="str">
        <f t="shared" si="125"/>
        <v>Technology</v>
      </c>
      <c r="S524" t="s">
        <v>265</v>
      </c>
      <c r="T524" t="str">
        <f t="shared" si="126"/>
        <v>Phones</v>
      </c>
      <c r="U524" t="s">
        <v>2587</v>
      </c>
      <c r="V524" t="str">
        <f t="shared" si="127"/>
        <v>Max Phones 612</v>
      </c>
      <c r="W524" t="s">
        <v>98</v>
      </c>
      <c r="X524" t="str">
        <f t="shared" si="128"/>
        <v>First Class</v>
      </c>
      <c r="Y524">
        <v>8</v>
      </c>
      <c r="Z524">
        <v>9</v>
      </c>
      <c r="AA524">
        <v>3670.54</v>
      </c>
      <c r="AB524">
        <v>0</v>
      </c>
      <c r="AC524">
        <f t="shared" si="129"/>
        <v>0</v>
      </c>
      <c r="AD524">
        <v>33034.86</v>
      </c>
      <c r="AE524">
        <f t="shared" si="130"/>
        <v>33034.86</v>
      </c>
      <c r="AF524">
        <v>24539.83</v>
      </c>
      <c r="AG524">
        <v>8495.03</v>
      </c>
      <c r="AH524">
        <f t="shared" si="131"/>
        <v>8495.03</v>
      </c>
      <c r="AI524">
        <f t="shared" si="132"/>
        <v>0.257153503904663</v>
      </c>
      <c r="AJ524" t="s">
        <v>77</v>
      </c>
      <c r="AK524" t="str">
        <f t="shared" si="133"/>
        <v>Paid</v>
      </c>
      <c r="AL524" t="s">
        <v>78</v>
      </c>
      <c r="AM524" t="str">
        <f t="shared" si="134"/>
        <v>Completed</v>
      </c>
      <c r="AN524">
        <v>2</v>
      </c>
      <c r="AO524">
        <v>2025</v>
      </c>
      <c r="AP524" t="s">
        <v>79</v>
      </c>
    </row>
    <row r="525" spans="1:42">
      <c r="A525" t="s">
        <v>2588</v>
      </c>
      <c r="B525" s="3" t="s">
        <v>2589</v>
      </c>
      <c r="C525" s="3">
        <v>45384</v>
      </c>
      <c r="D525" t="s">
        <v>2590</v>
      </c>
      <c r="E525" s="3">
        <v>45385</v>
      </c>
      <c r="F525" t="s">
        <v>2591</v>
      </c>
      <c r="G525" t="s">
        <v>411</v>
      </c>
      <c r="H525" t="str">
        <f t="shared" si="120"/>
        <v>Kabir Singh</v>
      </c>
      <c r="I525" t="s">
        <v>154</v>
      </c>
      <c r="J525" t="str">
        <f t="shared" si="121"/>
        <v>Home Office</v>
      </c>
      <c r="K525" t="s">
        <v>11</v>
      </c>
      <c r="L525" t="str">
        <f t="shared" si="122"/>
        <v>West</v>
      </c>
      <c r="M525" t="s">
        <v>292</v>
      </c>
      <c r="N525" t="str">
        <f t="shared" si="123"/>
        <v>Goa</v>
      </c>
      <c r="O525" t="s">
        <v>293</v>
      </c>
      <c r="P525" t="str">
        <f t="shared" si="124"/>
        <v>Panaji</v>
      </c>
      <c r="Q525" t="s">
        <v>22</v>
      </c>
      <c r="R525" t="str">
        <f t="shared" si="125"/>
        <v>Office Supplies</v>
      </c>
      <c r="S525" t="s">
        <v>74</v>
      </c>
      <c r="T525" t="str">
        <f t="shared" si="126"/>
        <v>Paper</v>
      </c>
      <c r="U525" t="s">
        <v>2592</v>
      </c>
      <c r="V525" t="str">
        <f t="shared" si="127"/>
        <v>Basic Paper 315</v>
      </c>
      <c r="W525" t="s">
        <v>76</v>
      </c>
      <c r="X525" t="str">
        <f t="shared" si="128"/>
        <v>Second Class</v>
      </c>
      <c r="Y525">
        <v>1</v>
      </c>
      <c r="Z525">
        <v>2</v>
      </c>
      <c r="AA525">
        <v>2902.63</v>
      </c>
      <c r="AB525">
        <v>0</v>
      </c>
      <c r="AC525">
        <f t="shared" si="129"/>
        <v>0</v>
      </c>
      <c r="AD525">
        <v>5805.26</v>
      </c>
      <c r="AE525">
        <f t="shared" si="130"/>
        <v>5805.26</v>
      </c>
      <c r="AF525">
        <v>4654.36</v>
      </c>
      <c r="AG525">
        <v>1150.9</v>
      </c>
      <c r="AH525">
        <f t="shared" si="131"/>
        <v>1150.9</v>
      </c>
      <c r="AI525">
        <f t="shared" si="132"/>
        <v>0.198251241115816</v>
      </c>
      <c r="AJ525" t="s">
        <v>77</v>
      </c>
      <c r="AK525" t="str">
        <f t="shared" si="133"/>
        <v>Paid</v>
      </c>
      <c r="AL525" t="s">
        <v>164</v>
      </c>
      <c r="AM525" t="str">
        <f t="shared" si="134"/>
        <v>Returned</v>
      </c>
      <c r="AN525">
        <v>4</v>
      </c>
      <c r="AO525">
        <v>2024</v>
      </c>
      <c r="AP525" t="s">
        <v>79</v>
      </c>
    </row>
    <row r="526" spans="1:42">
      <c r="A526" t="s">
        <v>2593</v>
      </c>
      <c r="B526" s="3" t="s">
        <v>2594</v>
      </c>
      <c r="C526" s="3">
        <v>45626</v>
      </c>
      <c r="D526" t="s">
        <v>2595</v>
      </c>
      <c r="E526" s="3">
        <v>45627</v>
      </c>
      <c r="F526" t="s">
        <v>2596</v>
      </c>
      <c r="G526" t="s">
        <v>113</v>
      </c>
      <c r="H526" t="str">
        <f t="shared" si="120"/>
        <v>Ananya Rao</v>
      </c>
      <c r="I526" t="s">
        <v>147</v>
      </c>
      <c r="J526" t="str">
        <f t="shared" si="121"/>
        <v>Corporate</v>
      </c>
      <c r="K526" t="s">
        <v>11</v>
      </c>
      <c r="L526" t="str">
        <f t="shared" si="122"/>
        <v>West</v>
      </c>
      <c r="M526" t="s">
        <v>278</v>
      </c>
      <c r="N526" t="str">
        <f t="shared" si="123"/>
        <v>Gujarat</v>
      </c>
      <c r="O526" t="s">
        <v>279</v>
      </c>
      <c r="P526" t="str">
        <f t="shared" si="124"/>
        <v>Ahmedabad</v>
      </c>
      <c r="Q526" t="s">
        <v>19</v>
      </c>
      <c r="R526" t="str">
        <f t="shared" si="125"/>
        <v>Furniture</v>
      </c>
      <c r="S526" t="s">
        <v>116</v>
      </c>
      <c r="T526" t="str">
        <f t="shared" si="126"/>
        <v>Chairs</v>
      </c>
      <c r="U526" t="s">
        <v>2597</v>
      </c>
      <c r="V526" t="str">
        <f t="shared" si="127"/>
        <v>Basic Chairs 333</v>
      </c>
      <c r="W526" t="s">
        <v>98</v>
      </c>
      <c r="X526" t="str">
        <f t="shared" si="128"/>
        <v>First Class</v>
      </c>
      <c r="Y526">
        <v>1</v>
      </c>
      <c r="Z526">
        <v>9</v>
      </c>
      <c r="AA526">
        <v>4207.36</v>
      </c>
      <c r="AB526">
        <v>0.1</v>
      </c>
      <c r="AC526">
        <f t="shared" si="129"/>
        <v>0.1</v>
      </c>
      <c r="AD526">
        <v>34079.62</v>
      </c>
      <c r="AE526">
        <f t="shared" si="130"/>
        <v>34079.616</v>
      </c>
      <c r="AF526">
        <v>21871.39</v>
      </c>
      <c r="AG526">
        <v>12208.23</v>
      </c>
      <c r="AH526">
        <f t="shared" si="131"/>
        <v>12208.226</v>
      </c>
      <c r="AI526">
        <f t="shared" si="132"/>
        <v>0.358226630253111</v>
      </c>
      <c r="AJ526" t="s">
        <v>77</v>
      </c>
      <c r="AK526" t="str">
        <f t="shared" si="133"/>
        <v>Paid</v>
      </c>
      <c r="AL526" t="s">
        <v>78</v>
      </c>
      <c r="AM526" t="str">
        <f t="shared" si="134"/>
        <v>Completed</v>
      </c>
      <c r="AN526">
        <v>11</v>
      </c>
      <c r="AO526">
        <v>2024</v>
      </c>
      <c r="AP526" t="s">
        <v>79</v>
      </c>
    </row>
    <row r="527" spans="1:42">
      <c r="A527" t="s">
        <v>2598</v>
      </c>
      <c r="B527" s="3" t="s">
        <v>2599</v>
      </c>
      <c r="C527" s="3">
        <v>45582</v>
      </c>
      <c r="D527" t="s">
        <v>2600</v>
      </c>
      <c r="E527" s="3">
        <v>45582</v>
      </c>
      <c r="F527" t="s">
        <v>2601</v>
      </c>
      <c r="G527" t="s">
        <v>182</v>
      </c>
      <c r="H527" t="str">
        <f t="shared" si="120"/>
        <v>Priya Menon</v>
      </c>
      <c r="I527" t="s">
        <v>154</v>
      </c>
      <c r="J527" t="str">
        <f t="shared" si="121"/>
        <v>Home Office</v>
      </c>
      <c r="K527" t="s">
        <v>7</v>
      </c>
      <c r="L527" t="str">
        <f t="shared" si="122"/>
        <v>East</v>
      </c>
      <c r="M527" t="s">
        <v>160</v>
      </c>
      <c r="N527" t="str">
        <f t="shared" si="123"/>
        <v>West Bengal</v>
      </c>
      <c r="O527" t="s">
        <v>161</v>
      </c>
      <c r="P527" t="str">
        <f t="shared" si="124"/>
        <v>Kolkata</v>
      </c>
      <c r="Q527" t="s">
        <v>19</v>
      </c>
      <c r="R527" t="str">
        <f t="shared" si="125"/>
        <v>Furniture</v>
      </c>
      <c r="S527" t="s">
        <v>116</v>
      </c>
      <c r="T527" t="str">
        <f t="shared" si="126"/>
        <v>Chairs</v>
      </c>
      <c r="U527" t="s">
        <v>2602</v>
      </c>
      <c r="V527" t="str">
        <f t="shared" si="127"/>
        <v>Prime Chairs 215</v>
      </c>
      <c r="W527" t="s">
        <v>108</v>
      </c>
      <c r="X527" t="str">
        <f t="shared" si="128"/>
        <v>Standard Class</v>
      </c>
      <c r="Y527">
        <v>0</v>
      </c>
      <c r="Z527">
        <v>5</v>
      </c>
      <c r="AA527">
        <v>2524.4</v>
      </c>
      <c r="AB527">
        <v>0.1</v>
      </c>
      <c r="AC527">
        <f t="shared" si="129"/>
        <v>0.1</v>
      </c>
      <c r="AD527">
        <v>11359.8</v>
      </c>
      <c r="AE527">
        <f t="shared" si="130"/>
        <v>11359.8</v>
      </c>
      <c r="AF527">
        <v>7062.44</v>
      </c>
      <c r="AG527">
        <v>4297.36</v>
      </c>
      <c r="AH527">
        <f t="shared" si="131"/>
        <v>4297.36</v>
      </c>
      <c r="AI527">
        <f t="shared" si="132"/>
        <v>0.378295392524516</v>
      </c>
      <c r="AJ527" t="s">
        <v>77</v>
      </c>
      <c r="AK527" t="str">
        <f t="shared" si="133"/>
        <v>Paid</v>
      </c>
      <c r="AL527" t="s">
        <v>78</v>
      </c>
      <c r="AM527" t="str">
        <f t="shared" si="134"/>
        <v>Completed</v>
      </c>
      <c r="AN527">
        <v>10</v>
      </c>
      <c r="AO527">
        <v>2024</v>
      </c>
      <c r="AP527" t="s">
        <v>79</v>
      </c>
    </row>
    <row r="528" spans="1:42">
      <c r="A528" t="s">
        <v>2603</v>
      </c>
      <c r="B528" s="3" t="s">
        <v>2604</v>
      </c>
      <c r="C528" s="3">
        <v>45856</v>
      </c>
      <c r="D528" t="s">
        <v>2605</v>
      </c>
      <c r="E528" s="3">
        <v>45859</v>
      </c>
      <c r="F528" t="s">
        <v>2606</v>
      </c>
      <c r="G528" t="s">
        <v>182</v>
      </c>
      <c r="H528" t="str">
        <f t="shared" si="120"/>
        <v>Priya Menon</v>
      </c>
      <c r="I528" t="s">
        <v>71</v>
      </c>
      <c r="J528" t="str">
        <f t="shared" si="121"/>
        <v>Consumer</v>
      </c>
      <c r="K528" t="s">
        <v>7</v>
      </c>
      <c r="L528" t="str">
        <f t="shared" si="122"/>
        <v>East</v>
      </c>
      <c r="M528" t="s">
        <v>86</v>
      </c>
      <c r="N528" t="str">
        <f t="shared" si="123"/>
        <v>Odisha</v>
      </c>
      <c r="O528" t="s">
        <v>87</v>
      </c>
      <c r="P528" t="str">
        <f t="shared" si="124"/>
        <v>Bhubaneswar</v>
      </c>
      <c r="Q528" t="s">
        <v>19</v>
      </c>
      <c r="R528" t="str">
        <f t="shared" si="125"/>
        <v>Furniture</v>
      </c>
      <c r="S528" t="s">
        <v>88</v>
      </c>
      <c r="T528" t="str">
        <f t="shared" si="126"/>
        <v>Tables</v>
      </c>
      <c r="U528" t="s">
        <v>2607</v>
      </c>
      <c r="V528" t="str">
        <f t="shared" si="127"/>
        <v>Elite Tables 815</v>
      </c>
      <c r="W528" t="s">
        <v>76</v>
      </c>
      <c r="X528" t="str">
        <f t="shared" si="128"/>
        <v>Second Class</v>
      </c>
      <c r="Y528">
        <v>3</v>
      </c>
      <c r="Z528">
        <v>4</v>
      </c>
      <c r="AA528">
        <v>284.04</v>
      </c>
      <c r="AC528">
        <f t="shared" si="129"/>
        <v>0</v>
      </c>
      <c r="AD528">
        <v>908.93</v>
      </c>
      <c r="AE528">
        <f t="shared" si="130"/>
        <v>1136.16</v>
      </c>
      <c r="AF528">
        <v>572.08</v>
      </c>
      <c r="AG528">
        <v>336.85</v>
      </c>
      <c r="AH528">
        <f t="shared" si="131"/>
        <v>564.08</v>
      </c>
      <c r="AI528">
        <f t="shared" si="132"/>
        <v>0.496479369102943</v>
      </c>
      <c r="AJ528" t="s">
        <v>77</v>
      </c>
      <c r="AK528" t="str">
        <f t="shared" si="133"/>
        <v>Paid</v>
      </c>
      <c r="AL528" t="s">
        <v>78</v>
      </c>
      <c r="AM528" t="str">
        <f t="shared" si="134"/>
        <v>Completed</v>
      </c>
      <c r="AN528">
        <v>7</v>
      </c>
      <c r="AO528">
        <v>2025</v>
      </c>
      <c r="AP528" t="s">
        <v>222</v>
      </c>
    </row>
    <row r="529" spans="1:42">
      <c r="A529" t="s">
        <v>2608</v>
      </c>
      <c r="B529" s="3" t="s">
        <v>2609</v>
      </c>
      <c r="C529" s="3">
        <v>45931</v>
      </c>
      <c r="D529" t="s">
        <v>2610</v>
      </c>
      <c r="E529" s="3">
        <v>45935</v>
      </c>
      <c r="F529" t="s">
        <v>2611</v>
      </c>
      <c r="G529" t="s">
        <v>146</v>
      </c>
      <c r="H529" t="str">
        <f t="shared" si="120"/>
        <v>Aditi Sen</v>
      </c>
      <c r="I529" t="s">
        <v>154</v>
      </c>
      <c r="J529" t="str">
        <f t="shared" si="121"/>
        <v>Home Office</v>
      </c>
      <c r="K529" t="s">
        <v>8</v>
      </c>
      <c r="L529" t="str">
        <f t="shared" si="122"/>
        <v>North</v>
      </c>
      <c r="M529" t="s">
        <v>366</v>
      </c>
      <c r="N529" t="str">
        <f t="shared" si="123"/>
        <v>Haryana</v>
      </c>
      <c r="O529" t="s">
        <v>367</v>
      </c>
      <c r="P529" t="str">
        <f t="shared" si="124"/>
        <v>Gurugram</v>
      </c>
      <c r="Q529" t="s">
        <v>22</v>
      </c>
      <c r="R529" t="str">
        <f t="shared" si="125"/>
        <v>Office Supplies</v>
      </c>
      <c r="S529" t="s">
        <v>74</v>
      </c>
      <c r="T529" t="str">
        <f t="shared" si="126"/>
        <v>Paper</v>
      </c>
      <c r="U529" t="s">
        <v>2612</v>
      </c>
      <c r="V529" t="str">
        <f t="shared" si="127"/>
        <v>Basic Paper 388</v>
      </c>
      <c r="W529" t="s">
        <v>98</v>
      </c>
      <c r="X529" t="str">
        <f t="shared" si="128"/>
        <v>First Class</v>
      </c>
      <c r="Y529">
        <v>4</v>
      </c>
      <c r="Z529">
        <v>5</v>
      </c>
      <c r="AA529">
        <v>3247.56</v>
      </c>
      <c r="AB529">
        <v>0.15</v>
      </c>
      <c r="AC529">
        <f t="shared" si="129"/>
        <v>0.15</v>
      </c>
      <c r="AD529">
        <v>13802.13</v>
      </c>
      <c r="AE529">
        <f t="shared" si="130"/>
        <v>13802.13</v>
      </c>
      <c r="AF529">
        <v>10075.93</v>
      </c>
      <c r="AG529">
        <v>3726.2</v>
      </c>
      <c r="AH529">
        <f t="shared" si="131"/>
        <v>3726.2</v>
      </c>
      <c r="AI529">
        <f t="shared" si="132"/>
        <v>0.269972823035285</v>
      </c>
      <c r="AJ529" t="s">
        <v>77</v>
      </c>
      <c r="AK529" t="str">
        <f t="shared" si="133"/>
        <v>Paid</v>
      </c>
      <c r="AL529" t="s">
        <v>78</v>
      </c>
      <c r="AM529" t="str">
        <f t="shared" si="134"/>
        <v>Completed</v>
      </c>
      <c r="AN529">
        <v>10</v>
      </c>
      <c r="AO529">
        <v>2025</v>
      </c>
      <c r="AP529" t="s">
        <v>79</v>
      </c>
    </row>
    <row r="530" spans="1:42">
      <c r="A530" t="s">
        <v>2613</v>
      </c>
      <c r="B530" s="3" t="s">
        <v>2614</v>
      </c>
      <c r="C530" s="3">
        <v>45572</v>
      </c>
      <c r="D530" t="s">
        <v>2615</v>
      </c>
      <c r="E530" s="3">
        <v>45574</v>
      </c>
      <c r="F530" t="s">
        <v>2616</v>
      </c>
      <c r="G530" t="s">
        <v>251</v>
      </c>
      <c r="H530" t="str">
        <f t="shared" si="120"/>
        <v>Diya Patel</v>
      </c>
      <c r="I530" t="s">
        <v>71</v>
      </c>
      <c r="J530" t="str">
        <f t="shared" si="121"/>
        <v>Consumer</v>
      </c>
      <c r="K530" t="s">
        <v>10</v>
      </c>
      <c r="L530" t="str">
        <f t="shared" si="122"/>
        <v>South</v>
      </c>
      <c r="M530" t="s">
        <v>382</v>
      </c>
      <c r="N530" t="str">
        <f t="shared" si="123"/>
        <v>Tamil Nadu</v>
      </c>
      <c r="O530" t="s">
        <v>383</v>
      </c>
      <c r="P530" t="str">
        <f t="shared" si="124"/>
        <v>Chennai</v>
      </c>
      <c r="Q530" t="s">
        <v>22</v>
      </c>
      <c r="R530" t="str">
        <f t="shared" si="125"/>
        <v>Office Supplies</v>
      </c>
      <c r="S530" t="s">
        <v>239</v>
      </c>
      <c r="T530" t="str">
        <f t="shared" si="126"/>
        <v>Binders</v>
      </c>
      <c r="U530" t="s">
        <v>2617</v>
      </c>
      <c r="V530" t="str">
        <f t="shared" si="127"/>
        <v>Eco Binders 855</v>
      </c>
      <c r="W530" t="s">
        <v>108</v>
      </c>
      <c r="X530" t="str">
        <f t="shared" si="128"/>
        <v>Standard Class</v>
      </c>
      <c r="Y530">
        <v>2</v>
      </c>
      <c r="Z530">
        <v>9</v>
      </c>
      <c r="AA530">
        <v>3457.09</v>
      </c>
      <c r="AB530">
        <v>0.05</v>
      </c>
      <c r="AC530">
        <f t="shared" si="129"/>
        <v>0.05</v>
      </c>
      <c r="AD530">
        <v>29558.12</v>
      </c>
      <c r="AE530">
        <f t="shared" si="130"/>
        <v>29558.1195</v>
      </c>
      <c r="AF530">
        <v>21302.13</v>
      </c>
      <c r="AG530">
        <v>8255.99</v>
      </c>
      <c r="AH530">
        <f t="shared" si="131"/>
        <v>8255.9895</v>
      </c>
      <c r="AI530">
        <f t="shared" si="132"/>
        <v>0.279313760132812</v>
      </c>
      <c r="AJ530" t="s">
        <v>177</v>
      </c>
      <c r="AK530" t="str">
        <f t="shared" si="133"/>
        <v>Pending</v>
      </c>
      <c r="AL530" t="s">
        <v>164</v>
      </c>
      <c r="AM530" t="str">
        <f t="shared" si="134"/>
        <v>Returned</v>
      </c>
      <c r="AN530">
        <v>10</v>
      </c>
      <c r="AO530">
        <v>2024</v>
      </c>
      <c r="AP530" t="s">
        <v>79</v>
      </c>
    </row>
    <row r="531" spans="1:42">
      <c r="A531" t="s">
        <v>2618</v>
      </c>
      <c r="B531" s="3" t="s">
        <v>2336</v>
      </c>
      <c r="C531" s="3">
        <v>45328</v>
      </c>
      <c r="D531" t="s">
        <v>2619</v>
      </c>
      <c r="E531" s="3">
        <v>45330</v>
      </c>
      <c r="F531" t="s">
        <v>1161</v>
      </c>
      <c r="G531" t="s">
        <v>70</v>
      </c>
      <c r="H531" t="str">
        <f t="shared" si="120"/>
        <v>Karan Malhotra</v>
      </c>
      <c r="I531" t="s">
        <v>71</v>
      </c>
      <c r="J531" t="str">
        <f t="shared" si="121"/>
        <v>Consumer</v>
      </c>
      <c r="K531" t="s">
        <v>7</v>
      </c>
      <c r="L531" t="str">
        <f t="shared" si="122"/>
        <v>East</v>
      </c>
      <c r="M531" t="s">
        <v>354</v>
      </c>
      <c r="N531" t="str">
        <f t="shared" si="123"/>
        <v>Jharkhand</v>
      </c>
      <c r="O531" t="s">
        <v>355</v>
      </c>
      <c r="P531" t="str">
        <f t="shared" si="124"/>
        <v>Ranchi</v>
      </c>
      <c r="Q531" t="s">
        <v>19</v>
      </c>
      <c r="R531" t="str">
        <f t="shared" si="125"/>
        <v>Furniture</v>
      </c>
      <c r="S531" t="s">
        <v>245</v>
      </c>
      <c r="T531" t="str">
        <f t="shared" si="126"/>
        <v>Bookcases</v>
      </c>
      <c r="U531" t="s">
        <v>2620</v>
      </c>
      <c r="V531" t="str">
        <f t="shared" si="127"/>
        <v>Classic Bookcases 947</v>
      </c>
      <c r="W531" t="s">
        <v>76</v>
      </c>
      <c r="X531" t="str">
        <f t="shared" si="128"/>
        <v>Second Class</v>
      </c>
      <c r="Y531">
        <v>2</v>
      </c>
      <c r="Z531">
        <v>9</v>
      </c>
      <c r="AA531">
        <v>1822.25</v>
      </c>
      <c r="AB531">
        <v>0</v>
      </c>
      <c r="AC531">
        <f t="shared" si="129"/>
        <v>0</v>
      </c>
      <c r="AD531">
        <v>16400.25</v>
      </c>
      <c r="AE531">
        <f t="shared" si="130"/>
        <v>16400.25</v>
      </c>
      <c r="AF531">
        <v>12146.96</v>
      </c>
      <c r="AG531">
        <v>4253.29</v>
      </c>
      <c r="AH531">
        <f t="shared" si="131"/>
        <v>4253.29</v>
      </c>
      <c r="AI531">
        <f t="shared" si="132"/>
        <v>0.259342997820155</v>
      </c>
      <c r="AJ531" t="s">
        <v>77</v>
      </c>
      <c r="AK531" t="str">
        <f t="shared" si="133"/>
        <v>Paid</v>
      </c>
      <c r="AL531" t="s">
        <v>78</v>
      </c>
      <c r="AM531" t="str">
        <f t="shared" si="134"/>
        <v>Completed</v>
      </c>
      <c r="AN531">
        <v>2</v>
      </c>
      <c r="AO531">
        <v>2024</v>
      </c>
      <c r="AP531" t="s">
        <v>79</v>
      </c>
    </row>
    <row r="532" spans="1:42">
      <c r="A532" t="s">
        <v>2621</v>
      </c>
      <c r="B532" s="3" t="s">
        <v>2622</v>
      </c>
      <c r="C532" s="3">
        <v>45807</v>
      </c>
      <c r="D532" t="s">
        <v>2623</v>
      </c>
      <c r="E532" s="3">
        <v>45809</v>
      </c>
      <c r="F532" t="s">
        <v>2624</v>
      </c>
      <c r="G532" t="s">
        <v>188</v>
      </c>
      <c r="H532" t="str">
        <f t="shared" si="120"/>
        <v>Rahul Verma</v>
      </c>
      <c r="I532" t="s">
        <v>154</v>
      </c>
      <c r="J532" t="str">
        <f t="shared" si="121"/>
        <v>Home Office</v>
      </c>
      <c r="K532" t="s">
        <v>10</v>
      </c>
      <c r="L532" t="str">
        <f t="shared" si="122"/>
        <v>South</v>
      </c>
      <c r="M532" t="s">
        <v>382</v>
      </c>
      <c r="N532" t="str">
        <f t="shared" si="123"/>
        <v>Tamil Nadu</v>
      </c>
      <c r="O532" t="s">
        <v>383</v>
      </c>
      <c r="P532" t="str">
        <f t="shared" si="124"/>
        <v>Chennai</v>
      </c>
      <c r="Q532" t="s">
        <v>22</v>
      </c>
      <c r="R532" t="str">
        <f t="shared" si="125"/>
        <v>Office Supplies</v>
      </c>
      <c r="S532" t="s">
        <v>239</v>
      </c>
      <c r="T532" t="str">
        <f t="shared" si="126"/>
        <v>Binders</v>
      </c>
      <c r="U532" t="s">
        <v>2625</v>
      </c>
      <c r="V532" t="str">
        <f t="shared" si="127"/>
        <v>Eco Binders 352</v>
      </c>
      <c r="W532" t="s">
        <v>108</v>
      </c>
      <c r="X532" t="str">
        <f t="shared" si="128"/>
        <v>Standard Class</v>
      </c>
      <c r="Y532">
        <v>2</v>
      </c>
      <c r="Z532">
        <v>9</v>
      </c>
      <c r="AA532">
        <v>1994.51</v>
      </c>
      <c r="AB532">
        <v>0.05</v>
      </c>
      <c r="AC532">
        <f t="shared" si="129"/>
        <v>0.05</v>
      </c>
      <c r="AD532">
        <v>17053.06</v>
      </c>
      <c r="AE532">
        <f t="shared" si="130"/>
        <v>17053.0605</v>
      </c>
      <c r="AF532">
        <v>10742.38</v>
      </c>
      <c r="AG532">
        <v>6310.68</v>
      </c>
      <c r="AH532">
        <f t="shared" si="131"/>
        <v>6310.6805</v>
      </c>
      <c r="AI532">
        <f t="shared" si="132"/>
        <v>0.370061461988011</v>
      </c>
      <c r="AJ532" t="s">
        <v>77</v>
      </c>
      <c r="AK532" t="str">
        <f t="shared" si="133"/>
        <v>Paid</v>
      </c>
      <c r="AL532" t="s">
        <v>78</v>
      </c>
      <c r="AM532" t="str">
        <f t="shared" si="134"/>
        <v>Completed</v>
      </c>
      <c r="AN532">
        <v>5</v>
      </c>
      <c r="AO532">
        <v>2025</v>
      </c>
      <c r="AP532" t="s">
        <v>79</v>
      </c>
    </row>
    <row r="533" spans="1:42">
      <c r="A533" t="s">
        <v>2626</v>
      </c>
      <c r="B533" s="3" t="s">
        <v>1351</v>
      </c>
      <c r="C533" s="3">
        <v>45505</v>
      </c>
      <c r="D533" t="s">
        <v>2627</v>
      </c>
      <c r="E533" s="3">
        <v>45512</v>
      </c>
      <c r="F533" t="s">
        <v>2628</v>
      </c>
      <c r="G533" t="s">
        <v>251</v>
      </c>
      <c r="H533" t="str">
        <f t="shared" si="120"/>
        <v>Diya Patel</v>
      </c>
      <c r="I533" t="s">
        <v>85</v>
      </c>
      <c r="J533" t="str">
        <f t="shared" si="121"/>
        <v>Small Business</v>
      </c>
      <c r="K533" t="s">
        <v>11</v>
      </c>
      <c r="L533" t="str">
        <f t="shared" si="122"/>
        <v>West</v>
      </c>
      <c r="M533" t="s">
        <v>114</v>
      </c>
      <c r="N533" t="str">
        <f t="shared" si="123"/>
        <v>Maharashtra</v>
      </c>
      <c r="O533" t="s">
        <v>115</v>
      </c>
      <c r="P533" t="str">
        <f t="shared" si="124"/>
        <v>Mumbai</v>
      </c>
      <c r="Q533" t="s">
        <v>22</v>
      </c>
      <c r="R533" t="str">
        <f t="shared" si="125"/>
        <v>Office Supplies</v>
      </c>
      <c r="S533" t="s">
        <v>196</v>
      </c>
      <c r="T533" t="str">
        <f t="shared" si="126"/>
        <v>Storage</v>
      </c>
      <c r="U533" t="s">
        <v>2629</v>
      </c>
      <c r="V533" t="str">
        <f t="shared" si="127"/>
        <v>Pro Storage 364</v>
      </c>
      <c r="X533" t="str">
        <f t="shared" si="128"/>
        <v/>
      </c>
      <c r="Y533">
        <v>7</v>
      </c>
      <c r="Z533">
        <v>1</v>
      </c>
      <c r="AA533">
        <v>442.97</v>
      </c>
      <c r="AB533">
        <v>0.1</v>
      </c>
      <c r="AC533">
        <f t="shared" si="129"/>
        <v>0.1</v>
      </c>
      <c r="AD533">
        <v>398.67</v>
      </c>
      <c r="AE533">
        <f t="shared" si="130"/>
        <v>398.673</v>
      </c>
      <c r="AF533">
        <v>311.66</v>
      </c>
      <c r="AG533">
        <v>87.01</v>
      </c>
      <c r="AH533">
        <f t="shared" si="131"/>
        <v>87.013</v>
      </c>
      <c r="AI533">
        <f t="shared" si="132"/>
        <v>0.21825656615823</v>
      </c>
      <c r="AJ533" t="s">
        <v>77</v>
      </c>
      <c r="AK533" t="str">
        <f t="shared" si="133"/>
        <v>Paid</v>
      </c>
      <c r="AL533" t="s">
        <v>78</v>
      </c>
      <c r="AM533" t="str">
        <f t="shared" si="134"/>
        <v>Completed</v>
      </c>
      <c r="AN533">
        <v>8</v>
      </c>
      <c r="AO533">
        <v>2024</v>
      </c>
      <c r="AP533" t="s">
        <v>79</v>
      </c>
    </row>
    <row r="534" spans="1:42">
      <c r="A534" t="s">
        <v>2630</v>
      </c>
      <c r="B534" s="3" t="s">
        <v>2610</v>
      </c>
      <c r="C534" s="3">
        <v>45935</v>
      </c>
      <c r="D534" t="s">
        <v>351</v>
      </c>
      <c r="E534" s="3">
        <v>45940</v>
      </c>
      <c r="F534" t="s">
        <v>2631</v>
      </c>
      <c r="G534" t="s">
        <v>182</v>
      </c>
      <c r="H534" t="str">
        <f t="shared" si="120"/>
        <v>Priya Menon</v>
      </c>
      <c r="I534" t="s">
        <v>147</v>
      </c>
      <c r="J534" t="str">
        <f t="shared" si="121"/>
        <v>Corporate</v>
      </c>
      <c r="K534" t="s">
        <v>7</v>
      </c>
      <c r="L534" t="str">
        <f t="shared" si="122"/>
        <v>East</v>
      </c>
      <c r="M534" t="s">
        <v>258</v>
      </c>
      <c r="N534" t="str">
        <f t="shared" si="123"/>
        <v>Assam</v>
      </c>
      <c r="O534" t="s">
        <v>259</v>
      </c>
      <c r="P534" t="str">
        <f t="shared" si="124"/>
        <v>Guwahati</v>
      </c>
      <c r="Q534" t="s">
        <v>19</v>
      </c>
      <c r="R534" t="str">
        <f t="shared" si="125"/>
        <v>Furniture</v>
      </c>
      <c r="S534" t="s">
        <v>88</v>
      </c>
      <c r="T534" t="str">
        <f t="shared" si="126"/>
        <v>Tables</v>
      </c>
      <c r="U534" t="s">
        <v>2632</v>
      </c>
      <c r="V534" t="str">
        <f t="shared" si="127"/>
        <v>Classic Tables 213</v>
      </c>
      <c r="W534" t="s">
        <v>76</v>
      </c>
      <c r="X534" t="str">
        <f t="shared" si="128"/>
        <v>Second Class</v>
      </c>
      <c r="Y534">
        <v>5</v>
      </c>
      <c r="Z534">
        <v>9</v>
      </c>
      <c r="AA534">
        <v>2089.14</v>
      </c>
      <c r="AB534">
        <v>0.05</v>
      </c>
      <c r="AC534">
        <f t="shared" si="129"/>
        <v>0.05</v>
      </c>
      <c r="AD534">
        <v>17862.15</v>
      </c>
      <c r="AE534">
        <f t="shared" si="130"/>
        <v>17862.147</v>
      </c>
      <c r="AF534">
        <v>9892.21</v>
      </c>
      <c r="AG534">
        <v>7969.94</v>
      </c>
      <c r="AH534">
        <f t="shared" si="131"/>
        <v>7969.937</v>
      </c>
      <c r="AI534">
        <f t="shared" si="132"/>
        <v>0.44619143488182</v>
      </c>
      <c r="AJ534" t="s">
        <v>241</v>
      </c>
      <c r="AK534" t="str">
        <f t="shared" si="133"/>
        <v>Failed</v>
      </c>
      <c r="AL534" t="s">
        <v>118</v>
      </c>
      <c r="AM534" t="str">
        <f t="shared" si="134"/>
        <v>Cancelled</v>
      </c>
      <c r="AN534">
        <v>10</v>
      </c>
      <c r="AO534">
        <v>2025</v>
      </c>
      <c r="AP534" t="s">
        <v>79</v>
      </c>
    </row>
    <row r="535" spans="1:42">
      <c r="A535" t="s">
        <v>2633</v>
      </c>
      <c r="B535" s="3" t="s">
        <v>2634</v>
      </c>
      <c r="C535" s="3">
        <v>45529</v>
      </c>
      <c r="D535" t="s">
        <v>440</v>
      </c>
      <c r="E535" s="3">
        <v>45536</v>
      </c>
      <c r="F535" t="s">
        <v>2635</v>
      </c>
      <c r="G535" t="s">
        <v>95</v>
      </c>
      <c r="H535" t="str">
        <f t="shared" si="120"/>
        <v>Isha Nair</v>
      </c>
      <c r="I535" t="s">
        <v>154</v>
      </c>
      <c r="J535" t="str">
        <f t="shared" si="121"/>
        <v>Home Office</v>
      </c>
      <c r="K535" t="s">
        <v>8</v>
      </c>
      <c r="L535" t="str">
        <f t="shared" si="122"/>
        <v>North</v>
      </c>
      <c r="M535" t="s">
        <v>72</v>
      </c>
      <c r="N535" t="str">
        <f t="shared" si="123"/>
        <v>Rajasthan</v>
      </c>
      <c r="O535" t="s">
        <v>73</v>
      </c>
      <c r="P535" t="str">
        <f t="shared" si="124"/>
        <v>Jaipur</v>
      </c>
      <c r="Q535" t="s">
        <v>19</v>
      </c>
      <c r="R535" t="str">
        <f t="shared" si="125"/>
        <v>Furniture</v>
      </c>
      <c r="S535" t="s">
        <v>88</v>
      </c>
      <c r="T535" t="str">
        <f t="shared" si="126"/>
        <v>Tables</v>
      </c>
      <c r="U535" t="s">
        <v>2636</v>
      </c>
      <c r="V535" t="str">
        <f t="shared" si="127"/>
        <v>Smart Tables 659</v>
      </c>
      <c r="W535" t="s">
        <v>90</v>
      </c>
      <c r="X535" t="str">
        <f t="shared" si="128"/>
        <v>Same Day</v>
      </c>
      <c r="Y535">
        <v>7</v>
      </c>
      <c r="Z535">
        <v>6</v>
      </c>
      <c r="AA535">
        <v>481.3</v>
      </c>
      <c r="AB535">
        <v>0.25</v>
      </c>
      <c r="AC535">
        <f t="shared" si="129"/>
        <v>0.25</v>
      </c>
      <c r="AD535">
        <v>2165.85</v>
      </c>
      <c r="AE535">
        <f t="shared" si="130"/>
        <v>2165.85</v>
      </c>
      <c r="AF535">
        <v>2124.48</v>
      </c>
      <c r="AG535">
        <v>430.45</v>
      </c>
      <c r="AH535">
        <f t="shared" si="131"/>
        <v>41.3700000000003</v>
      </c>
      <c r="AI535">
        <f t="shared" si="132"/>
        <v>0.0191010457787937</v>
      </c>
      <c r="AJ535" t="s">
        <v>77</v>
      </c>
      <c r="AK535" t="str">
        <f t="shared" si="133"/>
        <v>Paid</v>
      </c>
      <c r="AL535" t="s">
        <v>78</v>
      </c>
      <c r="AM535" t="str">
        <f t="shared" si="134"/>
        <v>Completed</v>
      </c>
      <c r="AN535">
        <v>8</v>
      </c>
      <c r="AO535">
        <v>2024</v>
      </c>
      <c r="AP535" t="s">
        <v>79</v>
      </c>
    </row>
    <row r="536" spans="1:42">
      <c r="A536" t="s">
        <v>2637</v>
      </c>
      <c r="B536" s="3" t="s">
        <v>2638</v>
      </c>
      <c r="C536" s="3">
        <v>45774</v>
      </c>
      <c r="D536" t="s">
        <v>2639</v>
      </c>
      <c r="E536" s="3">
        <v>45782</v>
      </c>
      <c r="F536" t="s">
        <v>2640</v>
      </c>
      <c r="G536" t="s">
        <v>220</v>
      </c>
      <c r="H536" t="str">
        <f t="shared" si="120"/>
        <v>Rohan Mehta</v>
      </c>
      <c r="I536" t="s">
        <v>154</v>
      </c>
      <c r="J536" t="str">
        <f t="shared" si="121"/>
        <v>Home Office</v>
      </c>
      <c r="K536" t="s">
        <v>7</v>
      </c>
      <c r="L536" t="str">
        <f t="shared" si="122"/>
        <v>East</v>
      </c>
      <c r="M536" t="s">
        <v>227</v>
      </c>
      <c r="N536" t="str">
        <f t="shared" si="123"/>
        <v>Bihar</v>
      </c>
      <c r="O536" t="s">
        <v>228</v>
      </c>
      <c r="P536" t="str">
        <f t="shared" si="124"/>
        <v>Patna</v>
      </c>
      <c r="Q536" t="s">
        <v>24</v>
      </c>
      <c r="R536" t="str">
        <f t="shared" si="125"/>
        <v>Technology</v>
      </c>
      <c r="S536" t="s">
        <v>126</v>
      </c>
      <c r="T536" t="str">
        <f t="shared" si="126"/>
        <v>Accessories</v>
      </c>
      <c r="U536" t="s">
        <v>2641</v>
      </c>
      <c r="V536" t="str">
        <f t="shared" si="127"/>
        <v>Classic Accessories 325</v>
      </c>
      <c r="W536" t="s">
        <v>76</v>
      </c>
      <c r="X536" t="str">
        <f t="shared" si="128"/>
        <v>Second Class</v>
      </c>
      <c r="Y536">
        <v>8</v>
      </c>
      <c r="Z536">
        <v>4</v>
      </c>
      <c r="AA536">
        <v>3963.39</v>
      </c>
      <c r="AB536">
        <v>0.1</v>
      </c>
      <c r="AC536">
        <f t="shared" si="129"/>
        <v>0.1</v>
      </c>
      <c r="AD536">
        <v>14268.2</v>
      </c>
      <c r="AE536">
        <f t="shared" si="130"/>
        <v>14268.204</v>
      </c>
      <c r="AF536">
        <v>11705.3</v>
      </c>
      <c r="AG536">
        <v>2562.9</v>
      </c>
      <c r="AH536">
        <f t="shared" si="131"/>
        <v>2562.904</v>
      </c>
      <c r="AI536">
        <f t="shared" si="132"/>
        <v>0.179623448052747</v>
      </c>
      <c r="AJ536" t="s">
        <v>177</v>
      </c>
      <c r="AK536" t="str">
        <f t="shared" si="133"/>
        <v>Pending</v>
      </c>
      <c r="AL536" t="s">
        <v>164</v>
      </c>
      <c r="AM536" t="str">
        <f t="shared" si="134"/>
        <v>Returned</v>
      </c>
      <c r="AN536">
        <v>4</v>
      </c>
      <c r="AO536">
        <v>2025</v>
      </c>
      <c r="AP536" t="s">
        <v>79</v>
      </c>
    </row>
    <row r="537" spans="1:42">
      <c r="A537" t="s">
        <v>2642</v>
      </c>
      <c r="B537" s="3" t="s">
        <v>2643</v>
      </c>
      <c r="C537" s="3">
        <v>45431</v>
      </c>
      <c r="D537" t="s">
        <v>2644</v>
      </c>
      <c r="E537" s="3">
        <v>45433</v>
      </c>
      <c r="F537" t="s">
        <v>2645</v>
      </c>
      <c r="G537" t="s">
        <v>251</v>
      </c>
      <c r="H537" t="str">
        <f t="shared" si="120"/>
        <v>Diya Patel</v>
      </c>
      <c r="I537" t="s">
        <v>85</v>
      </c>
      <c r="J537" t="str">
        <f t="shared" si="121"/>
        <v>Small Business</v>
      </c>
      <c r="K537" t="s">
        <v>11</v>
      </c>
      <c r="L537" t="str">
        <f t="shared" si="122"/>
        <v>West</v>
      </c>
      <c r="M537" t="s">
        <v>114</v>
      </c>
      <c r="N537" t="str">
        <f t="shared" si="123"/>
        <v>Maharashtra</v>
      </c>
      <c r="O537" t="s">
        <v>115</v>
      </c>
      <c r="P537" t="str">
        <f t="shared" si="124"/>
        <v>Mumbai</v>
      </c>
      <c r="Q537" t="s">
        <v>24</v>
      </c>
      <c r="R537" t="str">
        <f t="shared" si="125"/>
        <v>Technology</v>
      </c>
      <c r="S537" t="s">
        <v>133</v>
      </c>
      <c r="T537" t="str">
        <f t="shared" si="126"/>
        <v>Copiers</v>
      </c>
      <c r="U537" t="s">
        <v>2646</v>
      </c>
      <c r="V537" t="str">
        <f t="shared" si="127"/>
        <v>Eco Copiers 243</v>
      </c>
      <c r="W537" t="s">
        <v>98</v>
      </c>
      <c r="X537" t="str">
        <f t="shared" si="128"/>
        <v>First Class</v>
      </c>
      <c r="Y537">
        <v>2</v>
      </c>
      <c r="Z537">
        <v>3</v>
      </c>
      <c r="AA537">
        <v>4000.98</v>
      </c>
      <c r="AB537">
        <v>0.2</v>
      </c>
      <c r="AC537">
        <f t="shared" si="129"/>
        <v>0.2</v>
      </c>
      <c r="AD537">
        <v>9602.35</v>
      </c>
      <c r="AE537">
        <f t="shared" si="130"/>
        <v>9602.352</v>
      </c>
      <c r="AF537">
        <v>7387.57</v>
      </c>
      <c r="AG537">
        <v>2214.78</v>
      </c>
      <c r="AH537">
        <f t="shared" si="131"/>
        <v>2214.782</v>
      </c>
      <c r="AI537">
        <f t="shared" si="132"/>
        <v>0.230649949095805</v>
      </c>
      <c r="AJ537" t="s">
        <v>77</v>
      </c>
      <c r="AK537" t="str">
        <f t="shared" si="133"/>
        <v>Paid</v>
      </c>
      <c r="AL537" t="s">
        <v>78</v>
      </c>
      <c r="AM537" t="str">
        <f t="shared" si="134"/>
        <v>Completed</v>
      </c>
      <c r="AN537">
        <v>5</v>
      </c>
      <c r="AO537">
        <v>2024</v>
      </c>
      <c r="AP537" t="s">
        <v>79</v>
      </c>
    </row>
    <row r="538" spans="1:42">
      <c r="A538" t="s">
        <v>2647</v>
      </c>
      <c r="B538" s="3" t="s">
        <v>2648</v>
      </c>
      <c r="C538" s="3">
        <v>45757</v>
      </c>
      <c r="D538" t="s">
        <v>2649</v>
      </c>
      <c r="E538" s="3">
        <v>45764</v>
      </c>
      <c r="F538" t="s">
        <v>2650</v>
      </c>
      <c r="G538" t="s">
        <v>113</v>
      </c>
      <c r="H538" t="str">
        <f t="shared" si="120"/>
        <v>Ananya Rao</v>
      </c>
      <c r="I538" t="s">
        <v>85</v>
      </c>
      <c r="J538" t="str">
        <f t="shared" si="121"/>
        <v>Small Business</v>
      </c>
      <c r="K538" t="s">
        <v>11</v>
      </c>
      <c r="L538" t="str">
        <f t="shared" si="122"/>
        <v>West</v>
      </c>
      <c r="M538" t="s">
        <v>72</v>
      </c>
      <c r="N538" t="str">
        <f t="shared" si="123"/>
        <v>Rajasthan</v>
      </c>
      <c r="O538" t="s">
        <v>175</v>
      </c>
      <c r="P538" t="str">
        <f t="shared" si="124"/>
        <v>Udaipur</v>
      </c>
      <c r="Q538" t="s">
        <v>19</v>
      </c>
      <c r="R538" t="str">
        <f t="shared" si="125"/>
        <v>Furniture</v>
      </c>
      <c r="S538" t="s">
        <v>116</v>
      </c>
      <c r="T538" t="str">
        <f t="shared" si="126"/>
        <v>Chairs</v>
      </c>
      <c r="U538" t="s">
        <v>2651</v>
      </c>
      <c r="V538" t="str">
        <f t="shared" si="127"/>
        <v>Elite Chairs 777</v>
      </c>
      <c r="W538" t="s">
        <v>98</v>
      </c>
      <c r="X538" t="str">
        <f t="shared" si="128"/>
        <v>First Class</v>
      </c>
      <c r="Y538">
        <v>7</v>
      </c>
      <c r="Z538">
        <v>7</v>
      </c>
      <c r="AA538">
        <v>3788.9</v>
      </c>
      <c r="AB538">
        <v>0.25</v>
      </c>
      <c r="AC538">
        <f t="shared" si="129"/>
        <v>0.25</v>
      </c>
      <c r="AD538">
        <v>19891.72</v>
      </c>
      <c r="AE538">
        <f t="shared" si="130"/>
        <v>19891.725</v>
      </c>
      <c r="AF538">
        <v>12295.76</v>
      </c>
      <c r="AG538">
        <v>7595.96</v>
      </c>
      <c r="AH538">
        <f t="shared" si="131"/>
        <v>7595.965</v>
      </c>
      <c r="AI538">
        <f t="shared" si="132"/>
        <v>0.381865574755332</v>
      </c>
      <c r="AJ538" t="s">
        <v>241</v>
      </c>
      <c r="AK538" t="str">
        <f t="shared" si="133"/>
        <v>Failed</v>
      </c>
      <c r="AL538" t="s">
        <v>118</v>
      </c>
      <c r="AM538" t="str">
        <f t="shared" si="134"/>
        <v>Cancelled</v>
      </c>
      <c r="AN538">
        <v>4</v>
      </c>
      <c r="AO538">
        <v>2025</v>
      </c>
      <c r="AP538" t="s">
        <v>79</v>
      </c>
    </row>
    <row r="539" spans="1:42">
      <c r="A539" t="s">
        <v>2652</v>
      </c>
      <c r="B539" s="3" t="s">
        <v>2093</v>
      </c>
      <c r="C539" s="3">
        <v>45313</v>
      </c>
      <c r="D539" t="s">
        <v>2653</v>
      </c>
      <c r="E539" s="3">
        <v>45321</v>
      </c>
      <c r="F539" t="s">
        <v>2654</v>
      </c>
      <c r="G539" t="s">
        <v>113</v>
      </c>
      <c r="H539" t="str">
        <f t="shared" si="120"/>
        <v>Ananya Rao</v>
      </c>
      <c r="I539" t="s">
        <v>85</v>
      </c>
      <c r="J539" t="str">
        <f t="shared" si="121"/>
        <v>Small Business</v>
      </c>
      <c r="K539" t="s">
        <v>8</v>
      </c>
      <c r="L539" t="str">
        <f t="shared" si="122"/>
        <v>North</v>
      </c>
      <c r="M539" t="s">
        <v>366</v>
      </c>
      <c r="N539" t="str">
        <f t="shared" si="123"/>
        <v>Haryana</v>
      </c>
      <c r="O539" t="s">
        <v>367</v>
      </c>
      <c r="P539" t="str">
        <f t="shared" si="124"/>
        <v>Gurugram</v>
      </c>
      <c r="Q539" t="s">
        <v>22</v>
      </c>
      <c r="R539" t="str">
        <f t="shared" si="125"/>
        <v>Office Supplies</v>
      </c>
      <c r="S539" t="s">
        <v>96</v>
      </c>
      <c r="T539" t="str">
        <f t="shared" si="126"/>
        <v>Art</v>
      </c>
      <c r="U539" t="s">
        <v>2655</v>
      </c>
      <c r="V539" t="str">
        <f t="shared" si="127"/>
        <v>Classic Art 772</v>
      </c>
      <c r="W539" t="s">
        <v>90</v>
      </c>
      <c r="X539" t="str">
        <f t="shared" si="128"/>
        <v>Same Day</v>
      </c>
      <c r="Y539">
        <v>8</v>
      </c>
      <c r="Z539">
        <v>3</v>
      </c>
      <c r="AA539">
        <v>676.37</v>
      </c>
      <c r="AB539">
        <v>0.05</v>
      </c>
      <c r="AC539">
        <f t="shared" si="129"/>
        <v>0.05</v>
      </c>
      <c r="AD539">
        <v>1927.65</v>
      </c>
      <c r="AE539">
        <f t="shared" si="130"/>
        <v>1927.6545</v>
      </c>
      <c r="AF539">
        <v>1460.6</v>
      </c>
      <c r="AG539">
        <v>467.05</v>
      </c>
      <c r="AH539">
        <f t="shared" si="131"/>
        <v>467.0545</v>
      </c>
      <c r="AI539">
        <f t="shared" si="132"/>
        <v>0.242291603604277</v>
      </c>
      <c r="AJ539" t="s">
        <v>241</v>
      </c>
      <c r="AK539" t="str">
        <f t="shared" si="133"/>
        <v>Failed</v>
      </c>
      <c r="AL539" t="s">
        <v>118</v>
      </c>
      <c r="AM539" t="str">
        <f t="shared" si="134"/>
        <v>Cancelled</v>
      </c>
      <c r="AN539">
        <v>1</v>
      </c>
      <c r="AO539">
        <v>2024</v>
      </c>
      <c r="AP539" t="s">
        <v>79</v>
      </c>
    </row>
    <row r="540" spans="1:42">
      <c r="A540" t="s">
        <v>2656</v>
      </c>
      <c r="B540" s="3" t="s">
        <v>2322</v>
      </c>
      <c r="C540" s="3">
        <v>45560</v>
      </c>
      <c r="D540" t="s">
        <v>2657</v>
      </c>
      <c r="E540" s="3">
        <v>45566</v>
      </c>
      <c r="F540" t="s">
        <v>2658</v>
      </c>
      <c r="G540" t="s">
        <v>251</v>
      </c>
      <c r="H540" t="str">
        <f t="shared" si="120"/>
        <v>Diya Patel</v>
      </c>
      <c r="I540" t="s">
        <v>85</v>
      </c>
      <c r="J540" t="str">
        <f t="shared" si="121"/>
        <v>Small Business</v>
      </c>
      <c r="K540" t="s">
        <v>7</v>
      </c>
      <c r="L540" t="str">
        <f t="shared" si="122"/>
        <v>East</v>
      </c>
      <c r="M540" t="s">
        <v>354</v>
      </c>
      <c r="N540" t="str">
        <f t="shared" si="123"/>
        <v>Jharkhand</v>
      </c>
      <c r="O540" t="s">
        <v>355</v>
      </c>
      <c r="P540" t="str">
        <f t="shared" si="124"/>
        <v>Ranchi</v>
      </c>
      <c r="Q540" t="s">
        <v>19</v>
      </c>
      <c r="R540" t="str">
        <f t="shared" si="125"/>
        <v>Furniture</v>
      </c>
      <c r="S540" t="s">
        <v>88</v>
      </c>
      <c r="T540" t="str">
        <f t="shared" si="126"/>
        <v>Tables</v>
      </c>
      <c r="U540" t="s">
        <v>2659</v>
      </c>
      <c r="V540" t="str">
        <f t="shared" si="127"/>
        <v>Elite Tables 888</v>
      </c>
      <c r="W540" t="s">
        <v>76</v>
      </c>
      <c r="X540" t="str">
        <f t="shared" si="128"/>
        <v>Second Class</v>
      </c>
      <c r="Y540">
        <v>6</v>
      </c>
      <c r="Z540">
        <v>9</v>
      </c>
      <c r="AA540">
        <v>3908.6</v>
      </c>
      <c r="AB540">
        <v>0.15</v>
      </c>
      <c r="AC540">
        <f t="shared" si="129"/>
        <v>0.15</v>
      </c>
      <c r="AD540">
        <v>29900.79</v>
      </c>
      <c r="AE540">
        <f t="shared" si="130"/>
        <v>29900.79</v>
      </c>
      <c r="AF540">
        <v>24650.67</v>
      </c>
      <c r="AG540">
        <v>5250.12</v>
      </c>
      <c r="AH540">
        <f t="shared" si="131"/>
        <v>5250.12</v>
      </c>
      <c r="AI540">
        <f t="shared" si="132"/>
        <v>0.175584658465546</v>
      </c>
      <c r="AJ540" t="s">
        <v>77</v>
      </c>
      <c r="AK540" t="str">
        <f t="shared" si="133"/>
        <v>Paid</v>
      </c>
      <c r="AL540" t="s">
        <v>78</v>
      </c>
      <c r="AM540" t="str">
        <f t="shared" si="134"/>
        <v>Completed</v>
      </c>
      <c r="AN540">
        <v>9</v>
      </c>
      <c r="AO540">
        <v>2024</v>
      </c>
      <c r="AP540" t="s">
        <v>79</v>
      </c>
    </row>
    <row r="541" spans="1:42">
      <c r="A541" t="s">
        <v>2660</v>
      </c>
      <c r="B541" s="3" t="s">
        <v>1269</v>
      </c>
      <c r="C541" s="3">
        <v>45842</v>
      </c>
      <c r="D541" t="s">
        <v>2471</v>
      </c>
      <c r="E541" s="3">
        <v>45842</v>
      </c>
      <c r="F541" t="s">
        <v>2661</v>
      </c>
      <c r="G541" t="s">
        <v>2662</v>
      </c>
      <c r="H541" t="str">
        <f t="shared" si="120"/>
        <v>Mira Das</v>
      </c>
      <c r="I541" t="s">
        <v>85</v>
      </c>
      <c r="J541" t="str">
        <f t="shared" si="121"/>
        <v>Small Business</v>
      </c>
      <c r="K541" t="s">
        <v>10</v>
      </c>
      <c r="L541" t="str">
        <f t="shared" si="122"/>
        <v>South</v>
      </c>
      <c r="M541" t="s">
        <v>382</v>
      </c>
      <c r="N541" t="str">
        <f t="shared" si="123"/>
        <v>Tamil Nadu</v>
      </c>
      <c r="O541" t="s">
        <v>383</v>
      </c>
      <c r="P541" t="str">
        <f t="shared" si="124"/>
        <v>Chennai</v>
      </c>
      <c r="Q541" t="s">
        <v>19</v>
      </c>
      <c r="R541" t="str">
        <f t="shared" si="125"/>
        <v>Furniture</v>
      </c>
      <c r="S541" t="s">
        <v>116</v>
      </c>
      <c r="T541" t="str">
        <f t="shared" si="126"/>
        <v>Chairs</v>
      </c>
      <c r="U541" t="s">
        <v>2663</v>
      </c>
      <c r="V541" t="str">
        <f t="shared" si="127"/>
        <v>Classic Chairs 666</v>
      </c>
      <c r="W541" t="s">
        <v>108</v>
      </c>
      <c r="X541" t="str">
        <f t="shared" si="128"/>
        <v>Standard Class</v>
      </c>
      <c r="Y541">
        <v>0</v>
      </c>
      <c r="Z541">
        <v>3</v>
      </c>
      <c r="AA541">
        <v>705.35</v>
      </c>
      <c r="AB541">
        <v>0.1</v>
      </c>
      <c r="AC541">
        <f t="shared" si="129"/>
        <v>0.1</v>
      </c>
      <c r="AD541">
        <v>1904.45</v>
      </c>
      <c r="AE541">
        <f t="shared" si="130"/>
        <v>1904.445</v>
      </c>
      <c r="AF541">
        <v>1316.54</v>
      </c>
      <c r="AG541">
        <v>587.91</v>
      </c>
      <c r="AH541">
        <f t="shared" si="131"/>
        <v>587.905</v>
      </c>
      <c r="AI541">
        <f t="shared" si="132"/>
        <v>0.308701485209602</v>
      </c>
      <c r="AJ541" t="s">
        <v>77</v>
      </c>
      <c r="AK541" t="str">
        <f t="shared" si="133"/>
        <v>Paid</v>
      </c>
      <c r="AL541" t="s">
        <v>118</v>
      </c>
      <c r="AM541" t="str">
        <f t="shared" si="134"/>
        <v>Cancelled</v>
      </c>
      <c r="AN541">
        <v>7</v>
      </c>
      <c r="AO541">
        <v>2025</v>
      </c>
      <c r="AP541" t="s">
        <v>79</v>
      </c>
    </row>
    <row r="542" spans="1:42">
      <c r="A542" t="s">
        <v>2664</v>
      </c>
      <c r="B542" s="3" t="s">
        <v>2665</v>
      </c>
      <c r="C542" s="3">
        <v>45348</v>
      </c>
      <c r="D542" t="s">
        <v>2399</v>
      </c>
      <c r="E542" s="3">
        <v>45345</v>
      </c>
      <c r="F542" t="s">
        <v>2666</v>
      </c>
      <c r="G542" t="s">
        <v>411</v>
      </c>
      <c r="H542" t="str">
        <f t="shared" si="120"/>
        <v>Kabir Singh</v>
      </c>
      <c r="I542" t="s">
        <v>71</v>
      </c>
      <c r="J542" t="str">
        <f t="shared" si="121"/>
        <v>Consumer</v>
      </c>
      <c r="K542" t="s">
        <v>11</v>
      </c>
      <c r="L542" t="str">
        <f t="shared" si="122"/>
        <v>West</v>
      </c>
      <c r="M542" t="s">
        <v>278</v>
      </c>
      <c r="N542" t="str">
        <f t="shared" si="123"/>
        <v>Gujarat</v>
      </c>
      <c r="O542" t="s">
        <v>279</v>
      </c>
      <c r="P542" t="str">
        <f t="shared" si="124"/>
        <v>Ahmedabad</v>
      </c>
      <c r="Q542" t="s">
        <v>19</v>
      </c>
      <c r="R542" t="str">
        <f t="shared" si="125"/>
        <v>Furniture</v>
      </c>
      <c r="S542" t="s">
        <v>106</v>
      </c>
      <c r="T542" t="str">
        <f t="shared" si="126"/>
        <v>Furnishings</v>
      </c>
      <c r="U542" t="s">
        <v>2667</v>
      </c>
      <c r="V542" t="str">
        <f t="shared" si="127"/>
        <v>Basic Furnishings 350</v>
      </c>
      <c r="W542" t="s">
        <v>108</v>
      </c>
      <c r="X542" t="str">
        <f t="shared" si="128"/>
        <v>Standard Class</v>
      </c>
      <c r="Y542">
        <v>-3</v>
      </c>
      <c r="Z542">
        <v>7</v>
      </c>
      <c r="AA542">
        <v>3852.07</v>
      </c>
      <c r="AB542">
        <v>0.2</v>
      </c>
      <c r="AC542">
        <f t="shared" si="129"/>
        <v>0.2</v>
      </c>
      <c r="AD542">
        <v>21571.59</v>
      </c>
      <c r="AE542">
        <f t="shared" si="130"/>
        <v>21571.592</v>
      </c>
      <c r="AF542">
        <v>17118.07</v>
      </c>
      <c r="AG542">
        <v>4453.52</v>
      </c>
      <c r="AH542">
        <f t="shared" si="131"/>
        <v>4453.522</v>
      </c>
      <c r="AI542">
        <f t="shared" si="132"/>
        <v>0.206453098130171</v>
      </c>
      <c r="AJ542" t="s">
        <v>77</v>
      </c>
      <c r="AK542" t="str">
        <f t="shared" si="133"/>
        <v>Paid</v>
      </c>
      <c r="AL542" t="s">
        <v>78</v>
      </c>
      <c r="AM542" t="str">
        <f t="shared" si="134"/>
        <v>Completed</v>
      </c>
      <c r="AN542">
        <v>2</v>
      </c>
      <c r="AO542">
        <v>2024</v>
      </c>
      <c r="AP542" t="s">
        <v>253</v>
      </c>
    </row>
    <row r="543" spans="1:42">
      <c r="A543" t="s">
        <v>2668</v>
      </c>
      <c r="B543" s="3" t="s">
        <v>2669</v>
      </c>
      <c r="C543" s="3">
        <v>45846</v>
      </c>
      <c r="D543" t="s">
        <v>2670</v>
      </c>
      <c r="E543" s="3">
        <v>45847</v>
      </c>
      <c r="F543" t="s">
        <v>2671</v>
      </c>
      <c r="G543" t="s">
        <v>208</v>
      </c>
      <c r="H543" t="str">
        <f t="shared" si="120"/>
        <v>Sneha Kapoor</v>
      </c>
      <c r="I543" t="s">
        <v>71</v>
      </c>
      <c r="J543" t="str">
        <f t="shared" si="121"/>
        <v>Consumer</v>
      </c>
      <c r="K543" t="s">
        <v>11</v>
      </c>
      <c r="L543" t="str">
        <f t="shared" si="122"/>
        <v>West</v>
      </c>
      <c r="M543" t="s">
        <v>114</v>
      </c>
      <c r="N543" t="str">
        <f t="shared" si="123"/>
        <v>Maharashtra</v>
      </c>
      <c r="O543" t="s">
        <v>115</v>
      </c>
      <c r="P543" t="str">
        <f t="shared" si="124"/>
        <v>Mumbai</v>
      </c>
      <c r="Q543" t="s">
        <v>24</v>
      </c>
      <c r="R543" t="str">
        <f t="shared" si="125"/>
        <v>Technology</v>
      </c>
      <c r="S543" t="s">
        <v>133</v>
      </c>
      <c r="T543" t="str">
        <f t="shared" si="126"/>
        <v>Copiers</v>
      </c>
      <c r="U543" t="s">
        <v>2672</v>
      </c>
      <c r="V543" t="str">
        <f t="shared" si="127"/>
        <v>Elite Copiers 831</v>
      </c>
      <c r="W543" t="s">
        <v>90</v>
      </c>
      <c r="X543" t="str">
        <f t="shared" si="128"/>
        <v>Same Day</v>
      </c>
      <c r="Y543">
        <v>1</v>
      </c>
      <c r="Z543">
        <v>3</v>
      </c>
      <c r="AA543">
        <v>2880.56</v>
      </c>
      <c r="AB543">
        <v>0</v>
      </c>
      <c r="AC543">
        <f t="shared" si="129"/>
        <v>0</v>
      </c>
      <c r="AD543">
        <v>8641.68</v>
      </c>
      <c r="AE543">
        <f t="shared" si="130"/>
        <v>8641.68</v>
      </c>
      <c r="AF543">
        <v>5747.09</v>
      </c>
      <c r="AG543">
        <v>2894.59</v>
      </c>
      <c r="AH543">
        <f t="shared" si="131"/>
        <v>2894.59</v>
      </c>
      <c r="AI543">
        <f t="shared" si="132"/>
        <v>0.334956860240138</v>
      </c>
      <c r="AJ543" t="s">
        <v>77</v>
      </c>
      <c r="AK543" t="str">
        <f t="shared" si="133"/>
        <v>Paid</v>
      </c>
      <c r="AL543" t="s">
        <v>164</v>
      </c>
      <c r="AM543" t="str">
        <f t="shared" si="134"/>
        <v>Returned</v>
      </c>
      <c r="AN543">
        <v>7</v>
      </c>
      <c r="AO543">
        <v>2025</v>
      </c>
      <c r="AP543" t="s">
        <v>79</v>
      </c>
    </row>
    <row r="544" spans="1:42">
      <c r="A544" t="s">
        <v>2673</v>
      </c>
      <c r="B544" s="3" t="s">
        <v>2674</v>
      </c>
      <c r="C544" s="3">
        <v>45552</v>
      </c>
      <c r="D544" t="s">
        <v>2675</v>
      </c>
      <c r="E544" s="3">
        <v>45558</v>
      </c>
      <c r="F544" t="s">
        <v>2676</v>
      </c>
      <c r="G544" t="s">
        <v>188</v>
      </c>
      <c r="H544" t="str">
        <f t="shared" si="120"/>
        <v>Rahul Verma</v>
      </c>
      <c r="I544" t="s">
        <v>154</v>
      </c>
      <c r="J544" t="str">
        <f t="shared" si="121"/>
        <v>Home Office</v>
      </c>
      <c r="K544" t="s">
        <v>10</v>
      </c>
      <c r="L544" t="str">
        <f t="shared" si="122"/>
        <v>South</v>
      </c>
      <c r="M544" t="s">
        <v>285</v>
      </c>
      <c r="N544" t="str">
        <f t="shared" si="123"/>
        <v>Kerala</v>
      </c>
      <c r="O544" t="s">
        <v>286</v>
      </c>
      <c r="P544" t="str">
        <f t="shared" si="124"/>
        <v>Kochi</v>
      </c>
      <c r="Q544" t="s">
        <v>19</v>
      </c>
      <c r="R544" t="str">
        <f t="shared" si="125"/>
        <v>Furniture</v>
      </c>
      <c r="S544" t="s">
        <v>245</v>
      </c>
      <c r="T544" t="str">
        <f t="shared" si="126"/>
        <v>Bookcases</v>
      </c>
      <c r="U544" t="s">
        <v>2677</v>
      </c>
      <c r="V544" t="str">
        <f t="shared" si="127"/>
        <v>Eco Bookcases 759</v>
      </c>
      <c r="W544" t="s">
        <v>76</v>
      </c>
      <c r="X544" t="str">
        <f t="shared" si="128"/>
        <v>Second Class</v>
      </c>
      <c r="Y544">
        <v>6</v>
      </c>
      <c r="Z544">
        <v>3</v>
      </c>
      <c r="AA544">
        <v>4067.62</v>
      </c>
      <c r="AB544">
        <v>0.2</v>
      </c>
      <c r="AC544">
        <f t="shared" si="129"/>
        <v>0.2</v>
      </c>
      <c r="AD544">
        <v>9988.53</v>
      </c>
      <c r="AE544">
        <f t="shared" si="130"/>
        <v>9762.288</v>
      </c>
      <c r="AF544">
        <v>8368.24</v>
      </c>
      <c r="AG544">
        <v>1394.05</v>
      </c>
      <c r="AH544">
        <f t="shared" si="131"/>
        <v>1394.048</v>
      </c>
      <c r="AI544">
        <f t="shared" si="132"/>
        <v>0.142799310981196</v>
      </c>
      <c r="AJ544" t="s">
        <v>77</v>
      </c>
      <c r="AK544" t="str">
        <f t="shared" si="133"/>
        <v>Paid</v>
      </c>
      <c r="AL544" t="s">
        <v>2678</v>
      </c>
      <c r="AM544" t="str">
        <f t="shared" si="134"/>
        <v>Cancelled</v>
      </c>
      <c r="AN544">
        <v>9</v>
      </c>
      <c r="AO544">
        <v>2024</v>
      </c>
      <c r="AP544" t="s">
        <v>79</v>
      </c>
    </row>
    <row r="545" spans="1:42">
      <c r="A545" t="s">
        <v>2679</v>
      </c>
      <c r="B545" s="3" t="s">
        <v>2680</v>
      </c>
      <c r="C545" s="3">
        <v>45487</v>
      </c>
      <c r="D545" t="s">
        <v>445</v>
      </c>
      <c r="E545" s="3">
        <v>45493</v>
      </c>
      <c r="F545" t="s">
        <v>2681</v>
      </c>
      <c r="G545" t="s">
        <v>84</v>
      </c>
      <c r="H545" t="str">
        <f t="shared" si="120"/>
        <v>Mira Das</v>
      </c>
      <c r="I545" t="s">
        <v>71</v>
      </c>
      <c r="J545" t="str">
        <f t="shared" si="121"/>
        <v>Consumer</v>
      </c>
      <c r="K545" t="s">
        <v>7</v>
      </c>
      <c r="L545" t="str">
        <f t="shared" si="122"/>
        <v>East</v>
      </c>
      <c r="M545" t="s">
        <v>227</v>
      </c>
      <c r="N545" t="str">
        <f t="shared" si="123"/>
        <v>Bihar</v>
      </c>
      <c r="O545" t="s">
        <v>228</v>
      </c>
      <c r="P545" t="str">
        <f t="shared" si="124"/>
        <v>Patna</v>
      </c>
      <c r="Q545" t="s">
        <v>24</v>
      </c>
      <c r="R545" t="str">
        <f t="shared" si="125"/>
        <v>Technology</v>
      </c>
      <c r="S545" t="s">
        <v>133</v>
      </c>
      <c r="T545" t="str">
        <f t="shared" si="126"/>
        <v>Copiers</v>
      </c>
      <c r="U545" t="s">
        <v>2682</v>
      </c>
      <c r="V545" t="str">
        <f t="shared" si="127"/>
        <v>Max Copiers 440</v>
      </c>
      <c r="W545" t="s">
        <v>90</v>
      </c>
      <c r="X545" t="str">
        <f t="shared" si="128"/>
        <v>Same Day</v>
      </c>
      <c r="Y545">
        <v>6</v>
      </c>
      <c r="Z545">
        <v>1</v>
      </c>
      <c r="AA545">
        <v>492.67</v>
      </c>
      <c r="AB545">
        <v>0.15</v>
      </c>
      <c r="AC545">
        <f t="shared" si="129"/>
        <v>0.15</v>
      </c>
      <c r="AD545">
        <v>418.77</v>
      </c>
      <c r="AE545">
        <f t="shared" si="130"/>
        <v>418.7695</v>
      </c>
      <c r="AF545">
        <v>313.72</v>
      </c>
      <c r="AG545">
        <v>105.05</v>
      </c>
      <c r="AH545">
        <f t="shared" si="131"/>
        <v>105.0495</v>
      </c>
      <c r="AI545">
        <f t="shared" si="132"/>
        <v>0.250852796108599</v>
      </c>
      <c r="AJ545" t="s">
        <v>77</v>
      </c>
      <c r="AK545" t="str">
        <f t="shared" si="133"/>
        <v>Paid</v>
      </c>
      <c r="AL545" t="s">
        <v>78</v>
      </c>
      <c r="AM545" t="str">
        <f t="shared" si="134"/>
        <v>Completed</v>
      </c>
      <c r="AN545">
        <v>7</v>
      </c>
      <c r="AO545">
        <v>2024</v>
      </c>
      <c r="AP545" t="s">
        <v>79</v>
      </c>
    </row>
    <row r="546" spans="1:42">
      <c r="A546" t="s">
        <v>2683</v>
      </c>
      <c r="B546" s="3" t="s">
        <v>2684</v>
      </c>
      <c r="C546" s="3">
        <v>45686</v>
      </c>
      <c r="D546" t="s">
        <v>2115</v>
      </c>
      <c r="E546" s="3">
        <v>45693</v>
      </c>
      <c r="F546" t="s">
        <v>2685</v>
      </c>
      <c r="G546" t="s">
        <v>113</v>
      </c>
      <c r="H546" t="str">
        <f t="shared" si="120"/>
        <v>Ananya Rao</v>
      </c>
      <c r="I546" t="s">
        <v>71</v>
      </c>
      <c r="J546" t="str">
        <f t="shared" si="121"/>
        <v>Consumer</v>
      </c>
      <c r="K546" t="s">
        <v>10</v>
      </c>
      <c r="L546" t="str">
        <f t="shared" si="122"/>
        <v>South</v>
      </c>
      <c r="M546" t="s">
        <v>285</v>
      </c>
      <c r="N546" t="str">
        <f t="shared" si="123"/>
        <v>Kerala</v>
      </c>
      <c r="O546" t="s">
        <v>286</v>
      </c>
      <c r="P546" t="str">
        <f t="shared" si="124"/>
        <v>Kochi</v>
      </c>
      <c r="Q546" t="s">
        <v>22</v>
      </c>
      <c r="R546" t="str">
        <f t="shared" si="125"/>
        <v>Office Supplies</v>
      </c>
      <c r="S546" t="s">
        <v>96</v>
      </c>
      <c r="T546" t="str">
        <f t="shared" si="126"/>
        <v>Art</v>
      </c>
      <c r="U546" t="s">
        <v>2686</v>
      </c>
      <c r="V546" t="str">
        <f t="shared" si="127"/>
        <v>Smart Art 201</v>
      </c>
      <c r="W546" t="s">
        <v>90</v>
      </c>
      <c r="X546" t="str">
        <f t="shared" si="128"/>
        <v>Same Day</v>
      </c>
      <c r="Y546">
        <v>7</v>
      </c>
      <c r="Z546">
        <v>8</v>
      </c>
      <c r="AA546">
        <v>3643.62</v>
      </c>
      <c r="AB546">
        <v>0.25</v>
      </c>
      <c r="AC546">
        <f t="shared" si="129"/>
        <v>0.25</v>
      </c>
      <c r="AD546">
        <v>21861.72</v>
      </c>
      <c r="AE546">
        <f t="shared" si="130"/>
        <v>21861.72</v>
      </c>
      <c r="AF546">
        <v>18464.34</v>
      </c>
      <c r="AG546">
        <v>3397.38</v>
      </c>
      <c r="AH546">
        <f t="shared" si="131"/>
        <v>3397.38</v>
      </c>
      <c r="AI546">
        <f t="shared" si="132"/>
        <v>0.155403143028087</v>
      </c>
      <c r="AJ546" t="s">
        <v>77</v>
      </c>
      <c r="AK546" t="str">
        <f t="shared" si="133"/>
        <v>Paid</v>
      </c>
      <c r="AL546" t="s">
        <v>118</v>
      </c>
      <c r="AM546" t="str">
        <f t="shared" si="134"/>
        <v>Cancelled</v>
      </c>
      <c r="AN546">
        <v>1</v>
      </c>
      <c r="AO546">
        <v>2025</v>
      </c>
      <c r="AP546" t="s">
        <v>79</v>
      </c>
    </row>
    <row r="547" spans="1:42">
      <c r="A547" t="s">
        <v>2687</v>
      </c>
      <c r="B547" s="3" t="s">
        <v>2688</v>
      </c>
      <c r="C547" s="3">
        <v>45439</v>
      </c>
      <c r="D547" t="s">
        <v>2689</v>
      </c>
      <c r="E547" s="3">
        <v>45442</v>
      </c>
      <c r="F547" t="s">
        <v>2690</v>
      </c>
      <c r="G547" t="s">
        <v>411</v>
      </c>
      <c r="H547" t="str">
        <f t="shared" si="120"/>
        <v>Kabir Singh</v>
      </c>
      <c r="I547" t="s">
        <v>85</v>
      </c>
      <c r="J547" t="str">
        <f t="shared" si="121"/>
        <v>Small Business</v>
      </c>
      <c r="K547" t="s">
        <v>7</v>
      </c>
      <c r="L547" t="str">
        <f t="shared" si="122"/>
        <v>East</v>
      </c>
      <c r="M547" t="s">
        <v>354</v>
      </c>
      <c r="N547" t="str">
        <f t="shared" si="123"/>
        <v>Jharkhand</v>
      </c>
      <c r="O547" t="s">
        <v>355</v>
      </c>
      <c r="P547" t="str">
        <f t="shared" si="124"/>
        <v>Ranchi</v>
      </c>
      <c r="Q547" t="s">
        <v>22</v>
      </c>
      <c r="R547" t="str">
        <f t="shared" si="125"/>
        <v>Office Supplies</v>
      </c>
      <c r="S547" t="s">
        <v>196</v>
      </c>
      <c r="T547" t="str">
        <f t="shared" si="126"/>
        <v>Storage</v>
      </c>
      <c r="U547" t="s">
        <v>2691</v>
      </c>
      <c r="V547" t="str">
        <f t="shared" si="127"/>
        <v>Classic Storage 755</v>
      </c>
      <c r="W547" t="s">
        <v>90</v>
      </c>
      <c r="X547" t="str">
        <f t="shared" si="128"/>
        <v>Same Day</v>
      </c>
      <c r="Y547">
        <v>3</v>
      </c>
      <c r="Z547">
        <v>7</v>
      </c>
      <c r="AA547">
        <v>2900.86</v>
      </c>
      <c r="AB547">
        <v>0.15</v>
      </c>
      <c r="AC547">
        <f t="shared" si="129"/>
        <v>0.15</v>
      </c>
      <c r="AD547">
        <v>17260.12</v>
      </c>
      <c r="AE547">
        <f t="shared" si="130"/>
        <v>17260.117</v>
      </c>
      <c r="AF547">
        <v>13513.51</v>
      </c>
      <c r="AG547">
        <v>3746.61</v>
      </c>
      <c r="AH547">
        <f t="shared" si="131"/>
        <v>3746.607</v>
      </c>
      <c r="AI547">
        <f t="shared" si="132"/>
        <v>0.217067300296979</v>
      </c>
      <c r="AJ547" t="s">
        <v>77</v>
      </c>
      <c r="AK547" t="str">
        <f t="shared" si="133"/>
        <v>Paid</v>
      </c>
      <c r="AL547" t="s">
        <v>78</v>
      </c>
      <c r="AM547" t="str">
        <f t="shared" si="134"/>
        <v>Completed</v>
      </c>
      <c r="AN547">
        <v>5</v>
      </c>
      <c r="AO547">
        <v>2024</v>
      </c>
      <c r="AP547" t="s">
        <v>79</v>
      </c>
    </row>
    <row r="548" spans="1:42">
      <c r="A548" t="s">
        <v>2692</v>
      </c>
      <c r="B548" s="3" t="s">
        <v>2693</v>
      </c>
      <c r="C548" s="3">
        <v>45883</v>
      </c>
      <c r="D548" t="s">
        <v>1545</v>
      </c>
      <c r="E548" s="3">
        <v>45891</v>
      </c>
      <c r="F548" t="s">
        <v>2694</v>
      </c>
      <c r="G548" t="s">
        <v>103</v>
      </c>
      <c r="H548" t="str">
        <f t="shared" si="120"/>
        <v>Arjun Bose</v>
      </c>
      <c r="I548" t="s">
        <v>147</v>
      </c>
      <c r="J548" t="str">
        <f t="shared" si="121"/>
        <v>Corporate</v>
      </c>
      <c r="K548" t="s">
        <v>11</v>
      </c>
      <c r="L548" t="str">
        <f t="shared" si="122"/>
        <v>West</v>
      </c>
      <c r="M548" t="s">
        <v>278</v>
      </c>
      <c r="N548" t="str">
        <f t="shared" si="123"/>
        <v>Gujarat</v>
      </c>
      <c r="O548" t="s">
        <v>279</v>
      </c>
      <c r="P548" t="str">
        <f t="shared" si="124"/>
        <v>Ahmedabad</v>
      </c>
      <c r="Q548" t="s">
        <v>2695</v>
      </c>
      <c r="R548" t="str">
        <f t="shared" si="125"/>
        <v>Office Supplies</v>
      </c>
      <c r="S548" t="s">
        <v>74</v>
      </c>
      <c r="T548" t="str">
        <f t="shared" si="126"/>
        <v>Paper</v>
      </c>
      <c r="U548" t="s">
        <v>2696</v>
      </c>
      <c r="V548" t="str">
        <f t="shared" si="127"/>
        <v>Prime Paper 143</v>
      </c>
      <c r="W548" t="s">
        <v>98</v>
      </c>
      <c r="X548" t="str">
        <f t="shared" si="128"/>
        <v>First Class</v>
      </c>
      <c r="Y548">
        <v>8</v>
      </c>
      <c r="Z548">
        <v>5</v>
      </c>
      <c r="AA548">
        <v>2567.37</v>
      </c>
      <c r="AB548">
        <v>0.15</v>
      </c>
      <c r="AC548">
        <f t="shared" si="129"/>
        <v>0.15</v>
      </c>
      <c r="AD548">
        <v>10911.32</v>
      </c>
      <c r="AE548">
        <f t="shared" si="130"/>
        <v>10911.3225</v>
      </c>
      <c r="AF548">
        <v>6966.44</v>
      </c>
      <c r="AG548">
        <v>4395.17</v>
      </c>
      <c r="AH548">
        <f t="shared" si="131"/>
        <v>3944.8825</v>
      </c>
      <c r="AI548">
        <f t="shared" si="132"/>
        <v>0.361540271584861</v>
      </c>
      <c r="AJ548" t="s">
        <v>77</v>
      </c>
      <c r="AK548" t="str">
        <f t="shared" si="133"/>
        <v>Paid</v>
      </c>
      <c r="AL548" t="s">
        <v>78</v>
      </c>
      <c r="AM548" t="str">
        <f t="shared" si="134"/>
        <v>Completed</v>
      </c>
      <c r="AN548">
        <v>8</v>
      </c>
      <c r="AO548">
        <v>2025</v>
      </c>
      <c r="AP548" t="s">
        <v>79</v>
      </c>
    </row>
    <row r="549" spans="1:42">
      <c r="A549" t="s">
        <v>2697</v>
      </c>
      <c r="B549" s="3" t="s">
        <v>2698</v>
      </c>
      <c r="C549" s="3">
        <v>45428</v>
      </c>
      <c r="D549" t="s">
        <v>2699</v>
      </c>
      <c r="E549" s="3">
        <v>45435</v>
      </c>
      <c r="F549" t="s">
        <v>2700</v>
      </c>
      <c r="G549" t="s">
        <v>132</v>
      </c>
      <c r="H549" t="str">
        <f t="shared" si="120"/>
        <v>Neha Gupta</v>
      </c>
      <c r="I549" t="s">
        <v>85</v>
      </c>
      <c r="J549" t="str">
        <f t="shared" si="121"/>
        <v>Small Business</v>
      </c>
      <c r="K549" t="s">
        <v>8</v>
      </c>
      <c r="L549" t="str">
        <f t="shared" si="122"/>
        <v>North</v>
      </c>
      <c r="M549" t="s">
        <v>214</v>
      </c>
      <c r="N549" t="str">
        <f t="shared" si="123"/>
        <v>Uttar Pradesh</v>
      </c>
      <c r="O549" t="s">
        <v>215</v>
      </c>
      <c r="P549" t="str">
        <f t="shared" si="124"/>
        <v>Noida</v>
      </c>
      <c r="Q549" t="s">
        <v>24</v>
      </c>
      <c r="R549" t="str">
        <f t="shared" si="125"/>
        <v>Technology</v>
      </c>
      <c r="S549" t="s">
        <v>133</v>
      </c>
      <c r="T549" t="str">
        <f t="shared" si="126"/>
        <v>Copiers</v>
      </c>
      <c r="U549" t="s">
        <v>2701</v>
      </c>
      <c r="V549" t="str">
        <f t="shared" si="127"/>
        <v>Max Copiers 607</v>
      </c>
      <c r="W549" t="s">
        <v>108</v>
      </c>
      <c r="X549" t="str">
        <f t="shared" si="128"/>
        <v>Standard Class</v>
      </c>
      <c r="Y549">
        <v>7</v>
      </c>
      <c r="Z549">
        <v>9</v>
      </c>
      <c r="AA549">
        <v>3722.09</v>
      </c>
      <c r="AB549">
        <v>0.1</v>
      </c>
      <c r="AC549">
        <f t="shared" si="129"/>
        <v>0.1</v>
      </c>
      <c r="AD549">
        <v>30148.93</v>
      </c>
      <c r="AE549">
        <f t="shared" si="130"/>
        <v>30148.929</v>
      </c>
      <c r="AF549">
        <v>25155.07</v>
      </c>
      <c r="AG549">
        <v>4993.86</v>
      </c>
      <c r="AH549">
        <f t="shared" si="131"/>
        <v>4993.859</v>
      </c>
      <c r="AI549">
        <f t="shared" si="132"/>
        <v>0.165639681595323</v>
      </c>
      <c r="AJ549" t="s">
        <v>77</v>
      </c>
      <c r="AK549" t="str">
        <f t="shared" si="133"/>
        <v>Paid</v>
      </c>
      <c r="AL549" t="s">
        <v>78</v>
      </c>
      <c r="AM549" t="str">
        <f t="shared" si="134"/>
        <v>Completed</v>
      </c>
      <c r="AN549">
        <v>5</v>
      </c>
      <c r="AO549">
        <v>2024</v>
      </c>
      <c r="AP549" t="s">
        <v>79</v>
      </c>
    </row>
    <row r="550" spans="1:42">
      <c r="A550" t="s">
        <v>2702</v>
      </c>
      <c r="B550" s="3" t="s">
        <v>317</v>
      </c>
      <c r="C550" s="3">
        <v>45441</v>
      </c>
      <c r="D550" t="s">
        <v>316</v>
      </c>
      <c r="E550" s="3">
        <v>45441</v>
      </c>
      <c r="F550" t="s">
        <v>2703</v>
      </c>
      <c r="G550" t="s">
        <v>220</v>
      </c>
      <c r="H550" t="str">
        <f t="shared" si="120"/>
        <v>Rohan Mehta</v>
      </c>
      <c r="I550" t="s">
        <v>147</v>
      </c>
      <c r="J550" t="str">
        <f t="shared" si="121"/>
        <v>Corporate</v>
      </c>
      <c r="K550" t="s">
        <v>7</v>
      </c>
      <c r="L550" t="str">
        <f t="shared" si="122"/>
        <v>East</v>
      </c>
      <c r="M550" t="s">
        <v>227</v>
      </c>
      <c r="N550" t="str">
        <f t="shared" si="123"/>
        <v>Bihar</v>
      </c>
      <c r="O550" t="s">
        <v>228</v>
      </c>
      <c r="P550" t="str">
        <f t="shared" si="124"/>
        <v>Patna</v>
      </c>
      <c r="Q550" t="s">
        <v>19</v>
      </c>
      <c r="R550" t="str">
        <f t="shared" si="125"/>
        <v>Furniture</v>
      </c>
      <c r="S550" t="s">
        <v>245</v>
      </c>
      <c r="T550" t="str">
        <f t="shared" si="126"/>
        <v>Bookcases</v>
      </c>
      <c r="U550" t="s">
        <v>2704</v>
      </c>
      <c r="V550" t="str">
        <f t="shared" si="127"/>
        <v>Prime Bookcases 402</v>
      </c>
      <c r="W550" t="s">
        <v>90</v>
      </c>
      <c r="X550" t="str">
        <f t="shared" si="128"/>
        <v>Same Day</v>
      </c>
      <c r="Y550">
        <v>0</v>
      </c>
      <c r="Z550">
        <v>1</v>
      </c>
      <c r="AA550">
        <v>1072.01</v>
      </c>
      <c r="AB550">
        <v>0</v>
      </c>
      <c r="AC550">
        <f t="shared" si="129"/>
        <v>0</v>
      </c>
      <c r="AD550">
        <v>1072.01</v>
      </c>
      <c r="AE550">
        <f t="shared" si="130"/>
        <v>1072.01</v>
      </c>
      <c r="AF550">
        <v>852.62</v>
      </c>
      <c r="AG550">
        <v>219.39</v>
      </c>
      <c r="AH550">
        <f t="shared" si="131"/>
        <v>219.39</v>
      </c>
      <c r="AI550">
        <f t="shared" si="132"/>
        <v>0.20465294167032</v>
      </c>
      <c r="AJ550" t="s">
        <v>177</v>
      </c>
      <c r="AK550" t="str">
        <f t="shared" si="133"/>
        <v>Pending</v>
      </c>
      <c r="AL550" t="s">
        <v>118</v>
      </c>
      <c r="AM550" t="str">
        <f t="shared" si="134"/>
        <v>Cancelled</v>
      </c>
      <c r="AN550">
        <v>5</v>
      </c>
      <c r="AO550">
        <v>2024</v>
      </c>
      <c r="AP550" t="s">
        <v>79</v>
      </c>
    </row>
    <row r="551" spans="1:42">
      <c r="A551" t="s">
        <v>2705</v>
      </c>
      <c r="B551" s="3" t="s">
        <v>2706</v>
      </c>
      <c r="C551" s="3">
        <v>45941</v>
      </c>
      <c r="D551" t="s">
        <v>2707</v>
      </c>
      <c r="E551" s="3">
        <v>45943</v>
      </c>
      <c r="F551" t="s">
        <v>2708</v>
      </c>
      <c r="G551" t="s">
        <v>84</v>
      </c>
      <c r="H551" t="str">
        <f t="shared" si="120"/>
        <v>Mira Das</v>
      </c>
      <c r="I551" t="s">
        <v>147</v>
      </c>
      <c r="J551" t="str">
        <f t="shared" si="121"/>
        <v>Corporate</v>
      </c>
      <c r="K551" t="s">
        <v>10</v>
      </c>
      <c r="L551" t="str">
        <f t="shared" si="122"/>
        <v>South</v>
      </c>
      <c r="M551" t="s">
        <v>104</v>
      </c>
      <c r="N551" t="str">
        <f t="shared" si="123"/>
        <v>Telangana</v>
      </c>
      <c r="O551" t="s">
        <v>105</v>
      </c>
      <c r="P551" t="str">
        <f t="shared" si="124"/>
        <v>Hyderabad</v>
      </c>
      <c r="Q551" t="s">
        <v>22</v>
      </c>
      <c r="R551" t="str">
        <f t="shared" si="125"/>
        <v>Office Supplies</v>
      </c>
      <c r="S551" t="s">
        <v>96</v>
      </c>
      <c r="T551" t="str">
        <f t="shared" si="126"/>
        <v>Art</v>
      </c>
      <c r="U551" t="s">
        <v>2709</v>
      </c>
      <c r="V551" t="str">
        <f t="shared" si="127"/>
        <v>Pro Art 287</v>
      </c>
      <c r="W551" t="s">
        <v>76</v>
      </c>
      <c r="X551" t="str">
        <f t="shared" si="128"/>
        <v>Second Class</v>
      </c>
      <c r="Y551">
        <v>2</v>
      </c>
      <c r="Z551">
        <v>3</v>
      </c>
      <c r="AA551">
        <v>3804.27</v>
      </c>
      <c r="AB551">
        <v>0.1</v>
      </c>
      <c r="AC551">
        <f t="shared" si="129"/>
        <v>0.1</v>
      </c>
      <c r="AD551">
        <v>10271.53</v>
      </c>
      <c r="AE551">
        <f t="shared" si="130"/>
        <v>10271.529</v>
      </c>
      <c r="AF551">
        <v>8272.24</v>
      </c>
      <c r="AG551">
        <v>1999.29</v>
      </c>
      <c r="AH551">
        <f t="shared" si="131"/>
        <v>1999.289</v>
      </c>
      <c r="AI551">
        <f t="shared" si="132"/>
        <v>0.194643757516529</v>
      </c>
      <c r="AJ551" t="s">
        <v>77</v>
      </c>
      <c r="AK551" t="str">
        <f t="shared" si="133"/>
        <v>Paid</v>
      </c>
      <c r="AL551" t="s">
        <v>78</v>
      </c>
      <c r="AM551" t="str">
        <f t="shared" si="134"/>
        <v>Completed</v>
      </c>
      <c r="AN551">
        <v>10</v>
      </c>
      <c r="AO551">
        <v>2025</v>
      </c>
      <c r="AP551" t="s">
        <v>79</v>
      </c>
    </row>
    <row r="552" spans="1:42">
      <c r="A552" t="s">
        <v>2710</v>
      </c>
      <c r="B552" s="3" t="s">
        <v>584</v>
      </c>
      <c r="C552" s="3">
        <v>45506</v>
      </c>
      <c r="D552" t="s">
        <v>2711</v>
      </c>
      <c r="E552" s="3">
        <v>45514</v>
      </c>
      <c r="F552" t="s">
        <v>2712</v>
      </c>
      <c r="G552" t="s">
        <v>84</v>
      </c>
      <c r="H552" t="str">
        <f t="shared" si="120"/>
        <v>Mira Das</v>
      </c>
      <c r="I552" t="s">
        <v>154</v>
      </c>
      <c r="J552" t="str">
        <f t="shared" si="121"/>
        <v>Home Office</v>
      </c>
      <c r="K552" t="s">
        <v>7</v>
      </c>
      <c r="L552" t="str">
        <f t="shared" si="122"/>
        <v>East</v>
      </c>
      <c r="M552" t="s">
        <v>86</v>
      </c>
      <c r="N552" t="str">
        <f t="shared" si="123"/>
        <v>Odisha</v>
      </c>
      <c r="O552" t="s">
        <v>87</v>
      </c>
      <c r="P552" t="str">
        <f t="shared" si="124"/>
        <v>Bhubaneswar</v>
      </c>
      <c r="Q552" t="s">
        <v>24</v>
      </c>
      <c r="R552" t="str">
        <f t="shared" si="125"/>
        <v>Technology</v>
      </c>
      <c r="S552" t="s">
        <v>126</v>
      </c>
      <c r="T552" t="str">
        <f t="shared" si="126"/>
        <v>Accessories</v>
      </c>
      <c r="U552" t="s">
        <v>2713</v>
      </c>
      <c r="V552" t="str">
        <f t="shared" si="127"/>
        <v>Max Accessories 591</v>
      </c>
      <c r="W552" t="s">
        <v>108</v>
      </c>
      <c r="X552" t="str">
        <f t="shared" si="128"/>
        <v>Standard Class</v>
      </c>
      <c r="Y552">
        <v>8</v>
      </c>
      <c r="Z552">
        <v>6</v>
      </c>
      <c r="AA552">
        <v>2126.44</v>
      </c>
      <c r="AB552">
        <v>0.2</v>
      </c>
      <c r="AC552">
        <f t="shared" si="129"/>
        <v>0.2</v>
      </c>
      <c r="AD552">
        <v>10206.91</v>
      </c>
      <c r="AE552">
        <f t="shared" si="130"/>
        <v>10206.912</v>
      </c>
      <c r="AF552">
        <v>6764.53</v>
      </c>
      <c r="AG552">
        <v>3442.38</v>
      </c>
      <c r="AH552">
        <f t="shared" si="131"/>
        <v>3442.382</v>
      </c>
      <c r="AI552">
        <f t="shared" si="132"/>
        <v>0.33725988820125</v>
      </c>
      <c r="AJ552" t="s">
        <v>77</v>
      </c>
      <c r="AK552" t="str">
        <f t="shared" si="133"/>
        <v>Paid</v>
      </c>
      <c r="AL552" t="s">
        <v>78</v>
      </c>
      <c r="AM552" t="str">
        <f t="shared" si="134"/>
        <v>Completed</v>
      </c>
      <c r="AN552">
        <v>8</v>
      </c>
      <c r="AO552">
        <v>2024</v>
      </c>
      <c r="AP552" t="s">
        <v>79</v>
      </c>
    </row>
    <row r="553" spans="1:42">
      <c r="A553" t="s">
        <v>2714</v>
      </c>
      <c r="B553" s="3" t="s">
        <v>2144</v>
      </c>
      <c r="C553" s="3">
        <v>45349</v>
      </c>
      <c r="D553" t="s">
        <v>2715</v>
      </c>
      <c r="E553" s="3">
        <v>45349</v>
      </c>
      <c r="F553" t="s">
        <v>2716</v>
      </c>
      <c r="G553" t="s">
        <v>208</v>
      </c>
      <c r="H553" t="str">
        <f t="shared" si="120"/>
        <v>Sneha Kapoor</v>
      </c>
      <c r="I553" t="s">
        <v>71</v>
      </c>
      <c r="J553" t="str">
        <f t="shared" si="121"/>
        <v>Consumer</v>
      </c>
      <c r="K553" t="s">
        <v>7</v>
      </c>
      <c r="L553" t="str">
        <f t="shared" si="122"/>
        <v>East</v>
      </c>
      <c r="M553" t="s">
        <v>354</v>
      </c>
      <c r="N553" t="str">
        <f t="shared" si="123"/>
        <v>Jharkhand</v>
      </c>
      <c r="O553" t="s">
        <v>355</v>
      </c>
      <c r="P553" t="str">
        <f t="shared" si="124"/>
        <v>Ranchi</v>
      </c>
      <c r="Q553" t="s">
        <v>19</v>
      </c>
      <c r="R553" t="str">
        <f t="shared" si="125"/>
        <v>Furniture</v>
      </c>
      <c r="S553" t="s">
        <v>116</v>
      </c>
      <c r="T553" t="str">
        <f t="shared" si="126"/>
        <v>Chairs</v>
      </c>
      <c r="U553" t="s">
        <v>2717</v>
      </c>
      <c r="V553" t="str">
        <f t="shared" si="127"/>
        <v>Elite Chairs 314</v>
      </c>
      <c r="W553" t="s">
        <v>76</v>
      </c>
      <c r="X553" t="str">
        <f t="shared" si="128"/>
        <v>Second Class</v>
      </c>
      <c r="Y553">
        <v>0</v>
      </c>
      <c r="Z553">
        <v>3</v>
      </c>
      <c r="AA553">
        <v>3148.09</v>
      </c>
      <c r="AB553">
        <v>0.15</v>
      </c>
      <c r="AC553">
        <f t="shared" si="129"/>
        <v>0.15</v>
      </c>
      <c r="AD553">
        <v>8027.63</v>
      </c>
      <c r="AE553">
        <f t="shared" si="130"/>
        <v>8027.6295</v>
      </c>
      <c r="AF553">
        <v>5496.09</v>
      </c>
      <c r="AG553">
        <v>2531.54</v>
      </c>
      <c r="AH553">
        <f t="shared" si="131"/>
        <v>2531.5395</v>
      </c>
      <c r="AI553">
        <f t="shared" si="132"/>
        <v>0.315353305729917</v>
      </c>
      <c r="AJ553" t="s">
        <v>77</v>
      </c>
      <c r="AK553" t="str">
        <f t="shared" si="133"/>
        <v>Paid</v>
      </c>
      <c r="AL553" t="s">
        <v>78</v>
      </c>
      <c r="AM553" t="str">
        <f t="shared" si="134"/>
        <v>Completed</v>
      </c>
      <c r="AN553">
        <v>2</v>
      </c>
      <c r="AO553">
        <v>2024</v>
      </c>
      <c r="AP553" t="s">
        <v>79</v>
      </c>
    </row>
    <row r="554" spans="1:42">
      <c r="A554" t="s">
        <v>2718</v>
      </c>
      <c r="B554" s="3" t="s">
        <v>231</v>
      </c>
      <c r="C554" s="3">
        <v>45681</v>
      </c>
      <c r="D554" t="s">
        <v>386</v>
      </c>
      <c r="E554" s="3">
        <v>45687</v>
      </c>
      <c r="F554" t="s">
        <v>2719</v>
      </c>
      <c r="G554" t="s">
        <v>113</v>
      </c>
      <c r="H554" t="str">
        <f t="shared" si="120"/>
        <v>Ananya Rao</v>
      </c>
      <c r="I554" t="s">
        <v>147</v>
      </c>
      <c r="J554" t="str">
        <f t="shared" si="121"/>
        <v>Corporate</v>
      </c>
      <c r="K554" t="s">
        <v>7</v>
      </c>
      <c r="L554" t="str">
        <f t="shared" si="122"/>
        <v>East</v>
      </c>
      <c r="M554" t="s">
        <v>160</v>
      </c>
      <c r="N554" t="str">
        <f t="shared" si="123"/>
        <v>West Bengal</v>
      </c>
      <c r="O554" t="s">
        <v>161</v>
      </c>
      <c r="P554" t="str">
        <f t="shared" si="124"/>
        <v>Kolkata</v>
      </c>
      <c r="Q554" t="s">
        <v>24</v>
      </c>
      <c r="R554" t="str">
        <f t="shared" si="125"/>
        <v>Technology</v>
      </c>
      <c r="S554" t="s">
        <v>133</v>
      </c>
      <c r="T554" t="str">
        <f t="shared" si="126"/>
        <v>Copiers</v>
      </c>
      <c r="U554" t="s">
        <v>2720</v>
      </c>
      <c r="V554" t="str">
        <f t="shared" si="127"/>
        <v>Pro Copiers 246</v>
      </c>
      <c r="W554" t="s">
        <v>108</v>
      </c>
      <c r="X554" t="str">
        <f t="shared" si="128"/>
        <v>Standard Class</v>
      </c>
      <c r="Y554">
        <v>6</v>
      </c>
      <c r="Z554">
        <v>8</v>
      </c>
      <c r="AA554">
        <v>312.53</v>
      </c>
      <c r="AB554" t="s">
        <v>729</v>
      </c>
      <c r="AC554" t="str">
        <f t="shared" si="129"/>
        <v>70%</v>
      </c>
      <c r="AD554">
        <v>1875.18</v>
      </c>
      <c r="AE554">
        <f t="shared" si="130"/>
        <v>750.072</v>
      </c>
      <c r="AF554">
        <v>1579.17</v>
      </c>
      <c r="AG554">
        <v>296.01</v>
      </c>
      <c r="AH554">
        <f t="shared" si="131"/>
        <v>-829.098</v>
      </c>
      <c r="AI554">
        <f t="shared" si="132"/>
        <v>-1.10535788564298</v>
      </c>
      <c r="AJ554" t="s">
        <v>77</v>
      </c>
      <c r="AK554" t="str">
        <f t="shared" si="133"/>
        <v>Paid</v>
      </c>
      <c r="AL554" t="s">
        <v>78</v>
      </c>
      <c r="AM554" t="str">
        <f t="shared" si="134"/>
        <v>Completed</v>
      </c>
      <c r="AN554">
        <v>1</v>
      </c>
      <c r="AO554">
        <v>2025</v>
      </c>
      <c r="AP554" t="s">
        <v>79</v>
      </c>
    </row>
    <row r="555" spans="1:42">
      <c r="A555" t="s">
        <v>2721</v>
      </c>
      <c r="B555" s="3" t="s">
        <v>2722</v>
      </c>
      <c r="C555" s="3">
        <v>45772</v>
      </c>
      <c r="D555" t="s">
        <v>2723</v>
      </c>
      <c r="E555" s="3">
        <v>45775</v>
      </c>
      <c r="F555" t="s">
        <v>2724</v>
      </c>
      <c r="G555" t="s">
        <v>202</v>
      </c>
      <c r="H555" t="str">
        <f t="shared" si="120"/>
        <v>Aarav Sharma</v>
      </c>
      <c r="I555" t="s">
        <v>85</v>
      </c>
      <c r="J555" t="str">
        <f t="shared" si="121"/>
        <v>Small Business</v>
      </c>
      <c r="K555" t="s">
        <v>11</v>
      </c>
      <c r="L555" t="str">
        <f t="shared" si="122"/>
        <v>West</v>
      </c>
      <c r="M555" t="s">
        <v>278</v>
      </c>
      <c r="N555" t="str">
        <f t="shared" si="123"/>
        <v>Gujarat</v>
      </c>
      <c r="O555" t="s">
        <v>279</v>
      </c>
      <c r="P555" t="str">
        <f t="shared" si="124"/>
        <v>Ahmedabad</v>
      </c>
      <c r="Q555" t="s">
        <v>22</v>
      </c>
      <c r="R555" t="str">
        <f t="shared" si="125"/>
        <v>Office Supplies</v>
      </c>
      <c r="S555" t="s">
        <v>196</v>
      </c>
      <c r="T555" t="str">
        <f t="shared" si="126"/>
        <v>Storage</v>
      </c>
      <c r="U555" t="s">
        <v>2725</v>
      </c>
      <c r="V555" t="str">
        <f t="shared" si="127"/>
        <v>Pro Storage 128</v>
      </c>
      <c r="W555" t="s">
        <v>98</v>
      </c>
      <c r="X555" t="str">
        <f t="shared" si="128"/>
        <v>First Class</v>
      </c>
      <c r="Y555">
        <v>3</v>
      </c>
      <c r="Z555">
        <v>9</v>
      </c>
      <c r="AA555">
        <v>1294.11</v>
      </c>
      <c r="AB555">
        <v>0.25</v>
      </c>
      <c r="AC555">
        <f t="shared" si="129"/>
        <v>0.25</v>
      </c>
      <c r="AD555">
        <v>8735.24</v>
      </c>
      <c r="AE555">
        <f t="shared" si="130"/>
        <v>8735.2425</v>
      </c>
      <c r="AF555">
        <v>6620.07</v>
      </c>
      <c r="AG555">
        <v>2115.17</v>
      </c>
      <c r="AH555">
        <f t="shared" si="131"/>
        <v>2115.1725</v>
      </c>
      <c r="AI555">
        <f t="shared" si="132"/>
        <v>0.242142390437358</v>
      </c>
      <c r="AJ555" t="s">
        <v>77</v>
      </c>
      <c r="AK555" t="str">
        <f t="shared" si="133"/>
        <v>Paid</v>
      </c>
      <c r="AL555" t="s">
        <v>78</v>
      </c>
      <c r="AM555" t="str">
        <f t="shared" si="134"/>
        <v>Completed</v>
      </c>
      <c r="AN555">
        <v>4</v>
      </c>
      <c r="AO555">
        <v>2025</v>
      </c>
      <c r="AP555" t="s">
        <v>79</v>
      </c>
    </row>
    <row r="556" spans="1:42">
      <c r="A556" t="s">
        <v>2726</v>
      </c>
      <c r="B556" s="3" t="s">
        <v>2727</v>
      </c>
      <c r="C556" s="3">
        <v>45577</v>
      </c>
      <c r="D556" t="s">
        <v>2728</v>
      </c>
      <c r="E556" s="3">
        <v>45582</v>
      </c>
      <c r="F556" t="s">
        <v>2729</v>
      </c>
      <c r="G556" t="s">
        <v>103</v>
      </c>
      <c r="H556" t="str">
        <f t="shared" si="120"/>
        <v>Arjun Bose</v>
      </c>
      <c r="I556" t="s">
        <v>71</v>
      </c>
      <c r="J556" t="str">
        <f t="shared" si="121"/>
        <v>Consumer</v>
      </c>
      <c r="L556" t="str">
        <f t="shared" si="122"/>
        <v/>
      </c>
      <c r="M556" t="s">
        <v>354</v>
      </c>
      <c r="N556" t="str">
        <f t="shared" si="123"/>
        <v>Jharkhand</v>
      </c>
      <c r="O556" t="s">
        <v>355</v>
      </c>
      <c r="P556" t="str">
        <f t="shared" si="124"/>
        <v>Ranchi</v>
      </c>
      <c r="Q556" t="s">
        <v>19</v>
      </c>
      <c r="R556" t="str">
        <f t="shared" si="125"/>
        <v>Furniture</v>
      </c>
      <c r="S556" t="s">
        <v>106</v>
      </c>
      <c r="T556" t="str">
        <f t="shared" si="126"/>
        <v>Furnishings</v>
      </c>
      <c r="U556" t="s">
        <v>2730</v>
      </c>
      <c r="V556" t="str">
        <f t="shared" si="127"/>
        <v>Prime Furnishings 892</v>
      </c>
      <c r="W556" t="s">
        <v>108</v>
      </c>
      <c r="X556" t="str">
        <f t="shared" si="128"/>
        <v>Standard Class</v>
      </c>
      <c r="Y556">
        <v>5</v>
      </c>
      <c r="Z556">
        <v>4</v>
      </c>
      <c r="AA556">
        <v>1071.22</v>
      </c>
      <c r="AB556">
        <v>0.05</v>
      </c>
      <c r="AC556">
        <f t="shared" si="129"/>
        <v>0.05</v>
      </c>
      <c r="AD556">
        <v>4070.64</v>
      </c>
      <c r="AE556">
        <f t="shared" si="130"/>
        <v>4070.636</v>
      </c>
      <c r="AF556">
        <v>2831.62</v>
      </c>
      <c r="AG556">
        <v>1239.02</v>
      </c>
      <c r="AH556">
        <f t="shared" si="131"/>
        <v>1239.016</v>
      </c>
      <c r="AI556">
        <f t="shared" si="132"/>
        <v>0.304378971738077</v>
      </c>
      <c r="AJ556" t="s">
        <v>77</v>
      </c>
      <c r="AK556" t="str">
        <f t="shared" si="133"/>
        <v>Paid</v>
      </c>
      <c r="AL556" t="s">
        <v>78</v>
      </c>
      <c r="AM556" t="str">
        <f t="shared" si="134"/>
        <v>Completed</v>
      </c>
      <c r="AN556">
        <v>10</v>
      </c>
      <c r="AO556">
        <v>2024</v>
      </c>
      <c r="AP556" t="s">
        <v>79</v>
      </c>
    </row>
    <row r="557" spans="1:42">
      <c r="A557" t="s">
        <v>2731</v>
      </c>
      <c r="B557" s="3" t="s">
        <v>932</v>
      </c>
      <c r="C557" s="3">
        <v>45692</v>
      </c>
      <c r="D557" t="s">
        <v>2732</v>
      </c>
      <c r="E557" s="3">
        <v>45698</v>
      </c>
      <c r="F557" t="s">
        <v>2733</v>
      </c>
      <c r="G557" t="s">
        <v>113</v>
      </c>
      <c r="H557" t="str">
        <f t="shared" si="120"/>
        <v>Ananya Rao</v>
      </c>
      <c r="I557" t="s">
        <v>85</v>
      </c>
      <c r="J557" t="str">
        <f t="shared" si="121"/>
        <v>Small Business</v>
      </c>
      <c r="K557" t="s">
        <v>10</v>
      </c>
      <c r="L557" t="str">
        <f t="shared" si="122"/>
        <v>South</v>
      </c>
      <c r="M557" t="s">
        <v>104</v>
      </c>
      <c r="N557" t="str">
        <f t="shared" si="123"/>
        <v>Telangana</v>
      </c>
      <c r="O557" t="s">
        <v>105</v>
      </c>
      <c r="P557" t="str">
        <f t="shared" si="124"/>
        <v>Hyderabad</v>
      </c>
      <c r="Q557" t="s">
        <v>22</v>
      </c>
      <c r="R557" t="str">
        <f t="shared" si="125"/>
        <v>Office Supplies</v>
      </c>
      <c r="S557" t="s">
        <v>196</v>
      </c>
      <c r="T557" t="str">
        <f t="shared" si="126"/>
        <v>Storage</v>
      </c>
      <c r="U557" t="s">
        <v>2734</v>
      </c>
      <c r="V557" t="str">
        <f t="shared" si="127"/>
        <v>Prime Storage 689</v>
      </c>
      <c r="W557" t="s">
        <v>108</v>
      </c>
      <c r="X557" t="str">
        <f t="shared" si="128"/>
        <v>Standard Class</v>
      </c>
      <c r="Y557">
        <v>6</v>
      </c>
      <c r="Z557">
        <v>6</v>
      </c>
      <c r="AA557">
        <v>1042.8</v>
      </c>
      <c r="AB557">
        <v>0.05</v>
      </c>
      <c r="AC557">
        <f t="shared" si="129"/>
        <v>0.05</v>
      </c>
      <c r="AD557">
        <v>5943.96</v>
      </c>
      <c r="AE557">
        <f t="shared" si="130"/>
        <v>5943.96</v>
      </c>
      <c r="AF557">
        <v>3604.14</v>
      </c>
      <c r="AG557">
        <v>2339.82</v>
      </c>
      <c r="AH557">
        <f t="shared" si="131"/>
        <v>2339.82</v>
      </c>
      <c r="AI557">
        <f t="shared" si="132"/>
        <v>0.393646659802556</v>
      </c>
      <c r="AJ557" t="s">
        <v>77</v>
      </c>
      <c r="AK557" t="str">
        <f t="shared" si="133"/>
        <v>Paid</v>
      </c>
      <c r="AL557" t="s">
        <v>78</v>
      </c>
      <c r="AM557" t="str">
        <f t="shared" si="134"/>
        <v>Completed</v>
      </c>
      <c r="AN557">
        <v>2</v>
      </c>
      <c r="AO557">
        <v>2025</v>
      </c>
      <c r="AP557" t="s">
        <v>79</v>
      </c>
    </row>
    <row r="558" spans="1:42">
      <c r="A558" t="s">
        <v>2735</v>
      </c>
      <c r="B558" s="3" t="s">
        <v>1607</v>
      </c>
      <c r="C558" s="3">
        <v>45466</v>
      </c>
      <c r="D558" t="s">
        <v>2150</v>
      </c>
      <c r="E558" s="3">
        <v>45472</v>
      </c>
      <c r="F558" t="s">
        <v>2736</v>
      </c>
      <c r="G558" t="s">
        <v>132</v>
      </c>
      <c r="H558" t="str">
        <f t="shared" si="120"/>
        <v>Neha Gupta</v>
      </c>
      <c r="I558" t="s">
        <v>71</v>
      </c>
      <c r="J558" t="str">
        <f t="shared" si="121"/>
        <v>Consumer</v>
      </c>
      <c r="K558" t="s">
        <v>8</v>
      </c>
      <c r="L558" t="str">
        <f t="shared" si="122"/>
        <v>North</v>
      </c>
      <c r="M558" t="s">
        <v>366</v>
      </c>
      <c r="N558" t="str">
        <f t="shared" si="123"/>
        <v>Haryana</v>
      </c>
      <c r="O558" t="s">
        <v>367</v>
      </c>
      <c r="P558" t="str">
        <f t="shared" si="124"/>
        <v>Gurugram</v>
      </c>
      <c r="Q558" t="s">
        <v>19</v>
      </c>
      <c r="R558" t="str">
        <f t="shared" si="125"/>
        <v>Furniture</v>
      </c>
      <c r="S558" t="s">
        <v>88</v>
      </c>
      <c r="T558" t="str">
        <f t="shared" si="126"/>
        <v>Tables</v>
      </c>
      <c r="U558" t="s">
        <v>2737</v>
      </c>
      <c r="V558" t="str">
        <f t="shared" si="127"/>
        <v>Classic Tables 769</v>
      </c>
      <c r="W558" t="s">
        <v>98</v>
      </c>
      <c r="X558" t="str">
        <f t="shared" si="128"/>
        <v>First Class</v>
      </c>
      <c r="Y558">
        <v>6</v>
      </c>
      <c r="Z558">
        <v>1</v>
      </c>
      <c r="AA558">
        <v>4426.66</v>
      </c>
      <c r="AB558">
        <v>0</v>
      </c>
      <c r="AC558">
        <f t="shared" si="129"/>
        <v>0</v>
      </c>
      <c r="AD558">
        <v>4426.66</v>
      </c>
      <c r="AE558">
        <f t="shared" si="130"/>
        <v>4426.66</v>
      </c>
      <c r="AF558">
        <v>3035.2</v>
      </c>
      <c r="AG558">
        <v>1816.23</v>
      </c>
      <c r="AH558">
        <f t="shared" si="131"/>
        <v>1391.46</v>
      </c>
      <c r="AI558">
        <f t="shared" si="132"/>
        <v>0.314336316771561</v>
      </c>
      <c r="AJ558" t="s">
        <v>77</v>
      </c>
      <c r="AK558" t="str">
        <f t="shared" si="133"/>
        <v>Paid</v>
      </c>
      <c r="AL558" t="s">
        <v>164</v>
      </c>
      <c r="AM558" t="str">
        <f t="shared" si="134"/>
        <v>Returned</v>
      </c>
      <c r="AN558">
        <v>6</v>
      </c>
      <c r="AO558">
        <v>2024</v>
      </c>
      <c r="AP558" t="s">
        <v>79</v>
      </c>
    </row>
    <row r="559" spans="1:42">
      <c r="A559" t="s">
        <v>2738</v>
      </c>
      <c r="B559" s="3" t="s">
        <v>2739</v>
      </c>
      <c r="C559" s="3">
        <v>45420</v>
      </c>
      <c r="D559" t="s">
        <v>2740</v>
      </c>
      <c r="E559" s="3">
        <v>45426</v>
      </c>
      <c r="F559" t="s">
        <v>2741</v>
      </c>
      <c r="G559" t="s">
        <v>123</v>
      </c>
      <c r="H559" t="str">
        <f t="shared" si="120"/>
        <v>Vikram Iyer</v>
      </c>
      <c r="I559" t="s">
        <v>154</v>
      </c>
      <c r="J559" t="str">
        <f t="shared" si="121"/>
        <v>Home Office</v>
      </c>
      <c r="K559" t="s">
        <v>8</v>
      </c>
      <c r="L559" t="str">
        <f t="shared" si="122"/>
        <v>North</v>
      </c>
      <c r="M559" t="s">
        <v>366</v>
      </c>
      <c r="N559" t="str">
        <f t="shared" si="123"/>
        <v>Haryana</v>
      </c>
      <c r="O559" t="s">
        <v>367</v>
      </c>
      <c r="P559" t="str">
        <f t="shared" si="124"/>
        <v>Gurugram</v>
      </c>
      <c r="Q559" t="s">
        <v>24</v>
      </c>
      <c r="R559" t="str">
        <f t="shared" si="125"/>
        <v>Technology</v>
      </c>
      <c r="S559" t="s">
        <v>265</v>
      </c>
      <c r="T559" t="str">
        <f t="shared" si="126"/>
        <v>Phones</v>
      </c>
      <c r="U559" t="s">
        <v>2742</v>
      </c>
      <c r="V559" t="str">
        <f t="shared" si="127"/>
        <v>Prime Phones 503</v>
      </c>
      <c r="W559" t="s">
        <v>98</v>
      </c>
      <c r="X559" t="str">
        <f t="shared" si="128"/>
        <v>First Class</v>
      </c>
      <c r="Y559">
        <v>6</v>
      </c>
      <c r="Z559">
        <v>9</v>
      </c>
      <c r="AA559">
        <v>3769.46</v>
      </c>
      <c r="AB559">
        <v>0.05</v>
      </c>
      <c r="AC559">
        <f t="shared" si="129"/>
        <v>0.05</v>
      </c>
      <c r="AD559">
        <v>32228.88</v>
      </c>
      <c r="AE559">
        <f t="shared" si="130"/>
        <v>32228.883</v>
      </c>
      <c r="AF559">
        <v>24971.36</v>
      </c>
      <c r="AG559">
        <v>7257.52</v>
      </c>
      <c r="AH559">
        <f t="shared" si="131"/>
        <v>7257.523</v>
      </c>
      <c r="AI559">
        <f t="shared" si="132"/>
        <v>0.225186923170747</v>
      </c>
      <c r="AJ559" t="s">
        <v>77</v>
      </c>
      <c r="AK559" t="str">
        <f t="shared" si="133"/>
        <v>Paid</v>
      </c>
      <c r="AL559" t="s">
        <v>118</v>
      </c>
      <c r="AM559" t="str">
        <f t="shared" si="134"/>
        <v>Cancelled</v>
      </c>
      <c r="AN559">
        <v>5</v>
      </c>
      <c r="AO559">
        <v>2024</v>
      </c>
      <c r="AP559" t="s">
        <v>79</v>
      </c>
    </row>
    <row r="560" spans="1:42">
      <c r="A560" t="s">
        <v>2743</v>
      </c>
      <c r="B560" s="3" t="s">
        <v>2744</v>
      </c>
      <c r="C560" s="3">
        <v>45904</v>
      </c>
      <c r="D560" t="s">
        <v>2745</v>
      </c>
      <c r="E560" s="3">
        <v>45904</v>
      </c>
      <c r="F560" t="s">
        <v>2746</v>
      </c>
      <c r="G560" t="s">
        <v>146</v>
      </c>
      <c r="H560" t="str">
        <f t="shared" si="120"/>
        <v>Aditi Sen</v>
      </c>
      <c r="I560" t="s">
        <v>147</v>
      </c>
      <c r="J560" t="str">
        <f t="shared" si="121"/>
        <v>Corporate</v>
      </c>
      <c r="K560" t="s">
        <v>8</v>
      </c>
      <c r="L560" t="str">
        <f t="shared" si="122"/>
        <v>North</v>
      </c>
      <c r="M560" t="s">
        <v>194</v>
      </c>
      <c r="N560" t="str">
        <f t="shared" si="123"/>
        <v>Punjab</v>
      </c>
      <c r="O560" t="s">
        <v>195</v>
      </c>
      <c r="P560" t="str">
        <f t="shared" si="124"/>
        <v>Ludhiana</v>
      </c>
      <c r="Q560" t="s">
        <v>24</v>
      </c>
      <c r="R560" t="str">
        <f t="shared" si="125"/>
        <v>Technology</v>
      </c>
      <c r="S560" t="s">
        <v>427</v>
      </c>
      <c r="T560" t="str">
        <f t="shared" si="126"/>
        <v>Machines</v>
      </c>
      <c r="U560" t="s">
        <v>2747</v>
      </c>
      <c r="V560" t="str">
        <f t="shared" si="127"/>
        <v>Basic Machines 136</v>
      </c>
      <c r="W560" t="s">
        <v>98</v>
      </c>
      <c r="X560" t="str">
        <f t="shared" si="128"/>
        <v>First Class</v>
      </c>
      <c r="Y560">
        <v>0</v>
      </c>
      <c r="Z560">
        <v>8</v>
      </c>
      <c r="AA560">
        <v>3079.95</v>
      </c>
      <c r="AB560">
        <v>0.2</v>
      </c>
      <c r="AC560">
        <f t="shared" si="129"/>
        <v>0.2</v>
      </c>
      <c r="AD560">
        <v>19711.68</v>
      </c>
      <c r="AE560">
        <f t="shared" si="130"/>
        <v>19711.68</v>
      </c>
      <c r="AF560">
        <v>14461.8</v>
      </c>
      <c r="AG560">
        <v>5249.88</v>
      </c>
      <c r="AH560">
        <f t="shared" si="131"/>
        <v>5249.88</v>
      </c>
      <c r="AI560">
        <f t="shared" si="132"/>
        <v>0.266333463205572</v>
      </c>
      <c r="AJ560" t="s">
        <v>77</v>
      </c>
      <c r="AK560" t="str">
        <f t="shared" si="133"/>
        <v>Paid</v>
      </c>
      <c r="AL560" t="s">
        <v>78</v>
      </c>
      <c r="AM560" t="str">
        <f t="shared" si="134"/>
        <v>Completed</v>
      </c>
      <c r="AN560">
        <v>9</v>
      </c>
      <c r="AO560">
        <v>2025</v>
      </c>
      <c r="AP560" t="s">
        <v>79</v>
      </c>
    </row>
    <row r="561" spans="1:42">
      <c r="A561" t="s">
        <v>2748</v>
      </c>
      <c r="B561" s="3" t="s">
        <v>2313</v>
      </c>
      <c r="C561" s="3">
        <v>45930</v>
      </c>
      <c r="D561" t="s">
        <v>2749</v>
      </c>
      <c r="E561" s="3">
        <v>45937</v>
      </c>
      <c r="F561" t="s">
        <v>2750</v>
      </c>
      <c r="G561" t="s">
        <v>251</v>
      </c>
      <c r="H561" t="str">
        <f t="shared" si="120"/>
        <v>Diya Patel</v>
      </c>
      <c r="I561" t="s">
        <v>147</v>
      </c>
      <c r="J561" t="str">
        <f t="shared" si="121"/>
        <v>Corporate</v>
      </c>
      <c r="K561" t="s">
        <v>7</v>
      </c>
      <c r="L561" t="str">
        <f t="shared" si="122"/>
        <v>East</v>
      </c>
      <c r="M561" t="s">
        <v>227</v>
      </c>
      <c r="N561" t="str">
        <f t="shared" si="123"/>
        <v>Bihar</v>
      </c>
      <c r="O561" t="s">
        <v>228</v>
      </c>
      <c r="P561" t="str">
        <f t="shared" si="124"/>
        <v>Patna</v>
      </c>
      <c r="Q561" t="s">
        <v>24</v>
      </c>
      <c r="R561" t="str">
        <f t="shared" si="125"/>
        <v>Technology</v>
      </c>
      <c r="S561" t="s">
        <v>133</v>
      </c>
      <c r="T561" t="str">
        <f t="shared" si="126"/>
        <v>Copiers</v>
      </c>
      <c r="U561" t="s">
        <v>2751</v>
      </c>
      <c r="V561" t="str">
        <f t="shared" si="127"/>
        <v>Basic Copiers 512</v>
      </c>
      <c r="W561" t="s">
        <v>76</v>
      </c>
      <c r="X561" t="str">
        <f t="shared" si="128"/>
        <v>Second Class</v>
      </c>
      <c r="Y561">
        <v>7</v>
      </c>
      <c r="Z561">
        <v>5</v>
      </c>
      <c r="AA561">
        <v>3277.82</v>
      </c>
      <c r="AB561">
        <v>0.1</v>
      </c>
      <c r="AC561">
        <f t="shared" si="129"/>
        <v>0.1</v>
      </c>
      <c r="AD561">
        <v>14750.19</v>
      </c>
      <c r="AE561">
        <f t="shared" si="130"/>
        <v>14750.19</v>
      </c>
      <c r="AF561">
        <v>9482.58</v>
      </c>
      <c r="AG561">
        <v>5267.61</v>
      </c>
      <c r="AH561">
        <f t="shared" si="131"/>
        <v>5267.61</v>
      </c>
      <c r="AI561">
        <f t="shared" si="132"/>
        <v>0.357121501485744</v>
      </c>
      <c r="AJ561" t="s">
        <v>77</v>
      </c>
      <c r="AK561" t="str">
        <f t="shared" si="133"/>
        <v>Paid</v>
      </c>
      <c r="AL561" t="s">
        <v>164</v>
      </c>
      <c r="AM561" t="str">
        <f t="shared" si="134"/>
        <v>Returned</v>
      </c>
      <c r="AN561">
        <v>9</v>
      </c>
      <c r="AO561">
        <v>2025</v>
      </c>
      <c r="AP561" t="s">
        <v>79</v>
      </c>
    </row>
    <row r="562" spans="1:42">
      <c r="A562" t="s">
        <v>2752</v>
      </c>
      <c r="B562" s="3" t="s">
        <v>2753</v>
      </c>
      <c r="C562" s="3">
        <v>45307</v>
      </c>
      <c r="D562" t="s">
        <v>1109</v>
      </c>
      <c r="E562" s="3">
        <v>45313</v>
      </c>
      <c r="F562" t="s">
        <v>2754</v>
      </c>
      <c r="G562" t="s">
        <v>103</v>
      </c>
      <c r="H562" t="str">
        <f t="shared" si="120"/>
        <v>Arjun Bose</v>
      </c>
      <c r="I562" t="s">
        <v>71</v>
      </c>
      <c r="J562" t="str">
        <f t="shared" si="121"/>
        <v>Consumer</v>
      </c>
      <c r="K562" t="s">
        <v>11</v>
      </c>
      <c r="L562" t="str">
        <f t="shared" si="122"/>
        <v>West</v>
      </c>
      <c r="M562" t="s">
        <v>292</v>
      </c>
      <c r="N562" t="str">
        <f t="shared" si="123"/>
        <v>Goa</v>
      </c>
      <c r="O562" t="s">
        <v>293</v>
      </c>
      <c r="P562" t="str">
        <f t="shared" si="124"/>
        <v>Panaji</v>
      </c>
      <c r="Q562" t="s">
        <v>22</v>
      </c>
      <c r="R562" t="str">
        <f t="shared" si="125"/>
        <v>Office Supplies</v>
      </c>
      <c r="S562" t="s">
        <v>196</v>
      </c>
      <c r="T562" t="str">
        <f t="shared" si="126"/>
        <v>Storage</v>
      </c>
      <c r="U562" t="s">
        <v>2755</v>
      </c>
      <c r="V562" t="str">
        <f t="shared" si="127"/>
        <v>Smart Storage 767</v>
      </c>
      <c r="W562" t="s">
        <v>108</v>
      </c>
      <c r="X562" t="str">
        <f t="shared" si="128"/>
        <v>Standard Class</v>
      </c>
      <c r="Y562">
        <v>6</v>
      </c>
      <c r="Z562">
        <v>4</v>
      </c>
      <c r="AA562">
        <v>282.53</v>
      </c>
      <c r="AB562">
        <v>0</v>
      </c>
      <c r="AC562">
        <f t="shared" si="129"/>
        <v>0</v>
      </c>
      <c r="AD562">
        <v>1130.12</v>
      </c>
      <c r="AE562">
        <f t="shared" si="130"/>
        <v>1130.12</v>
      </c>
      <c r="AF562">
        <v>848.62</v>
      </c>
      <c r="AG562">
        <v>281.5</v>
      </c>
      <c r="AH562">
        <f t="shared" si="131"/>
        <v>281.5</v>
      </c>
      <c r="AI562">
        <f t="shared" si="132"/>
        <v>0.249088592361873</v>
      </c>
      <c r="AJ562" t="s">
        <v>77</v>
      </c>
      <c r="AK562" t="str">
        <f t="shared" si="133"/>
        <v>Paid</v>
      </c>
      <c r="AL562" t="s">
        <v>118</v>
      </c>
      <c r="AM562" t="str">
        <f t="shared" si="134"/>
        <v>Cancelled</v>
      </c>
      <c r="AN562">
        <v>1</v>
      </c>
      <c r="AO562">
        <v>2024</v>
      </c>
      <c r="AP562" t="s">
        <v>79</v>
      </c>
    </row>
    <row r="563" spans="1:42">
      <c r="A563" t="s">
        <v>2756</v>
      </c>
      <c r="B563" s="3" t="s">
        <v>812</v>
      </c>
      <c r="C563" s="3">
        <v>45852</v>
      </c>
      <c r="D563" t="s">
        <v>2757</v>
      </c>
      <c r="E563" s="3">
        <v>45856</v>
      </c>
      <c r="F563" t="s">
        <v>2758</v>
      </c>
      <c r="G563" t="s">
        <v>146</v>
      </c>
      <c r="H563" t="str">
        <f t="shared" si="120"/>
        <v>Aditi Sen</v>
      </c>
      <c r="I563" t="s">
        <v>71</v>
      </c>
      <c r="J563" t="str">
        <f t="shared" si="121"/>
        <v>Consumer</v>
      </c>
      <c r="K563" t="s">
        <v>8</v>
      </c>
      <c r="L563" t="str">
        <f t="shared" si="122"/>
        <v>North</v>
      </c>
      <c r="M563" t="s">
        <v>194</v>
      </c>
      <c r="N563" t="str">
        <f t="shared" si="123"/>
        <v>Punjab</v>
      </c>
      <c r="O563" t="s">
        <v>195</v>
      </c>
      <c r="P563" t="str">
        <f t="shared" si="124"/>
        <v>Ludhiana</v>
      </c>
      <c r="Q563" t="s">
        <v>24</v>
      </c>
      <c r="R563" t="str">
        <f t="shared" si="125"/>
        <v>Technology</v>
      </c>
      <c r="S563" t="s">
        <v>133</v>
      </c>
      <c r="T563" t="str">
        <f t="shared" si="126"/>
        <v>Copiers</v>
      </c>
      <c r="U563" t="s">
        <v>2759</v>
      </c>
      <c r="V563" t="str">
        <f t="shared" si="127"/>
        <v>Eco Copiers 954</v>
      </c>
      <c r="W563" t="s">
        <v>98</v>
      </c>
      <c r="X563" t="str">
        <f t="shared" si="128"/>
        <v>First Class</v>
      </c>
      <c r="Y563">
        <v>4</v>
      </c>
      <c r="Z563">
        <v>4</v>
      </c>
      <c r="AA563">
        <v>725.22</v>
      </c>
      <c r="AB563">
        <v>0</v>
      </c>
      <c r="AC563">
        <f t="shared" si="129"/>
        <v>0</v>
      </c>
      <c r="AD563">
        <v>2900.88</v>
      </c>
      <c r="AE563">
        <f t="shared" si="130"/>
        <v>2900.88</v>
      </c>
      <c r="AF563">
        <v>2391.85</v>
      </c>
      <c r="AG563">
        <v>509.03</v>
      </c>
      <c r="AH563">
        <f t="shared" si="131"/>
        <v>509.03</v>
      </c>
      <c r="AI563">
        <f t="shared" si="132"/>
        <v>0.175474338821323</v>
      </c>
      <c r="AJ563" t="s">
        <v>177</v>
      </c>
      <c r="AK563" t="str">
        <f t="shared" si="133"/>
        <v>Pending</v>
      </c>
      <c r="AL563" t="s">
        <v>164</v>
      </c>
      <c r="AM563" t="str">
        <f t="shared" si="134"/>
        <v>Returned</v>
      </c>
      <c r="AN563">
        <v>7</v>
      </c>
      <c r="AO563">
        <v>2025</v>
      </c>
      <c r="AP563" t="s">
        <v>79</v>
      </c>
    </row>
    <row r="564" spans="1:42">
      <c r="A564" t="s">
        <v>2760</v>
      </c>
      <c r="B564" s="3" t="s">
        <v>2761</v>
      </c>
      <c r="C564" s="3">
        <v>45422</v>
      </c>
      <c r="D564" t="s">
        <v>2698</v>
      </c>
      <c r="E564" s="3">
        <v>45428</v>
      </c>
      <c r="F564" t="s">
        <v>2762</v>
      </c>
      <c r="G564" t="s">
        <v>70</v>
      </c>
      <c r="H564" t="str">
        <f t="shared" si="120"/>
        <v>Karan Malhotra</v>
      </c>
      <c r="I564" t="s">
        <v>71</v>
      </c>
      <c r="J564" t="str">
        <f t="shared" si="121"/>
        <v>Consumer</v>
      </c>
      <c r="K564" t="s">
        <v>8</v>
      </c>
      <c r="L564" t="str">
        <f t="shared" si="122"/>
        <v>North</v>
      </c>
      <c r="M564" t="s">
        <v>194</v>
      </c>
      <c r="N564" t="str">
        <f t="shared" si="123"/>
        <v>Punjab</v>
      </c>
      <c r="O564" t="s">
        <v>195</v>
      </c>
      <c r="P564" t="str">
        <f t="shared" si="124"/>
        <v>Ludhiana</v>
      </c>
      <c r="Q564" t="s">
        <v>22</v>
      </c>
      <c r="R564" t="str">
        <f t="shared" si="125"/>
        <v>Office Supplies</v>
      </c>
      <c r="S564" t="s">
        <v>239</v>
      </c>
      <c r="T564" t="str">
        <f t="shared" si="126"/>
        <v>Binders</v>
      </c>
      <c r="U564" t="s">
        <v>2763</v>
      </c>
      <c r="V564" t="str">
        <f t="shared" si="127"/>
        <v>Elite Binders 143</v>
      </c>
      <c r="W564" t="s">
        <v>90</v>
      </c>
      <c r="X564" t="str">
        <f t="shared" si="128"/>
        <v>Same Day</v>
      </c>
      <c r="Y564">
        <v>6</v>
      </c>
      <c r="Z564">
        <v>7</v>
      </c>
      <c r="AA564">
        <v>121.54</v>
      </c>
      <c r="AB564">
        <v>0.2</v>
      </c>
      <c r="AC564">
        <f t="shared" si="129"/>
        <v>0.2</v>
      </c>
      <c r="AD564">
        <v>680.62</v>
      </c>
      <c r="AE564">
        <f t="shared" si="130"/>
        <v>680.624</v>
      </c>
      <c r="AF564">
        <v>463.49</v>
      </c>
      <c r="AG564">
        <v>217.13</v>
      </c>
      <c r="AH564">
        <f t="shared" si="131"/>
        <v>217.134</v>
      </c>
      <c r="AI564">
        <f t="shared" si="132"/>
        <v>0.319021956322434</v>
      </c>
      <c r="AJ564" t="s">
        <v>241</v>
      </c>
      <c r="AK564" t="str">
        <f t="shared" si="133"/>
        <v>Failed</v>
      </c>
      <c r="AL564" t="s">
        <v>164</v>
      </c>
      <c r="AM564" t="str">
        <f t="shared" si="134"/>
        <v>Returned</v>
      </c>
      <c r="AN564">
        <v>5</v>
      </c>
      <c r="AO564">
        <v>2024</v>
      </c>
      <c r="AP564" t="s">
        <v>79</v>
      </c>
    </row>
    <row r="565" spans="1:42">
      <c r="A565" t="s">
        <v>2764</v>
      </c>
      <c r="B565" s="3" t="s">
        <v>2765</v>
      </c>
      <c r="C565" s="3">
        <v>45418</v>
      </c>
      <c r="D565" t="s">
        <v>1838</v>
      </c>
      <c r="E565" s="3">
        <v>45424</v>
      </c>
      <c r="F565" t="s">
        <v>2766</v>
      </c>
      <c r="G565" t="s">
        <v>103</v>
      </c>
      <c r="H565" t="str">
        <f t="shared" si="120"/>
        <v>Arjun Bose</v>
      </c>
      <c r="I565" t="s">
        <v>147</v>
      </c>
      <c r="J565" t="str">
        <f t="shared" si="121"/>
        <v>Corporate</v>
      </c>
      <c r="K565" t="s">
        <v>11</v>
      </c>
      <c r="L565" t="str">
        <f t="shared" si="122"/>
        <v>West</v>
      </c>
      <c r="M565" t="s">
        <v>292</v>
      </c>
      <c r="N565" t="str">
        <f t="shared" si="123"/>
        <v>Goa</v>
      </c>
      <c r="O565" t="s">
        <v>293</v>
      </c>
      <c r="P565" t="str">
        <f t="shared" si="124"/>
        <v>Panaji</v>
      </c>
      <c r="Q565" t="s">
        <v>19</v>
      </c>
      <c r="R565" t="str">
        <f t="shared" si="125"/>
        <v>Furniture</v>
      </c>
      <c r="S565" t="s">
        <v>88</v>
      </c>
      <c r="T565" t="str">
        <f t="shared" si="126"/>
        <v>Tables</v>
      </c>
      <c r="U565" t="s">
        <v>2767</v>
      </c>
      <c r="V565" t="str">
        <f t="shared" si="127"/>
        <v>Classic Tables 560</v>
      </c>
      <c r="W565" t="s">
        <v>108</v>
      </c>
      <c r="X565" t="str">
        <f t="shared" si="128"/>
        <v>Standard Class</v>
      </c>
      <c r="Y565">
        <v>6</v>
      </c>
      <c r="Z565">
        <v>9</v>
      </c>
      <c r="AA565">
        <v>790.97</v>
      </c>
      <c r="AB565">
        <v>0.2</v>
      </c>
      <c r="AC565">
        <f t="shared" si="129"/>
        <v>0.2</v>
      </c>
      <c r="AD565">
        <v>5694.98</v>
      </c>
      <c r="AE565">
        <f t="shared" si="130"/>
        <v>5694.984</v>
      </c>
      <c r="AF565">
        <v>4618.33</v>
      </c>
      <c r="AG565">
        <v>1076.65</v>
      </c>
      <c r="AH565">
        <f t="shared" si="131"/>
        <v>1076.654</v>
      </c>
      <c r="AI565">
        <f t="shared" si="132"/>
        <v>0.189053033336002</v>
      </c>
      <c r="AJ565" t="s">
        <v>177</v>
      </c>
      <c r="AK565" t="str">
        <f t="shared" si="133"/>
        <v>Pending</v>
      </c>
      <c r="AL565" t="s">
        <v>118</v>
      </c>
      <c r="AM565" t="str">
        <f t="shared" si="134"/>
        <v>Cancelled</v>
      </c>
      <c r="AN565">
        <v>5</v>
      </c>
      <c r="AO565">
        <v>2024</v>
      </c>
      <c r="AP565" t="s">
        <v>79</v>
      </c>
    </row>
    <row r="566" spans="1:42">
      <c r="A566" t="s">
        <v>2768</v>
      </c>
      <c r="B566" s="3" t="s">
        <v>144</v>
      </c>
      <c r="C566" s="3">
        <v>45606</v>
      </c>
      <c r="D566" t="s">
        <v>2769</v>
      </c>
      <c r="E566" s="3">
        <v>45610</v>
      </c>
      <c r="F566" t="s">
        <v>2770</v>
      </c>
      <c r="G566" t="s">
        <v>208</v>
      </c>
      <c r="H566" t="str">
        <f t="shared" si="120"/>
        <v>Sneha Kapoor</v>
      </c>
      <c r="I566" t="s">
        <v>147</v>
      </c>
      <c r="J566" t="str">
        <f t="shared" si="121"/>
        <v>Corporate</v>
      </c>
      <c r="K566" t="s">
        <v>10</v>
      </c>
      <c r="L566" t="str">
        <f t="shared" si="122"/>
        <v>South</v>
      </c>
      <c r="M566" t="s">
        <v>139</v>
      </c>
      <c r="N566" t="str">
        <f t="shared" si="123"/>
        <v>Andhra Pradesh</v>
      </c>
      <c r="O566" t="s">
        <v>140</v>
      </c>
      <c r="P566" t="str">
        <f t="shared" si="124"/>
        <v>Vijayawada</v>
      </c>
      <c r="Q566" t="s">
        <v>19</v>
      </c>
      <c r="R566" t="str">
        <f t="shared" si="125"/>
        <v>Furniture</v>
      </c>
      <c r="S566" t="s">
        <v>88</v>
      </c>
      <c r="T566" t="str">
        <f t="shared" si="126"/>
        <v>Tables</v>
      </c>
      <c r="U566" t="s">
        <v>2771</v>
      </c>
      <c r="V566" t="str">
        <f t="shared" si="127"/>
        <v>Basic Tables 759</v>
      </c>
      <c r="W566" t="s">
        <v>98</v>
      </c>
      <c r="X566" t="str">
        <f t="shared" si="128"/>
        <v>First Class</v>
      </c>
      <c r="Y566">
        <v>4</v>
      </c>
      <c r="Z566">
        <v>2</v>
      </c>
      <c r="AA566">
        <v>921.34</v>
      </c>
      <c r="AB566">
        <v>0.2</v>
      </c>
      <c r="AC566">
        <f t="shared" si="129"/>
        <v>0.2</v>
      </c>
      <c r="AD566">
        <v>1474.14</v>
      </c>
      <c r="AE566">
        <f t="shared" si="130"/>
        <v>1474.144</v>
      </c>
      <c r="AF566">
        <v>968.46</v>
      </c>
      <c r="AG566">
        <v>505.68</v>
      </c>
      <c r="AH566">
        <f t="shared" si="131"/>
        <v>505.684</v>
      </c>
      <c r="AI566">
        <f t="shared" si="132"/>
        <v>0.343035687151323</v>
      </c>
      <c r="AJ566" t="s">
        <v>77</v>
      </c>
      <c r="AK566" t="str">
        <f t="shared" si="133"/>
        <v>Paid</v>
      </c>
      <c r="AL566" t="s">
        <v>78</v>
      </c>
      <c r="AM566" t="str">
        <f t="shared" si="134"/>
        <v>Completed</v>
      </c>
      <c r="AN566">
        <v>11</v>
      </c>
      <c r="AO566">
        <v>2024</v>
      </c>
      <c r="AP566" t="s">
        <v>79</v>
      </c>
    </row>
    <row r="567" spans="1:42">
      <c r="A567" t="s">
        <v>2772</v>
      </c>
      <c r="B567" s="3" t="s">
        <v>2773</v>
      </c>
      <c r="C567" s="3">
        <v>45876</v>
      </c>
      <c r="D567" t="s">
        <v>283</v>
      </c>
      <c r="E567" s="3">
        <v>45882</v>
      </c>
      <c r="F567" t="s">
        <v>2774</v>
      </c>
      <c r="G567" t="s">
        <v>84</v>
      </c>
      <c r="H567" t="str">
        <f t="shared" si="120"/>
        <v>Mira Das</v>
      </c>
      <c r="I567" t="s">
        <v>147</v>
      </c>
      <c r="J567" t="str">
        <f t="shared" si="121"/>
        <v>Corporate</v>
      </c>
      <c r="K567" t="s">
        <v>8</v>
      </c>
      <c r="L567" t="str">
        <f t="shared" si="122"/>
        <v>North</v>
      </c>
      <c r="M567" t="s">
        <v>552</v>
      </c>
      <c r="N567" t="str">
        <f t="shared" si="123"/>
        <v>Delhi</v>
      </c>
      <c r="O567" t="s">
        <v>553</v>
      </c>
      <c r="P567" t="str">
        <f t="shared" si="124"/>
        <v>New Delhi</v>
      </c>
      <c r="Q567" t="s">
        <v>24</v>
      </c>
      <c r="R567" t="str">
        <f t="shared" si="125"/>
        <v>Technology</v>
      </c>
      <c r="S567" t="s">
        <v>265</v>
      </c>
      <c r="T567" t="str">
        <f t="shared" si="126"/>
        <v>Phones</v>
      </c>
      <c r="U567" t="s">
        <v>2775</v>
      </c>
      <c r="V567" t="str">
        <f t="shared" si="127"/>
        <v>Prime Phones 564</v>
      </c>
      <c r="W567" t="s">
        <v>108</v>
      </c>
      <c r="X567" t="str">
        <f t="shared" si="128"/>
        <v>Standard Class</v>
      </c>
      <c r="Y567">
        <v>6</v>
      </c>
      <c r="Z567">
        <v>6</v>
      </c>
      <c r="AA567">
        <v>1921.86</v>
      </c>
      <c r="AB567">
        <v>0.2</v>
      </c>
      <c r="AC567">
        <f t="shared" si="129"/>
        <v>0.2</v>
      </c>
      <c r="AD567">
        <v>9224.93</v>
      </c>
      <c r="AE567">
        <f t="shared" si="130"/>
        <v>9224.928</v>
      </c>
      <c r="AF567">
        <v>7005.2</v>
      </c>
      <c r="AG567">
        <v>2219.73</v>
      </c>
      <c r="AH567">
        <f t="shared" si="131"/>
        <v>2219.728</v>
      </c>
      <c r="AI567">
        <f t="shared" si="132"/>
        <v>0.240622799440819</v>
      </c>
      <c r="AJ567" t="s">
        <v>163</v>
      </c>
      <c r="AK567" t="str">
        <f t="shared" si="133"/>
        <v>Refunded</v>
      </c>
      <c r="AL567" t="s">
        <v>118</v>
      </c>
      <c r="AM567" t="str">
        <f t="shared" si="134"/>
        <v>Cancelled</v>
      </c>
      <c r="AN567">
        <v>8</v>
      </c>
      <c r="AO567">
        <v>2025</v>
      </c>
      <c r="AP567" t="s">
        <v>79</v>
      </c>
    </row>
    <row r="568" spans="1:42">
      <c r="A568" t="s">
        <v>2776</v>
      </c>
      <c r="B568" s="3" t="s">
        <v>2494</v>
      </c>
      <c r="C568" s="3">
        <v>45515</v>
      </c>
      <c r="D568" t="s">
        <v>2777</v>
      </c>
      <c r="E568" s="3">
        <v>45523</v>
      </c>
      <c r="F568" t="s">
        <v>2778</v>
      </c>
      <c r="G568" t="s">
        <v>208</v>
      </c>
      <c r="H568" t="str">
        <f t="shared" si="120"/>
        <v>Sneha Kapoor</v>
      </c>
      <c r="I568" t="s">
        <v>85</v>
      </c>
      <c r="J568" t="str">
        <f t="shared" si="121"/>
        <v>Small Business</v>
      </c>
      <c r="K568" t="s">
        <v>11</v>
      </c>
      <c r="L568" t="str">
        <f t="shared" si="122"/>
        <v>West</v>
      </c>
      <c r="M568" t="s">
        <v>114</v>
      </c>
      <c r="N568" t="str">
        <f t="shared" si="123"/>
        <v>Maharashtra</v>
      </c>
      <c r="O568" t="s">
        <v>115</v>
      </c>
      <c r="P568" t="str">
        <f t="shared" si="124"/>
        <v>Mumbai</v>
      </c>
      <c r="Q568" t="s">
        <v>22</v>
      </c>
      <c r="R568" t="str">
        <f t="shared" si="125"/>
        <v>Office Supplies</v>
      </c>
      <c r="S568" t="s">
        <v>74</v>
      </c>
      <c r="T568" t="str">
        <f t="shared" si="126"/>
        <v>Paper</v>
      </c>
      <c r="U568" t="s">
        <v>2779</v>
      </c>
      <c r="V568" t="str">
        <f t="shared" si="127"/>
        <v>Smart Paper 807</v>
      </c>
      <c r="W568" t="s">
        <v>90</v>
      </c>
      <c r="X568" t="str">
        <f t="shared" si="128"/>
        <v>Same Day</v>
      </c>
      <c r="Y568">
        <v>8</v>
      </c>
      <c r="Z568">
        <v>2</v>
      </c>
      <c r="AA568">
        <v>2617.89</v>
      </c>
      <c r="AB568">
        <v>0.1</v>
      </c>
      <c r="AC568">
        <f t="shared" si="129"/>
        <v>0.1</v>
      </c>
      <c r="AD568">
        <v>4712.2</v>
      </c>
      <c r="AE568">
        <f t="shared" si="130"/>
        <v>4712.202</v>
      </c>
      <c r="AF568">
        <v>3851.91</v>
      </c>
      <c r="AG568">
        <v>860.29</v>
      </c>
      <c r="AH568">
        <f t="shared" si="131"/>
        <v>860.292</v>
      </c>
      <c r="AI568">
        <f t="shared" si="132"/>
        <v>0.182566876377541</v>
      </c>
      <c r="AJ568" t="s">
        <v>241</v>
      </c>
      <c r="AK568" t="str">
        <f t="shared" si="133"/>
        <v>Failed</v>
      </c>
      <c r="AL568" t="s">
        <v>164</v>
      </c>
      <c r="AM568" t="str">
        <f t="shared" si="134"/>
        <v>Returned</v>
      </c>
      <c r="AN568">
        <v>8</v>
      </c>
      <c r="AO568">
        <v>2024</v>
      </c>
      <c r="AP568" t="s">
        <v>79</v>
      </c>
    </row>
    <row r="569" spans="1:42">
      <c r="A569" t="s">
        <v>2780</v>
      </c>
      <c r="B569" s="3" t="s">
        <v>2781</v>
      </c>
      <c r="C569" s="3">
        <v>45328</v>
      </c>
      <c r="D569" t="s">
        <v>2782</v>
      </c>
      <c r="E569" s="3">
        <v>45332</v>
      </c>
      <c r="F569" t="s">
        <v>2783</v>
      </c>
      <c r="G569" t="s">
        <v>103</v>
      </c>
      <c r="H569" t="str">
        <f t="shared" si="120"/>
        <v>Arjun Bose</v>
      </c>
      <c r="I569" t="s">
        <v>154</v>
      </c>
      <c r="J569" t="str">
        <f t="shared" si="121"/>
        <v>Home Office</v>
      </c>
      <c r="K569" t="s">
        <v>8</v>
      </c>
      <c r="L569" t="str">
        <f t="shared" si="122"/>
        <v>North</v>
      </c>
      <c r="M569" t="s">
        <v>214</v>
      </c>
      <c r="N569" t="str">
        <f t="shared" si="123"/>
        <v>Uttar Pradesh</v>
      </c>
      <c r="O569" t="s">
        <v>215</v>
      </c>
      <c r="P569" t="str">
        <f t="shared" si="124"/>
        <v>Noida</v>
      </c>
      <c r="Q569" t="s">
        <v>19</v>
      </c>
      <c r="R569" t="str">
        <f t="shared" si="125"/>
        <v>Furniture</v>
      </c>
      <c r="S569" t="s">
        <v>106</v>
      </c>
      <c r="T569" t="str">
        <f t="shared" si="126"/>
        <v>Furnishings</v>
      </c>
      <c r="U569" t="s">
        <v>950</v>
      </c>
      <c r="V569" t="str">
        <f t="shared" si="127"/>
        <v>Pro Furnishings 108</v>
      </c>
      <c r="W569" t="s">
        <v>90</v>
      </c>
      <c r="X569" t="str">
        <f t="shared" si="128"/>
        <v>Same Day</v>
      </c>
      <c r="Y569">
        <v>4</v>
      </c>
      <c r="Z569">
        <v>1</v>
      </c>
      <c r="AA569">
        <v>1374.06</v>
      </c>
      <c r="AB569">
        <v>0.05</v>
      </c>
      <c r="AC569">
        <f t="shared" si="129"/>
        <v>0.05</v>
      </c>
      <c r="AD569">
        <v>1305.36</v>
      </c>
      <c r="AE569">
        <f t="shared" si="130"/>
        <v>1305.357</v>
      </c>
      <c r="AF569">
        <v>731.89</v>
      </c>
      <c r="AG569">
        <v>573.47</v>
      </c>
      <c r="AH569">
        <f t="shared" si="131"/>
        <v>573.467</v>
      </c>
      <c r="AI569">
        <f t="shared" si="132"/>
        <v>0.439318132893913</v>
      </c>
      <c r="AJ569" t="s">
        <v>77</v>
      </c>
      <c r="AK569" t="str">
        <f t="shared" si="133"/>
        <v>Paid</v>
      </c>
      <c r="AL569" t="s">
        <v>78</v>
      </c>
      <c r="AM569" t="str">
        <f t="shared" si="134"/>
        <v>Completed</v>
      </c>
      <c r="AN569">
        <v>2</v>
      </c>
      <c r="AO569">
        <v>2024</v>
      </c>
      <c r="AP569" t="s">
        <v>79</v>
      </c>
    </row>
    <row r="570" spans="1:42">
      <c r="A570" t="s">
        <v>2784</v>
      </c>
      <c r="B570" s="3" t="s">
        <v>1773</v>
      </c>
      <c r="C570" s="3">
        <v>45312</v>
      </c>
      <c r="D570" t="s">
        <v>2785</v>
      </c>
      <c r="E570" s="3">
        <v>45315</v>
      </c>
      <c r="F570" t="s">
        <v>2786</v>
      </c>
      <c r="G570" t="s">
        <v>411</v>
      </c>
      <c r="H570" t="str">
        <f t="shared" si="120"/>
        <v>Kabir Singh</v>
      </c>
      <c r="I570" t="s">
        <v>147</v>
      </c>
      <c r="J570" t="str">
        <f t="shared" si="121"/>
        <v>Corporate</v>
      </c>
      <c r="K570" t="s">
        <v>8</v>
      </c>
      <c r="L570" t="str">
        <f t="shared" si="122"/>
        <v>North</v>
      </c>
      <c r="M570" t="s">
        <v>194</v>
      </c>
      <c r="N570" t="str">
        <f t="shared" si="123"/>
        <v>Punjab</v>
      </c>
      <c r="O570" t="s">
        <v>195</v>
      </c>
      <c r="P570" t="str">
        <f t="shared" si="124"/>
        <v>Ludhiana</v>
      </c>
      <c r="Q570" t="s">
        <v>24</v>
      </c>
      <c r="R570" t="str">
        <f t="shared" si="125"/>
        <v>Technology</v>
      </c>
      <c r="S570" t="s">
        <v>427</v>
      </c>
      <c r="T570" t="str">
        <f t="shared" si="126"/>
        <v>Machines</v>
      </c>
      <c r="U570" t="s">
        <v>2787</v>
      </c>
      <c r="V570" t="str">
        <f t="shared" si="127"/>
        <v>Classic Machines 522</v>
      </c>
      <c r="W570" t="s">
        <v>90</v>
      </c>
      <c r="X570" t="str">
        <f t="shared" si="128"/>
        <v>Same Day</v>
      </c>
      <c r="Y570">
        <v>3</v>
      </c>
      <c r="Z570">
        <v>1</v>
      </c>
      <c r="AA570">
        <v>3806.3</v>
      </c>
      <c r="AB570">
        <v>0.25</v>
      </c>
      <c r="AC570">
        <f t="shared" si="129"/>
        <v>0.25</v>
      </c>
      <c r="AD570">
        <v>2854.73</v>
      </c>
      <c r="AE570">
        <f t="shared" si="130"/>
        <v>2854.725</v>
      </c>
      <c r="AF570">
        <v>1968.12</v>
      </c>
      <c r="AG570">
        <v>886.61</v>
      </c>
      <c r="AH570">
        <f t="shared" si="131"/>
        <v>886.605</v>
      </c>
      <c r="AI570">
        <f t="shared" si="132"/>
        <v>0.310574573733022</v>
      </c>
      <c r="AJ570" t="s">
        <v>77</v>
      </c>
      <c r="AK570" t="str">
        <f t="shared" si="133"/>
        <v>Paid</v>
      </c>
      <c r="AL570" t="s">
        <v>78</v>
      </c>
      <c r="AM570" t="str">
        <f t="shared" si="134"/>
        <v>Completed</v>
      </c>
      <c r="AN570">
        <v>1</v>
      </c>
      <c r="AO570">
        <v>2024</v>
      </c>
      <c r="AP570" t="s">
        <v>79</v>
      </c>
    </row>
    <row r="571" spans="1:42">
      <c r="A571" t="s">
        <v>2788</v>
      </c>
      <c r="B571" s="3" t="s">
        <v>2789</v>
      </c>
      <c r="C571" s="3">
        <v>45908</v>
      </c>
      <c r="D571" t="s">
        <v>2790</v>
      </c>
      <c r="E571" s="3">
        <v>45910</v>
      </c>
      <c r="F571" t="s">
        <v>2791</v>
      </c>
      <c r="G571" t="s">
        <v>188</v>
      </c>
      <c r="H571" t="str">
        <f t="shared" si="120"/>
        <v>Rahul Verma</v>
      </c>
      <c r="I571" t="s">
        <v>154</v>
      </c>
      <c r="J571" t="str">
        <f t="shared" si="121"/>
        <v>Home Office</v>
      </c>
      <c r="K571" t="s">
        <v>11</v>
      </c>
      <c r="L571" t="str">
        <f t="shared" si="122"/>
        <v>West</v>
      </c>
      <c r="M571" t="s">
        <v>114</v>
      </c>
      <c r="N571" t="str">
        <f t="shared" si="123"/>
        <v>Maharashtra</v>
      </c>
      <c r="O571" t="s">
        <v>115</v>
      </c>
      <c r="P571" t="str">
        <f t="shared" si="124"/>
        <v>Mumbai</v>
      </c>
      <c r="Q571" t="s">
        <v>19</v>
      </c>
      <c r="R571" t="str">
        <f t="shared" si="125"/>
        <v>Furniture</v>
      </c>
      <c r="S571" t="s">
        <v>106</v>
      </c>
      <c r="T571" t="str">
        <f t="shared" si="126"/>
        <v>Furnishings</v>
      </c>
      <c r="U571" t="s">
        <v>2792</v>
      </c>
      <c r="V571" t="str">
        <f t="shared" si="127"/>
        <v>Elite Furnishings 822</v>
      </c>
      <c r="W571" t="s">
        <v>108</v>
      </c>
      <c r="X571" t="str">
        <f t="shared" si="128"/>
        <v>Standard Class</v>
      </c>
      <c r="Y571">
        <v>2</v>
      </c>
      <c r="Z571">
        <v>6</v>
      </c>
      <c r="AA571">
        <v>3251.17</v>
      </c>
      <c r="AB571">
        <v>0.25</v>
      </c>
      <c r="AC571">
        <f t="shared" si="129"/>
        <v>0.25</v>
      </c>
      <c r="AD571">
        <v>14630.26</v>
      </c>
      <c r="AE571">
        <f t="shared" si="130"/>
        <v>14630.265</v>
      </c>
      <c r="AF571">
        <v>11906.36</v>
      </c>
      <c r="AG571">
        <v>2723.9</v>
      </c>
      <c r="AH571">
        <f t="shared" si="131"/>
        <v>2723.905</v>
      </c>
      <c r="AI571">
        <f t="shared" si="132"/>
        <v>0.186182888689986</v>
      </c>
      <c r="AJ571" t="s">
        <v>163</v>
      </c>
      <c r="AK571" t="str">
        <f t="shared" si="133"/>
        <v>Refunded</v>
      </c>
      <c r="AL571" t="s">
        <v>164</v>
      </c>
      <c r="AM571" t="str">
        <f t="shared" si="134"/>
        <v>Returned</v>
      </c>
      <c r="AN571">
        <v>9</v>
      </c>
      <c r="AO571">
        <v>2025</v>
      </c>
      <c r="AP571" t="s">
        <v>79</v>
      </c>
    </row>
    <row r="572" spans="1:42">
      <c r="A572" t="s">
        <v>2793</v>
      </c>
      <c r="B572" s="3" t="s">
        <v>971</v>
      </c>
      <c r="C572" s="3">
        <v>45887</v>
      </c>
      <c r="D572" t="s">
        <v>747</v>
      </c>
      <c r="E572" s="3">
        <v>45891</v>
      </c>
      <c r="F572" t="s">
        <v>2794</v>
      </c>
      <c r="G572" t="s">
        <v>103</v>
      </c>
      <c r="H572" t="str">
        <f t="shared" si="120"/>
        <v>Arjun Bose</v>
      </c>
      <c r="I572" t="s">
        <v>71</v>
      </c>
      <c r="J572" t="str">
        <f t="shared" si="121"/>
        <v>Consumer</v>
      </c>
      <c r="K572" t="s">
        <v>7</v>
      </c>
      <c r="L572" t="str">
        <f t="shared" si="122"/>
        <v>East</v>
      </c>
      <c r="M572" t="s">
        <v>354</v>
      </c>
      <c r="N572" t="str">
        <f t="shared" si="123"/>
        <v>Jharkhand</v>
      </c>
      <c r="O572" t="s">
        <v>355</v>
      </c>
      <c r="P572" t="str">
        <f t="shared" si="124"/>
        <v>Ranchi</v>
      </c>
      <c r="Q572" t="s">
        <v>19</v>
      </c>
      <c r="R572" t="str">
        <f t="shared" si="125"/>
        <v>Furniture</v>
      </c>
      <c r="S572" t="s">
        <v>106</v>
      </c>
      <c r="T572" t="str">
        <f t="shared" si="126"/>
        <v>Furnishings</v>
      </c>
      <c r="U572" t="s">
        <v>2795</v>
      </c>
      <c r="V572" t="str">
        <f t="shared" si="127"/>
        <v>Max Furnishings 647</v>
      </c>
      <c r="W572" t="s">
        <v>76</v>
      </c>
      <c r="X572" t="str">
        <f t="shared" si="128"/>
        <v>Second Class</v>
      </c>
      <c r="Y572">
        <v>4</v>
      </c>
      <c r="Z572">
        <v>3</v>
      </c>
      <c r="AA572">
        <v>3946.44</v>
      </c>
      <c r="AB572">
        <v>0.25</v>
      </c>
      <c r="AC572">
        <f t="shared" si="129"/>
        <v>0.25</v>
      </c>
      <c r="AD572">
        <v>8879.49</v>
      </c>
      <c r="AE572">
        <f t="shared" si="130"/>
        <v>8879.49</v>
      </c>
      <c r="AF572">
        <v>6344.57</v>
      </c>
      <c r="AG572">
        <v>2534.92</v>
      </c>
      <c r="AH572">
        <f t="shared" si="131"/>
        <v>2534.92</v>
      </c>
      <c r="AI572">
        <f t="shared" si="132"/>
        <v>0.285480359795439</v>
      </c>
      <c r="AJ572" t="s">
        <v>241</v>
      </c>
      <c r="AK572" t="str">
        <f t="shared" si="133"/>
        <v>Failed</v>
      </c>
      <c r="AL572" t="s">
        <v>164</v>
      </c>
      <c r="AM572" t="str">
        <f t="shared" si="134"/>
        <v>Returned</v>
      </c>
      <c r="AN572">
        <v>8</v>
      </c>
      <c r="AO572">
        <v>2025</v>
      </c>
      <c r="AP572" t="s">
        <v>79</v>
      </c>
    </row>
    <row r="573" spans="1:42">
      <c r="A573" t="s">
        <v>2796</v>
      </c>
      <c r="B573" s="3" t="s">
        <v>2732</v>
      </c>
      <c r="C573" s="3">
        <v>45698</v>
      </c>
      <c r="D573" t="s">
        <v>2797</v>
      </c>
      <c r="E573" s="3">
        <v>45702</v>
      </c>
      <c r="F573" t="s">
        <v>2798</v>
      </c>
      <c r="G573" t="s">
        <v>182</v>
      </c>
      <c r="H573" t="str">
        <f t="shared" si="120"/>
        <v>Priya Menon</v>
      </c>
      <c r="I573" t="s">
        <v>85</v>
      </c>
      <c r="J573" t="str">
        <f t="shared" si="121"/>
        <v>Small Business</v>
      </c>
      <c r="K573" t="s">
        <v>8</v>
      </c>
      <c r="L573" t="str">
        <f t="shared" si="122"/>
        <v>North</v>
      </c>
      <c r="M573" t="s">
        <v>214</v>
      </c>
      <c r="N573" t="str">
        <f t="shared" si="123"/>
        <v>Uttar Pradesh</v>
      </c>
      <c r="O573" t="s">
        <v>215</v>
      </c>
      <c r="P573" t="str">
        <f t="shared" si="124"/>
        <v>Noida</v>
      </c>
      <c r="Q573" t="s">
        <v>24</v>
      </c>
      <c r="R573" t="str">
        <f t="shared" si="125"/>
        <v>Technology</v>
      </c>
      <c r="S573" t="s">
        <v>265</v>
      </c>
      <c r="T573" t="str">
        <f t="shared" si="126"/>
        <v>Phones</v>
      </c>
      <c r="U573" t="s">
        <v>2799</v>
      </c>
      <c r="V573" t="str">
        <f t="shared" si="127"/>
        <v>Prime Phones 895</v>
      </c>
      <c r="X573" t="str">
        <f t="shared" si="128"/>
        <v/>
      </c>
      <c r="Y573">
        <v>4</v>
      </c>
      <c r="Z573">
        <v>5</v>
      </c>
      <c r="AA573">
        <v>4276.29</v>
      </c>
      <c r="AB573">
        <v>0</v>
      </c>
      <c r="AC573">
        <f t="shared" si="129"/>
        <v>0</v>
      </c>
      <c r="AD573">
        <v>21381.45</v>
      </c>
      <c r="AE573">
        <f t="shared" si="130"/>
        <v>21381.45</v>
      </c>
      <c r="AF573">
        <v>13240.21</v>
      </c>
      <c r="AG573">
        <v>8141.24</v>
      </c>
      <c r="AH573">
        <f t="shared" si="131"/>
        <v>8141.24</v>
      </c>
      <c r="AI573">
        <f t="shared" si="132"/>
        <v>0.380761828594412</v>
      </c>
      <c r="AJ573" t="s">
        <v>241</v>
      </c>
      <c r="AK573" t="str">
        <f t="shared" si="133"/>
        <v>Failed</v>
      </c>
      <c r="AL573" t="s">
        <v>164</v>
      </c>
      <c r="AM573" t="str">
        <f t="shared" si="134"/>
        <v>Returned</v>
      </c>
      <c r="AN573">
        <v>2</v>
      </c>
      <c r="AO573">
        <v>2025</v>
      </c>
      <c r="AP573" t="s">
        <v>79</v>
      </c>
    </row>
    <row r="574" spans="1:42">
      <c r="A574" t="s">
        <v>2800</v>
      </c>
      <c r="B574" s="3" t="s">
        <v>2801</v>
      </c>
      <c r="C574" s="3">
        <v>45293</v>
      </c>
      <c r="D574" t="s">
        <v>2802</v>
      </c>
      <c r="E574" s="3">
        <v>45300</v>
      </c>
      <c r="F574" t="s">
        <v>2803</v>
      </c>
      <c r="G574" t="s">
        <v>2804</v>
      </c>
      <c r="H574" t="str">
        <f t="shared" si="120"/>
        <v>Diya Patel</v>
      </c>
      <c r="I574" t="s">
        <v>147</v>
      </c>
      <c r="J574" t="str">
        <f t="shared" si="121"/>
        <v>Corporate</v>
      </c>
      <c r="K574" t="s">
        <v>8</v>
      </c>
      <c r="L574" t="str">
        <f t="shared" si="122"/>
        <v>North</v>
      </c>
      <c r="M574" t="s">
        <v>552</v>
      </c>
      <c r="N574" t="str">
        <f t="shared" si="123"/>
        <v>Delhi</v>
      </c>
      <c r="O574" t="s">
        <v>553</v>
      </c>
      <c r="P574" t="str">
        <f t="shared" si="124"/>
        <v>New Delhi</v>
      </c>
      <c r="Q574" t="s">
        <v>24</v>
      </c>
      <c r="R574" t="str">
        <f t="shared" si="125"/>
        <v>Technology</v>
      </c>
      <c r="S574" t="s">
        <v>265</v>
      </c>
      <c r="T574" t="str">
        <f t="shared" si="126"/>
        <v>Phones</v>
      </c>
      <c r="U574" t="s">
        <v>2805</v>
      </c>
      <c r="V574" t="str">
        <f t="shared" si="127"/>
        <v>Eco Phones 368</v>
      </c>
      <c r="W574" t="s">
        <v>108</v>
      </c>
      <c r="X574" t="str">
        <f t="shared" si="128"/>
        <v>Standard Class</v>
      </c>
      <c r="Y574">
        <v>7</v>
      </c>
      <c r="Z574">
        <v>3</v>
      </c>
      <c r="AA574">
        <v>739.56</v>
      </c>
      <c r="AB574">
        <v>0.2</v>
      </c>
      <c r="AC574">
        <f t="shared" si="129"/>
        <v>0.2</v>
      </c>
      <c r="AD574">
        <v>1774.94</v>
      </c>
      <c r="AE574">
        <f t="shared" si="130"/>
        <v>1774.944</v>
      </c>
      <c r="AF574">
        <v>1007.4</v>
      </c>
      <c r="AG574">
        <v>767.54</v>
      </c>
      <c r="AH574">
        <f t="shared" si="131"/>
        <v>767.544</v>
      </c>
      <c r="AI574">
        <f t="shared" si="132"/>
        <v>0.43243279787982</v>
      </c>
      <c r="AJ574" t="s">
        <v>77</v>
      </c>
      <c r="AK574" t="str">
        <f t="shared" si="133"/>
        <v>Paid</v>
      </c>
      <c r="AL574" t="s">
        <v>78</v>
      </c>
      <c r="AM574" t="str">
        <f t="shared" si="134"/>
        <v>Completed</v>
      </c>
      <c r="AN574">
        <v>1</v>
      </c>
      <c r="AO574">
        <v>2024</v>
      </c>
      <c r="AP574" t="s">
        <v>79</v>
      </c>
    </row>
    <row r="575" spans="1:42">
      <c r="A575" t="s">
        <v>2806</v>
      </c>
      <c r="B575" s="3" t="s">
        <v>2807</v>
      </c>
      <c r="C575" s="3">
        <v>45922</v>
      </c>
      <c r="D575" t="s">
        <v>2808</v>
      </c>
      <c r="E575" s="3">
        <v>45926</v>
      </c>
      <c r="F575" t="s">
        <v>2809</v>
      </c>
      <c r="G575" t="s">
        <v>95</v>
      </c>
      <c r="H575" t="str">
        <f t="shared" si="120"/>
        <v>Isha Nair</v>
      </c>
      <c r="I575" t="s">
        <v>71</v>
      </c>
      <c r="J575" t="str">
        <f t="shared" si="121"/>
        <v>Consumer</v>
      </c>
      <c r="K575" t="s">
        <v>10</v>
      </c>
      <c r="L575" t="str">
        <f t="shared" si="122"/>
        <v>South</v>
      </c>
      <c r="M575" t="s">
        <v>139</v>
      </c>
      <c r="N575" t="str">
        <f t="shared" si="123"/>
        <v>Andhra Pradesh</v>
      </c>
      <c r="O575" t="s">
        <v>140</v>
      </c>
      <c r="P575" t="str">
        <f t="shared" si="124"/>
        <v>Vijayawada</v>
      </c>
      <c r="Q575" t="s">
        <v>24</v>
      </c>
      <c r="R575" t="str">
        <f t="shared" si="125"/>
        <v>Technology</v>
      </c>
      <c r="S575" t="s">
        <v>265</v>
      </c>
      <c r="T575" t="str">
        <f t="shared" si="126"/>
        <v>Phones</v>
      </c>
      <c r="U575" t="s">
        <v>2810</v>
      </c>
      <c r="V575" t="str">
        <f t="shared" si="127"/>
        <v>Pro Phones 644</v>
      </c>
      <c r="W575" t="s">
        <v>108</v>
      </c>
      <c r="X575" t="str">
        <f t="shared" si="128"/>
        <v>Standard Class</v>
      </c>
      <c r="Y575">
        <v>4</v>
      </c>
      <c r="Z575">
        <v>1</v>
      </c>
      <c r="AA575">
        <v>573.65</v>
      </c>
      <c r="AB575">
        <v>0</v>
      </c>
      <c r="AC575">
        <f t="shared" si="129"/>
        <v>0</v>
      </c>
      <c r="AD575">
        <v>573.65</v>
      </c>
      <c r="AE575">
        <f t="shared" si="130"/>
        <v>573.65</v>
      </c>
      <c r="AF575">
        <v>322.67</v>
      </c>
      <c r="AG575">
        <v>250.98</v>
      </c>
      <c r="AH575">
        <f t="shared" si="131"/>
        <v>250.98</v>
      </c>
      <c r="AI575">
        <f t="shared" si="132"/>
        <v>0.43751416368866</v>
      </c>
      <c r="AJ575" t="s">
        <v>77</v>
      </c>
      <c r="AK575" t="str">
        <f t="shared" si="133"/>
        <v>Paid</v>
      </c>
      <c r="AL575" t="s">
        <v>78</v>
      </c>
      <c r="AM575" t="str">
        <f t="shared" si="134"/>
        <v>Completed</v>
      </c>
      <c r="AN575">
        <v>9</v>
      </c>
      <c r="AO575">
        <v>2025</v>
      </c>
      <c r="AP575" t="s">
        <v>79</v>
      </c>
    </row>
    <row r="576" spans="1:42">
      <c r="A576" t="s">
        <v>2811</v>
      </c>
      <c r="B576" s="3" t="s">
        <v>2812</v>
      </c>
      <c r="C576" s="3">
        <v>45342</v>
      </c>
      <c r="D576" t="s">
        <v>1699</v>
      </c>
      <c r="E576" s="3">
        <v>45347</v>
      </c>
      <c r="F576" t="s">
        <v>1279</v>
      </c>
      <c r="G576" t="s">
        <v>251</v>
      </c>
      <c r="H576" t="str">
        <f t="shared" si="120"/>
        <v>Diya Patel</v>
      </c>
      <c r="I576" t="s">
        <v>154</v>
      </c>
      <c r="J576" t="str">
        <f t="shared" si="121"/>
        <v>Home Office</v>
      </c>
      <c r="K576" t="s">
        <v>8</v>
      </c>
      <c r="L576" t="str">
        <f t="shared" si="122"/>
        <v>North</v>
      </c>
      <c r="M576" t="s">
        <v>194</v>
      </c>
      <c r="N576" t="str">
        <f t="shared" si="123"/>
        <v>Punjab</v>
      </c>
      <c r="O576" t="s">
        <v>195</v>
      </c>
      <c r="P576" t="str">
        <f t="shared" si="124"/>
        <v>Ludhiana</v>
      </c>
      <c r="Q576" t="s">
        <v>24</v>
      </c>
      <c r="R576" t="str">
        <f t="shared" si="125"/>
        <v>Technology</v>
      </c>
      <c r="S576" t="s">
        <v>427</v>
      </c>
      <c r="T576" t="str">
        <f t="shared" si="126"/>
        <v>Machines</v>
      </c>
      <c r="U576" t="s">
        <v>2813</v>
      </c>
      <c r="V576" t="str">
        <f t="shared" si="127"/>
        <v>Smart Machines 566</v>
      </c>
      <c r="W576" t="s">
        <v>108</v>
      </c>
      <c r="X576" t="str">
        <f t="shared" si="128"/>
        <v>Standard Class</v>
      </c>
      <c r="Y576">
        <v>5</v>
      </c>
      <c r="Z576">
        <v>4</v>
      </c>
      <c r="AA576">
        <v>1355.8</v>
      </c>
      <c r="AB576">
        <v>0</v>
      </c>
      <c r="AC576">
        <f t="shared" si="129"/>
        <v>0</v>
      </c>
      <c r="AD576">
        <v>5423.2</v>
      </c>
      <c r="AE576">
        <f t="shared" si="130"/>
        <v>5423.2</v>
      </c>
      <c r="AF576">
        <v>4072.44</v>
      </c>
      <c r="AG576">
        <v>1350.76</v>
      </c>
      <c r="AH576">
        <f t="shared" si="131"/>
        <v>1350.76</v>
      </c>
      <c r="AI576">
        <f t="shared" si="132"/>
        <v>0.24907065938929</v>
      </c>
      <c r="AJ576" t="s">
        <v>77</v>
      </c>
      <c r="AK576" t="str">
        <f t="shared" si="133"/>
        <v>Paid</v>
      </c>
      <c r="AL576" t="s">
        <v>78</v>
      </c>
      <c r="AM576" t="str">
        <f t="shared" si="134"/>
        <v>Completed</v>
      </c>
      <c r="AN576">
        <v>2</v>
      </c>
      <c r="AO576">
        <v>2024</v>
      </c>
      <c r="AP576" t="s">
        <v>79</v>
      </c>
    </row>
    <row r="577" spans="1:42">
      <c r="A577" t="s">
        <v>2814</v>
      </c>
      <c r="B577" s="3" t="s">
        <v>2815</v>
      </c>
      <c r="C577" s="3">
        <v>45727</v>
      </c>
      <c r="D577" t="s">
        <v>2816</v>
      </c>
      <c r="E577" s="3">
        <v>45730</v>
      </c>
      <c r="F577" t="s">
        <v>2817</v>
      </c>
      <c r="G577" t="s">
        <v>208</v>
      </c>
      <c r="H577" t="str">
        <f t="shared" si="120"/>
        <v>Sneha Kapoor</v>
      </c>
      <c r="I577" t="s">
        <v>154</v>
      </c>
      <c r="J577" t="str">
        <f t="shared" si="121"/>
        <v>Home Office</v>
      </c>
      <c r="K577" t="s">
        <v>10</v>
      </c>
      <c r="L577" t="str">
        <f t="shared" si="122"/>
        <v>South</v>
      </c>
      <c r="M577" t="s">
        <v>285</v>
      </c>
      <c r="N577" t="str">
        <f t="shared" si="123"/>
        <v>Kerala</v>
      </c>
      <c r="O577" t="s">
        <v>286</v>
      </c>
      <c r="P577" t="str">
        <f t="shared" si="124"/>
        <v>Kochi</v>
      </c>
      <c r="Q577" t="s">
        <v>19</v>
      </c>
      <c r="R577" t="str">
        <f t="shared" si="125"/>
        <v>Furniture</v>
      </c>
      <c r="S577" t="s">
        <v>106</v>
      </c>
      <c r="T577" t="str">
        <f t="shared" si="126"/>
        <v>Furnishings</v>
      </c>
      <c r="U577" t="s">
        <v>2818</v>
      </c>
      <c r="V577" t="str">
        <f t="shared" si="127"/>
        <v>Elite Furnishings 173</v>
      </c>
      <c r="W577" t="s">
        <v>90</v>
      </c>
      <c r="X577" t="str">
        <f t="shared" si="128"/>
        <v>Same Day</v>
      </c>
      <c r="Y577">
        <v>3</v>
      </c>
      <c r="Z577">
        <v>4</v>
      </c>
      <c r="AA577">
        <v>1244.82</v>
      </c>
      <c r="AB577">
        <v>0.2</v>
      </c>
      <c r="AC577">
        <f t="shared" si="129"/>
        <v>0.2</v>
      </c>
      <c r="AD577">
        <v>3983.42</v>
      </c>
      <c r="AE577">
        <f t="shared" si="130"/>
        <v>3983.424</v>
      </c>
      <c r="AF577">
        <v>3174.91</v>
      </c>
      <c r="AG577">
        <v>808.51</v>
      </c>
      <c r="AH577">
        <f t="shared" si="131"/>
        <v>808.514</v>
      </c>
      <c r="AI577">
        <f t="shared" si="132"/>
        <v>0.202969606047461</v>
      </c>
      <c r="AJ577" t="s">
        <v>241</v>
      </c>
      <c r="AK577" t="str">
        <f t="shared" si="133"/>
        <v>Failed</v>
      </c>
      <c r="AL577" t="s">
        <v>164</v>
      </c>
      <c r="AM577" t="str">
        <f t="shared" si="134"/>
        <v>Returned</v>
      </c>
      <c r="AN577">
        <v>3</v>
      </c>
      <c r="AO577">
        <v>2025</v>
      </c>
      <c r="AP577" t="s">
        <v>79</v>
      </c>
    </row>
    <row r="578" spans="1:42">
      <c r="A578" t="s">
        <v>2819</v>
      </c>
      <c r="B578" s="3" t="s">
        <v>2820</v>
      </c>
      <c r="C578" s="3">
        <v>45339</v>
      </c>
      <c r="D578" t="s">
        <v>2821</v>
      </c>
      <c r="E578" s="3">
        <v>45345</v>
      </c>
      <c r="F578" t="s">
        <v>2822</v>
      </c>
      <c r="G578" t="s">
        <v>220</v>
      </c>
      <c r="H578" t="str">
        <f t="shared" ref="H578:H641" si="135">PROPER(TRIM(G578))</f>
        <v>Rohan Mehta</v>
      </c>
      <c r="I578" t="s">
        <v>154</v>
      </c>
      <c r="J578" t="str">
        <f t="shared" ref="J578:J641" si="136">PROPER(TRIM(I578))</f>
        <v>Home Office</v>
      </c>
      <c r="L578" t="str">
        <f t="shared" ref="L578:L641" si="137">PROPER(TRIM(K578))</f>
        <v/>
      </c>
      <c r="M578" t="s">
        <v>227</v>
      </c>
      <c r="N578" t="str">
        <f t="shared" ref="N578:N641" si="138">PROPER(TRIM(M578))</f>
        <v>Bihar</v>
      </c>
      <c r="O578" t="s">
        <v>228</v>
      </c>
      <c r="P578" t="str">
        <f t="shared" ref="P578:P641" si="139">PROPER(TRIM(O578))</f>
        <v>Patna</v>
      </c>
      <c r="Q578" t="s">
        <v>22</v>
      </c>
      <c r="R578" t="str">
        <f t="shared" ref="R578:R641" si="140">PROPER(TRIM(Q578))</f>
        <v>Office Supplies</v>
      </c>
      <c r="S578" t="s">
        <v>239</v>
      </c>
      <c r="T578" t="str">
        <f t="shared" ref="T578:T641" si="141">PROPER(TRIM(S578))</f>
        <v>Binders</v>
      </c>
      <c r="U578" t="s">
        <v>2823</v>
      </c>
      <c r="V578" t="str">
        <f t="shared" ref="V578:V641" si="142">PROPER(TRIM(U578))</f>
        <v>Smart Binders 417</v>
      </c>
      <c r="W578" t="s">
        <v>108</v>
      </c>
      <c r="X578" t="str">
        <f t="shared" ref="X578:X641" si="143">PROPER(TRIM(W578))</f>
        <v>Standard Class</v>
      </c>
      <c r="Y578">
        <v>6</v>
      </c>
      <c r="Z578">
        <v>9</v>
      </c>
      <c r="AA578">
        <v>2614.46</v>
      </c>
      <c r="AB578">
        <v>0</v>
      </c>
      <c r="AC578">
        <f t="shared" ref="AC578:AC641" si="144">IF(OR(AB578="",AB578&lt;0),0,AB578)</f>
        <v>0</v>
      </c>
      <c r="AD578">
        <v>23530.14</v>
      </c>
      <c r="AE578">
        <f t="shared" ref="AE578:AE641" si="145">Z578*AA578*(1-AC578)</f>
        <v>23530.14</v>
      </c>
      <c r="AF578">
        <v>19537.79</v>
      </c>
      <c r="AG578">
        <v>3992.35</v>
      </c>
      <c r="AH578">
        <f t="shared" ref="AH578:AH641" si="146">AE578-AF578</f>
        <v>3992.35</v>
      </c>
      <c r="AI578">
        <f t="shared" ref="AI578:AI641" si="147">AH578/AE578</f>
        <v>0.169669623725146</v>
      </c>
      <c r="AJ578" t="s">
        <v>163</v>
      </c>
      <c r="AK578" t="str">
        <f t="shared" ref="AK578:AK641" si="148">PROPER(TRIM(AJ578))</f>
        <v>Refunded</v>
      </c>
      <c r="AL578" t="s">
        <v>164</v>
      </c>
      <c r="AM578" t="str">
        <f t="shared" ref="AM578:AM641" si="149">PROPER(TRIM(AL578))</f>
        <v>Returned</v>
      </c>
      <c r="AN578">
        <v>2</v>
      </c>
      <c r="AO578">
        <v>2024</v>
      </c>
      <c r="AP578" t="s">
        <v>79</v>
      </c>
    </row>
    <row r="579" spans="1:42">
      <c r="A579" t="s">
        <v>2824</v>
      </c>
      <c r="B579" s="3" t="s">
        <v>480</v>
      </c>
      <c r="C579" s="3">
        <v>45897</v>
      </c>
      <c r="D579" t="s">
        <v>2825</v>
      </c>
      <c r="E579" s="3">
        <v>45903</v>
      </c>
      <c r="F579" t="s">
        <v>2826</v>
      </c>
      <c r="G579" t="s">
        <v>182</v>
      </c>
      <c r="H579" t="str">
        <f t="shared" si="135"/>
        <v>Priya Menon</v>
      </c>
      <c r="I579" t="s">
        <v>147</v>
      </c>
      <c r="J579" t="str">
        <f t="shared" si="136"/>
        <v>Corporate</v>
      </c>
      <c r="K579" t="s">
        <v>11</v>
      </c>
      <c r="L579" t="str">
        <f t="shared" si="137"/>
        <v>West</v>
      </c>
      <c r="M579" t="s">
        <v>124</v>
      </c>
      <c r="N579" t="str">
        <f t="shared" si="138"/>
        <v>Madhya Pradesh</v>
      </c>
      <c r="O579" t="s">
        <v>125</v>
      </c>
      <c r="P579" t="str">
        <f t="shared" si="139"/>
        <v>Indore</v>
      </c>
      <c r="Q579" t="s">
        <v>19</v>
      </c>
      <c r="R579" t="str">
        <f t="shared" si="140"/>
        <v>Furniture</v>
      </c>
      <c r="S579" t="s">
        <v>106</v>
      </c>
      <c r="T579" t="str">
        <f t="shared" si="141"/>
        <v>Furnishings</v>
      </c>
      <c r="U579" t="s">
        <v>2827</v>
      </c>
      <c r="V579" t="str">
        <f t="shared" si="142"/>
        <v>Smart Furnishings 714</v>
      </c>
      <c r="W579" t="s">
        <v>108</v>
      </c>
      <c r="X579" t="str">
        <f t="shared" si="143"/>
        <v>Standard Class</v>
      </c>
      <c r="Y579">
        <v>6</v>
      </c>
      <c r="Z579">
        <v>7</v>
      </c>
      <c r="AA579">
        <v>268.45</v>
      </c>
      <c r="AB579">
        <v>0</v>
      </c>
      <c r="AC579">
        <f t="shared" si="144"/>
        <v>0</v>
      </c>
      <c r="AD579">
        <v>1879.15</v>
      </c>
      <c r="AE579">
        <f t="shared" si="145"/>
        <v>1879.15</v>
      </c>
      <c r="AF579">
        <v>1134.9</v>
      </c>
      <c r="AG579">
        <v>744.25</v>
      </c>
      <c r="AH579">
        <f t="shared" si="146"/>
        <v>744.25</v>
      </c>
      <c r="AI579">
        <f t="shared" si="147"/>
        <v>0.396056727775856</v>
      </c>
      <c r="AJ579" t="s">
        <v>77</v>
      </c>
      <c r="AK579" t="str">
        <f t="shared" si="148"/>
        <v>Paid</v>
      </c>
      <c r="AL579" t="s">
        <v>78</v>
      </c>
      <c r="AM579" t="str">
        <f t="shared" si="149"/>
        <v>Completed</v>
      </c>
      <c r="AN579">
        <v>8</v>
      </c>
      <c r="AO579">
        <v>2025</v>
      </c>
      <c r="AP579" t="s">
        <v>79</v>
      </c>
    </row>
    <row r="580" spans="1:42">
      <c r="A580" t="s">
        <v>2828</v>
      </c>
      <c r="B580" s="3" t="s">
        <v>2829</v>
      </c>
      <c r="C580" s="3">
        <v>45343</v>
      </c>
      <c r="D580" t="s">
        <v>2830</v>
      </c>
      <c r="E580" s="3">
        <v>45345</v>
      </c>
      <c r="F580" t="s">
        <v>462</v>
      </c>
      <c r="G580" t="s">
        <v>132</v>
      </c>
      <c r="H580" t="str">
        <f t="shared" si="135"/>
        <v>Neha Gupta</v>
      </c>
      <c r="I580" t="s">
        <v>85</v>
      </c>
      <c r="J580" t="str">
        <f t="shared" si="136"/>
        <v>Small Business</v>
      </c>
      <c r="K580" t="s">
        <v>11</v>
      </c>
      <c r="L580" t="str">
        <f t="shared" si="137"/>
        <v>West</v>
      </c>
      <c r="M580" t="s">
        <v>278</v>
      </c>
      <c r="N580" t="str">
        <f t="shared" si="138"/>
        <v>Gujarat</v>
      </c>
      <c r="O580" t="s">
        <v>279</v>
      </c>
      <c r="P580" t="str">
        <f t="shared" si="139"/>
        <v>Ahmedabad</v>
      </c>
      <c r="Q580" t="s">
        <v>24</v>
      </c>
      <c r="R580" t="str">
        <f t="shared" si="140"/>
        <v>Technology</v>
      </c>
      <c r="S580" t="s">
        <v>133</v>
      </c>
      <c r="T580" t="str">
        <f t="shared" si="141"/>
        <v>Copiers</v>
      </c>
      <c r="U580" t="s">
        <v>2831</v>
      </c>
      <c r="V580" t="str">
        <f t="shared" si="142"/>
        <v>Elite Copiers 682</v>
      </c>
      <c r="W580" t="s">
        <v>98</v>
      </c>
      <c r="X580" t="str">
        <f t="shared" si="143"/>
        <v>First Class</v>
      </c>
      <c r="Y580">
        <v>2</v>
      </c>
      <c r="Z580">
        <v>6</v>
      </c>
      <c r="AA580">
        <v>2633.65</v>
      </c>
      <c r="AB580">
        <v>0.05</v>
      </c>
      <c r="AC580">
        <f t="shared" si="144"/>
        <v>0.05</v>
      </c>
      <c r="AD580">
        <v>15011.81</v>
      </c>
      <c r="AE580">
        <f t="shared" si="145"/>
        <v>15011.805</v>
      </c>
      <c r="AF580">
        <v>9660.36</v>
      </c>
      <c r="AG580">
        <v>5351.45</v>
      </c>
      <c r="AH580">
        <f t="shared" si="146"/>
        <v>5351.445</v>
      </c>
      <c r="AI580">
        <f t="shared" si="147"/>
        <v>0.356482448313177</v>
      </c>
      <c r="AJ580" t="s">
        <v>77</v>
      </c>
      <c r="AK580" t="str">
        <f t="shared" si="148"/>
        <v>Paid</v>
      </c>
      <c r="AL580" t="s">
        <v>78</v>
      </c>
      <c r="AM580" t="str">
        <f t="shared" si="149"/>
        <v>Completed</v>
      </c>
      <c r="AN580">
        <v>2</v>
      </c>
      <c r="AO580">
        <v>2024</v>
      </c>
      <c r="AP580" t="s">
        <v>79</v>
      </c>
    </row>
    <row r="581" spans="1:42">
      <c r="A581" t="s">
        <v>2832</v>
      </c>
      <c r="B581" s="3" t="s">
        <v>2833</v>
      </c>
      <c r="C581" s="3">
        <v>45462</v>
      </c>
      <c r="D581" t="s">
        <v>2834</v>
      </c>
      <c r="E581" s="3">
        <v>45467</v>
      </c>
      <c r="F581" t="s">
        <v>2835</v>
      </c>
      <c r="G581" t="s">
        <v>202</v>
      </c>
      <c r="H581" t="str">
        <f t="shared" si="135"/>
        <v>Aarav Sharma</v>
      </c>
      <c r="I581" t="s">
        <v>85</v>
      </c>
      <c r="J581" t="str">
        <f t="shared" si="136"/>
        <v>Small Business</v>
      </c>
      <c r="K581" t="s">
        <v>10</v>
      </c>
      <c r="L581" t="str">
        <f t="shared" si="137"/>
        <v>South</v>
      </c>
      <c r="M581" t="s">
        <v>382</v>
      </c>
      <c r="N581" t="str">
        <f t="shared" si="138"/>
        <v>Tamil Nadu</v>
      </c>
      <c r="O581" t="s">
        <v>383</v>
      </c>
      <c r="P581" t="str">
        <f t="shared" si="139"/>
        <v>Chennai</v>
      </c>
      <c r="Q581" t="s">
        <v>22</v>
      </c>
      <c r="R581" t="str">
        <f t="shared" si="140"/>
        <v>Office Supplies</v>
      </c>
      <c r="S581" t="s">
        <v>196</v>
      </c>
      <c r="T581" t="str">
        <f t="shared" si="141"/>
        <v>Storage</v>
      </c>
      <c r="U581" t="s">
        <v>2836</v>
      </c>
      <c r="V581" t="str">
        <f t="shared" si="142"/>
        <v>Pro Storage 482</v>
      </c>
      <c r="W581" t="s">
        <v>90</v>
      </c>
      <c r="X581" t="str">
        <f t="shared" si="143"/>
        <v>Same Day</v>
      </c>
      <c r="Y581">
        <v>5</v>
      </c>
      <c r="Z581">
        <v>1</v>
      </c>
      <c r="AA581">
        <v>3202.41</v>
      </c>
      <c r="AB581">
        <v>0</v>
      </c>
      <c r="AC581">
        <f t="shared" si="144"/>
        <v>0</v>
      </c>
      <c r="AD581">
        <v>3202.41</v>
      </c>
      <c r="AE581">
        <f t="shared" si="145"/>
        <v>3202.41</v>
      </c>
      <c r="AF581">
        <v>2608.44</v>
      </c>
      <c r="AG581">
        <v>593.97</v>
      </c>
      <c r="AH581">
        <f t="shared" si="146"/>
        <v>593.97</v>
      </c>
      <c r="AI581">
        <f t="shared" si="147"/>
        <v>0.185475938433867</v>
      </c>
      <c r="AJ581" t="s">
        <v>77</v>
      </c>
      <c r="AK581" t="str">
        <f t="shared" si="148"/>
        <v>Paid</v>
      </c>
      <c r="AL581" t="s">
        <v>78</v>
      </c>
      <c r="AM581" t="str">
        <f t="shared" si="149"/>
        <v>Completed</v>
      </c>
      <c r="AN581">
        <v>6</v>
      </c>
      <c r="AO581">
        <v>2024</v>
      </c>
      <c r="AP581" t="s">
        <v>79</v>
      </c>
    </row>
    <row r="582" spans="1:42">
      <c r="A582" t="s">
        <v>2837</v>
      </c>
      <c r="B582" s="3" t="s">
        <v>2838</v>
      </c>
      <c r="C582" s="3">
        <v>45722</v>
      </c>
      <c r="D582" t="s">
        <v>1513</v>
      </c>
      <c r="E582" s="3">
        <v>45729</v>
      </c>
      <c r="F582" t="s">
        <v>2839</v>
      </c>
      <c r="G582" t="s">
        <v>411</v>
      </c>
      <c r="H582" t="str">
        <f t="shared" si="135"/>
        <v>Kabir Singh</v>
      </c>
      <c r="I582" t="s">
        <v>71</v>
      </c>
      <c r="J582" t="str">
        <f t="shared" si="136"/>
        <v>Consumer</v>
      </c>
      <c r="K582" t="s">
        <v>10</v>
      </c>
      <c r="L582" t="str">
        <f t="shared" si="137"/>
        <v>South</v>
      </c>
      <c r="M582" t="s">
        <v>285</v>
      </c>
      <c r="N582" t="str">
        <f t="shared" si="138"/>
        <v>Kerala</v>
      </c>
      <c r="O582" t="s">
        <v>286</v>
      </c>
      <c r="P582" t="str">
        <f t="shared" si="139"/>
        <v>Kochi</v>
      </c>
      <c r="Q582" t="s">
        <v>19</v>
      </c>
      <c r="R582" t="str">
        <f t="shared" si="140"/>
        <v>Furniture</v>
      </c>
      <c r="S582" t="s">
        <v>116</v>
      </c>
      <c r="T582" t="str">
        <f t="shared" si="141"/>
        <v>Chairs</v>
      </c>
      <c r="U582" t="s">
        <v>2840</v>
      </c>
      <c r="V582" t="str">
        <f t="shared" si="142"/>
        <v>Pro Chairs 888</v>
      </c>
      <c r="W582" t="s">
        <v>108</v>
      </c>
      <c r="X582" t="str">
        <f t="shared" si="143"/>
        <v>Standard Class</v>
      </c>
      <c r="Y582">
        <v>7</v>
      </c>
      <c r="Z582">
        <v>3</v>
      </c>
      <c r="AA582">
        <v>163.72</v>
      </c>
      <c r="AB582">
        <v>0.15</v>
      </c>
      <c r="AC582">
        <f t="shared" si="144"/>
        <v>0.15</v>
      </c>
      <c r="AD582">
        <v>417.49</v>
      </c>
      <c r="AE582">
        <f t="shared" si="145"/>
        <v>417.486</v>
      </c>
      <c r="AF582">
        <v>261.67</v>
      </c>
      <c r="AG582">
        <v>155.82</v>
      </c>
      <c r="AH582">
        <f t="shared" si="146"/>
        <v>155.816</v>
      </c>
      <c r="AI582">
        <f t="shared" si="147"/>
        <v>0.373224491360189</v>
      </c>
      <c r="AJ582" t="s">
        <v>241</v>
      </c>
      <c r="AK582" t="str">
        <f t="shared" si="148"/>
        <v>Failed</v>
      </c>
      <c r="AL582" t="s">
        <v>164</v>
      </c>
      <c r="AM582" t="str">
        <f t="shared" si="149"/>
        <v>Returned</v>
      </c>
      <c r="AN582">
        <v>3</v>
      </c>
      <c r="AO582">
        <v>2025</v>
      </c>
      <c r="AP582" t="s">
        <v>79</v>
      </c>
    </row>
    <row r="583" spans="1:42">
      <c r="A583" t="s">
        <v>2841</v>
      </c>
      <c r="B583" s="3" t="s">
        <v>1395</v>
      </c>
      <c r="C583" s="3">
        <v>45878</v>
      </c>
      <c r="D583" t="s">
        <v>2842</v>
      </c>
      <c r="E583" s="3">
        <v>45879</v>
      </c>
      <c r="F583" t="s">
        <v>2843</v>
      </c>
      <c r="G583" t="s">
        <v>132</v>
      </c>
      <c r="H583" t="str">
        <f t="shared" si="135"/>
        <v>Neha Gupta</v>
      </c>
      <c r="I583" t="s">
        <v>71</v>
      </c>
      <c r="J583" t="str">
        <f t="shared" si="136"/>
        <v>Consumer</v>
      </c>
      <c r="K583" t="s">
        <v>8</v>
      </c>
      <c r="L583" t="str">
        <f t="shared" si="137"/>
        <v>North</v>
      </c>
      <c r="M583" t="s">
        <v>552</v>
      </c>
      <c r="N583" t="str">
        <f t="shared" si="138"/>
        <v>Delhi</v>
      </c>
      <c r="O583" t="s">
        <v>553</v>
      </c>
      <c r="P583" t="str">
        <f t="shared" si="139"/>
        <v>New Delhi</v>
      </c>
      <c r="Q583" t="s">
        <v>22</v>
      </c>
      <c r="R583" t="str">
        <f t="shared" si="140"/>
        <v>Office Supplies</v>
      </c>
      <c r="S583" t="s">
        <v>96</v>
      </c>
      <c r="T583" t="str">
        <f t="shared" si="141"/>
        <v>Art</v>
      </c>
      <c r="U583" t="s">
        <v>2844</v>
      </c>
      <c r="V583" t="str">
        <f t="shared" si="142"/>
        <v>Classic Art 611</v>
      </c>
      <c r="W583" t="s">
        <v>76</v>
      </c>
      <c r="X583" t="str">
        <f t="shared" si="143"/>
        <v>Second Class</v>
      </c>
      <c r="Y583">
        <v>1</v>
      </c>
      <c r="Z583">
        <v>4</v>
      </c>
      <c r="AA583">
        <v>4080.95</v>
      </c>
      <c r="AB583">
        <v>0</v>
      </c>
      <c r="AC583">
        <f t="shared" si="144"/>
        <v>0</v>
      </c>
      <c r="AD583">
        <v>16323.8</v>
      </c>
      <c r="AE583">
        <f t="shared" si="145"/>
        <v>16323.8</v>
      </c>
      <c r="AF583">
        <v>9965.79</v>
      </c>
      <c r="AG583">
        <v>6358.01</v>
      </c>
      <c r="AH583">
        <f t="shared" si="146"/>
        <v>6358.01</v>
      </c>
      <c r="AI583">
        <f t="shared" si="147"/>
        <v>0.38949325524694</v>
      </c>
      <c r="AJ583" t="s">
        <v>163</v>
      </c>
      <c r="AK583" t="str">
        <f t="shared" si="148"/>
        <v>Refunded</v>
      </c>
      <c r="AL583" t="s">
        <v>164</v>
      </c>
      <c r="AM583" t="str">
        <f t="shared" si="149"/>
        <v>Returned</v>
      </c>
      <c r="AN583">
        <v>8</v>
      </c>
      <c r="AO583">
        <v>2025</v>
      </c>
      <c r="AP583" t="s">
        <v>79</v>
      </c>
    </row>
    <row r="584" spans="1:42">
      <c r="A584" t="s">
        <v>2845</v>
      </c>
      <c r="B584" s="3" t="s">
        <v>2846</v>
      </c>
      <c r="C584" s="3">
        <v>45580</v>
      </c>
      <c r="D584" t="s">
        <v>2847</v>
      </c>
      <c r="E584" s="3">
        <v>45585</v>
      </c>
      <c r="F584" t="s">
        <v>2848</v>
      </c>
      <c r="G584" t="s">
        <v>113</v>
      </c>
      <c r="H584" t="str">
        <f t="shared" si="135"/>
        <v>Ananya Rao</v>
      </c>
      <c r="I584" t="s">
        <v>71</v>
      </c>
      <c r="J584" t="str">
        <f t="shared" si="136"/>
        <v>Consumer</v>
      </c>
      <c r="K584" t="s">
        <v>7</v>
      </c>
      <c r="L584" t="str">
        <f t="shared" si="137"/>
        <v>East</v>
      </c>
      <c r="M584" t="s">
        <v>86</v>
      </c>
      <c r="N584" t="str">
        <f t="shared" si="138"/>
        <v>Odisha</v>
      </c>
      <c r="O584" t="s">
        <v>87</v>
      </c>
      <c r="P584" t="str">
        <f t="shared" si="139"/>
        <v>Bhubaneswar</v>
      </c>
      <c r="Q584" t="s">
        <v>22</v>
      </c>
      <c r="R584" t="str">
        <f t="shared" si="140"/>
        <v>Office Supplies</v>
      </c>
      <c r="S584" t="s">
        <v>96</v>
      </c>
      <c r="T584" t="str">
        <f t="shared" si="141"/>
        <v>Art</v>
      </c>
      <c r="U584" t="s">
        <v>2849</v>
      </c>
      <c r="V584" t="str">
        <f t="shared" si="142"/>
        <v>Basic Art 174</v>
      </c>
      <c r="W584" t="s">
        <v>98</v>
      </c>
      <c r="X584" t="str">
        <f t="shared" si="143"/>
        <v>First Class</v>
      </c>
      <c r="Y584">
        <v>5</v>
      </c>
      <c r="Z584">
        <v>5</v>
      </c>
      <c r="AA584">
        <v>671.24</v>
      </c>
      <c r="AB584">
        <v>0</v>
      </c>
      <c r="AC584">
        <f t="shared" si="144"/>
        <v>0</v>
      </c>
      <c r="AD584">
        <v>3356.2</v>
      </c>
      <c r="AE584">
        <f t="shared" si="145"/>
        <v>3356.2</v>
      </c>
      <c r="AF584">
        <v>2205.72</v>
      </c>
      <c r="AG584">
        <v>1150.48</v>
      </c>
      <c r="AH584">
        <f t="shared" si="146"/>
        <v>1150.48</v>
      </c>
      <c r="AI584">
        <f t="shared" si="147"/>
        <v>0.34279244383529</v>
      </c>
      <c r="AJ584" t="s">
        <v>177</v>
      </c>
      <c r="AK584" t="str">
        <f t="shared" si="148"/>
        <v>Pending</v>
      </c>
      <c r="AL584" t="s">
        <v>164</v>
      </c>
      <c r="AM584" t="str">
        <f t="shared" si="149"/>
        <v>Returned</v>
      </c>
      <c r="AN584">
        <v>10</v>
      </c>
      <c r="AO584">
        <v>2024</v>
      </c>
      <c r="AP584" t="s">
        <v>79</v>
      </c>
    </row>
    <row r="585" spans="1:42">
      <c r="A585" t="s">
        <v>2850</v>
      </c>
      <c r="B585" s="3" t="s">
        <v>673</v>
      </c>
      <c r="C585" s="3">
        <v>45350</v>
      </c>
      <c r="D585" t="s">
        <v>2851</v>
      </c>
      <c r="E585" s="3">
        <v>45350</v>
      </c>
      <c r="F585" t="s">
        <v>2852</v>
      </c>
      <c r="G585" t="s">
        <v>220</v>
      </c>
      <c r="H585" t="str">
        <f t="shared" si="135"/>
        <v>Rohan Mehta</v>
      </c>
      <c r="I585" t="s">
        <v>85</v>
      </c>
      <c r="J585" t="str">
        <f t="shared" si="136"/>
        <v>Small Business</v>
      </c>
      <c r="K585" t="s">
        <v>7</v>
      </c>
      <c r="L585" t="str">
        <f t="shared" si="137"/>
        <v>East</v>
      </c>
      <c r="M585" t="s">
        <v>160</v>
      </c>
      <c r="N585" t="str">
        <f t="shared" si="138"/>
        <v>West Bengal</v>
      </c>
      <c r="O585" t="s">
        <v>161</v>
      </c>
      <c r="P585" t="str">
        <f t="shared" si="139"/>
        <v>Kolkata</v>
      </c>
      <c r="Q585" t="s">
        <v>22</v>
      </c>
      <c r="R585" t="str">
        <f t="shared" si="140"/>
        <v>Office Supplies</v>
      </c>
      <c r="S585" t="s">
        <v>196</v>
      </c>
      <c r="T585" t="str">
        <f t="shared" si="141"/>
        <v>Storage</v>
      </c>
      <c r="U585" t="s">
        <v>2853</v>
      </c>
      <c r="V585" t="str">
        <f t="shared" si="142"/>
        <v>Classic Storage 451</v>
      </c>
      <c r="W585" t="s">
        <v>98</v>
      </c>
      <c r="X585" t="str">
        <f t="shared" si="143"/>
        <v>First Class</v>
      </c>
      <c r="Y585">
        <v>0</v>
      </c>
      <c r="Z585">
        <v>1</v>
      </c>
      <c r="AA585">
        <v>2626.84</v>
      </c>
      <c r="AB585">
        <v>0.2</v>
      </c>
      <c r="AC585">
        <f t="shared" si="144"/>
        <v>0.2</v>
      </c>
      <c r="AD585">
        <v>2101.47</v>
      </c>
      <c r="AE585">
        <f t="shared" si="145"/>
        <v>2101.472</v>
      </c>
      <c r="AF585">
        <v>1217.83</v>
      </c>
      <c r="AG585">
        <v>883.64</v>
      </c>
      <c r="AH585">
        <f t="shared" si="146"/>
        <v>883.642</v>
      </c>
      <c r="AI585">
        <f t="shared" si="147"/>
        <v>0.420487163283641</v>
      </c>
      <c r="AJ585" t="s">
        <v>241</v>
      </c>
      <c r="AK585" t="str">
        <f t="shared" si="148"/>
        <v>Failed</v>
      </c>
      <c r="AL585" t="s">
        <v>164</v>
      </c>
      <c r="AM585" t="str">
        <f t="shared" si="149"/>
        <v>Returned</v>
      </c>
      <c r="AN585">
        <v>2</v>
      </c>
      <c r="AO585">
        <v>2024</v>
      </c>
      <c r="AP585" t="s">
        <v>79</v>
      </c>
    </row>
    <row r="586" spans="1:42">
      <c r="A586" t="s">
        <v>2854</v>
      </c>
      <c r="B586" s="3" t="s">
        <v>2855</v>
      </c>
      <c r="C586" s="3">
        <v>45508</v>
      </c>
      <c r="D586" t="s">
        <v>2856</v>
      </c>
      <c r="E586" s="3">
        <v>45514</v>
      </c>
      <c r="F586" t="s">
        <v>2857</v>
      </c>
      <c r="G586" t="s">
        <v>123</v>
      </c>
      <c r="H586" t="str">
        <f t="shared" si="135"/>
        <v>Vikram Iyer</v>
      </c>
      <c r="I586" t="s">
        <v>71</v>
      </c>
      <c r="J586" t="str">
        <f t="shared" si="136"/>
        <v>Consumer</v>
      </c>
      <c r="K586" t="s">
        <v>7</v>
      </c>
      <c r="L586" t="str">
        <f t="shared" si="137"/>
        <v>East</v>
      </c>
      <c r="M586" t="s">
        <v>227</v>
      </c>
      <c r="N586" t="str">
        <f t="shared" si="138"/>
        <v>Bihar</v>
      </c>
      <c r="O586" t="s">
        <v>228</v>
      </c>
      <c r="P586" t="str">
        <f t="shared" si="139"/>
        <v>Patna</v>
      </c>
      <c r="Q586" t="s">
        <v>22</v>
      </c>
      <c r="R586" t="str">
        <f t="shared" si="140"/>
        <v>Office Supplies</v>
      </c>
      <c r="S586" t="s">
        <v>96</v>
      </c>
      <c r="T586" t="str">
        <f t="shared" si="141"/>
        <v>Art</v>
      </c>
      <c r="U586" t="s">
        <v>2858</v>
      </c>
      <c r="V586" t="str">
        <f t="shared" si="142"/>
        <v>Pro Art 172</v>
      </c>
      <c r="W586" t="s">
        <v>90</v>
      </c>
      <c r="X586" t="str">
        <f t="shared" si="143"/>
        <v>Same Day</v>
      </c>
      <c r="Y586">
        <v>6</v>
      </c>
      <c r="Z586">
        <v>1</v>
      </c>
      <c r="AA586">
        <v>984.93</v>
      </c>
      <c r="AB586">
        <v>0.15</v>
      </c>
      <c r="AC586">
        <f t="shared" si="144"/>
        <v>0.15</v>
      </c>
      <c r="AD586">
        <v>837.19</v>
      </c>
      <c r="AE586">
        <f t="shared" si="145"/>
        <v>837.1905</v>
      </c>
      <c r="AF586">
        <v>583.79</v>
      </c>
      <c r="AG586">
        <v>253.4</v>
      </c>
      <c r="AH586">
        <f t="shared" si="146"/>
        <v>253.4005</v>
      </c>
      <c r="AI586">
        <f t="shared" si="147"/>
        <v>0.302679617124179</v>
      </c>
      <c r="AJ586" t="s">
        <v>177</v>
      </c>
      <c r="AK586" t="str">
        <f t="shared" si="148"/>
        <v>Pending</v>
      </c>
      <c r="AL586" t="s">
        <v>164</v>
      </c>
      <c r="AM586" t="str">
        <f t="shared" si="149"/>
        <v>Returned</v>
      </c>
      <c r="AN586">
        <v>8</v>
      </c>
      <c r="AO586">
        <v>2024</v>
      </c>
      <c r="AP586" t="s">
        <v>79</v>
      </c>
    </row>
    <row r="587" spans="1:42">
      <c r="A587" t="s">
        <v>2859</v>
      </c>
      <c r="B587" s="3" t="s">
        <v>1742</v>
      </c>
      <c r="C587" s="3">
        <v>45830</v>
      </c>
      <c r="D587" t="s">
        <v>2860</v>
      </c>
      <c r="E587" s="3">
        <v>45833</v>
      </c>
      <c r="F587" t="s">
        <v>2861</v>
      </c>
      <c r="G587" t="s">
        <v>251</v>
      </c>
      <c r="H587" t="str">
        <f t="shared" si="135"/>
        <v>Diya Patel</v>
      </c>
      <c r="I587" t="s">
        <v>85</v>
      </c>
      <c r="J587" t="str">
        <f t="shared" si="136"/>
        <v>Small Business</v>
      </c>
      <c r="K587" t="s">
        <v>1101</v>
      </c>
      <c r="L587" t="str">
        <f t="shared" si="137"/>
        <v>West</v>
      </c>
      <c r="M587" t="s">
        <v>114</v>
      </c>
      <c r="N587" t="str">
        <f t="shared" si="138"/>
        <v>Maharashtra</v>
      </c>
      <c r="O587" t="s">
        <v>115</v>
      </c>
      <c r="P587" t="str">
        <f t="shared" si="139"/>
        <v>Mumbai</v>
      </c>
      <c r="Q587" t="s">
        <v>24</v>
      </c>
      <c r="R587" t="str">
        <f t="shared" si="140"/>
        <v>Technology</v>
      </c>
      <c r="S587" t="s">
        <v>265</v>
      </c>
      <c r="T587" t="str">
        <f t="shared" si="141"/>
        <v>Phones</v>
      </c>
      <c r="U587" t="s">
        <v>2862</v>
      </c>
      <c r="V587" t="str">
        <f t="shared" si="142"/>
        <v>Prime Phones 744</v>
      </c>
      <c r="W587" t="s">
        <v>98</v>
      </c>
      <c r="X587" t="str">
        <f t="shared" si="143"/>
        <v>First Class</v>
      </c>
      <c r="Y587">
        <v>3</v>
      </c>
      <c r="Z587">
        <v>8</v>
      </c>
      <c r="AA587">
        <v>3453.66</v>
      </c>
      <c r="AB587">
        <v>0</v>
      </c>
      <c r="AC587">
        <f t="shared" si="144"/>
        <v>0</v>
      </c>
      <c r="AD587">
        <v>27629.28</v>
      </c>
      <c r="AE587">
        <f t="shared" si="145"/>
        <v>27629.28</v>
      </c>
      <c r="AF587">
        <v>22026.48</v>
      </c>
      <c r="AG587">
        <v>5602.8</v>
      </c>
      <c r="AH587">
        <f t="shared" si="146"/>
        <v>5602.8</v>
      </c>
      <c r="AI587">
        <f t="shared" si="147"/>
        <v>0.202784871701326</v>
      </c>
      <c r="AJ587" t="s">
        <v>77</v>
      </c>
      <c r="AK587" t="str">
        <f t="shared" si="148"/>
        <v>Paid</v>
      </c>
      <c r="AL587" t="s">
        <v>78</v>
      </c>
      <c r="AM587" t="str">
        <f t="shared" si="149"/>
        <v>Completed</v>
      </c>
      <c r="AN587">
        <v>6</v>
      </c>
      <c r="AO587">
        <v>2025</v>
      </c>
      <c r="AP587" t="s">
        <v>79</v>
      </c>
    </row>
    <row r="588" spans="1:42">
      <c r="A588" t="s">
        <v>2863</v>
      </c>
      <c r="B588" s="3" t="s">
        <v>2864</v>
      </c>
      <c r="C588" s="3">
        <v>45759</v>
      </c>
      <c r="D588" t="s">
        <v>2865</v>
      </c>
      <c r="E588" s="3">
        <v>45759</v>
      </c>
      <c r="F588" t="s">
        <v>2866</v>
      </c>
      <c r="G588" t="s">
        <v>84</v>
      </c>
      <c r="H588" t="str">
        <f t="shared" si="135"/>
        <v>Mira Das</v>
      </c>
      <c r="I588" t="s">
        <v>154</v>
      </c>
      <c r="J588" t="str">
        <f t="shared" si="136"/>
        <v>Home Office</v>
      </c>
      <c r="K588" t="s">
        <v>8</v>
      </c>
      <c r="L588" t="str">
        <f t="shared" si="137"/>
        <v>North</v>
      </c>
      <c r="M588" t="s">
        <v>194</v>
      </c>
      <c r="N588" t="str">
        <f t="shared" si="138"/>
        <v>Punjab</v>
      </c>
      <c r="O588" t="s">
        <v>195</v>
      </c>
      <c r="P588" t="str">
        <f t="shared" si="139"/>
        <v>Ludhiana</v>
      </c>
      <c r="Q588" t="s">
        <v>22</v>
      </c>
      <c r="R588" t="str">
        <f t="shared" si="140"/>
        <v>Office Supplies</v>
      </c>
      <c r="S588" t="s">
        <v>239</v>
      </c>
      <c r="T588" t="str">
        <f t="shared" si="141"/>
        <v>Binders</v>
      </c>
      <c r="U588" t="s">
        <v>2867</v>
      </c>
      <c r="V588" t="str">
        <f t="shared" si="142"/>
        <v>Prime Binders 249</v>
      </c>
      <c r="W588" t="s">
        <v>76</v>
      </c>
      <c r="X588" t="str">
        <f t="shared" si="143"/>
        <v>Second Class</v>
      </c>
      <c r="Y588">
        <v>0</v>
      </c>
      <c r="Z588">
        <v>7</v>
      </c>
      <c r="AA588">
        <v>1334.2</v>
      </c>
      <c r="AB588">
        <v>0.2</v>
      </c>
      <c r="AC588">
        <f t="shared" si="144"/>
        <v>0.2</v>
      </c>
      <c r="AD588">
        <v>7471.52</v>
      </c>
      <c r="AE588">
        <f t="shared" si="145"/>
        <v>7471.52</v>
      </c>
      <c r="AF588">
        <v>6184.32</v>
      </c>
      <c r="AG588">
        <v>1287.2</v>
      </c>
      <c r="AH588">
        <f t="shared" si="146"/>
        <v>1287.2</v>
      </c>
      <c r="AI588">
        <f t="shared" si="147"/>
        <v>0.172280874574384</v>
      </c>
      <c r="AJ588" t="s">
        <v>77</v>
      </c>
      <c r="AK588" t="str">
        <f t="shared" si="148"/>
        <v>Paid</v>
      </c>
      <c r="AL588" t="s">
        <v>78</v>
      </c>
      <c r="AM588" t="str">
        <f t="shared" si="149"/>
        <v>Completed</v>
      </c>
      <c r="AN588">
        <v>4</v>
      </c>
      <c r="AO588">
        <v>2025</v>
      </c>
      <c r="AP588" t="s">
        <v>79</v>
      </c>
    </row>
    <row r="589" spans="1:42">
      <c r="A589" t="s">
        <v>2868</v>
      </c>
      <c r="B589" s="3" t="s">
        <v>2869</v>
      </c>
      <c r="C589" s="3">
        <v>45861</v>
      </c>
      <c r="D589" t="s">
        <v>2870</v>
      </c>
      <c r="E589" s="3">
        <v>45869</v>
      </c>
      <c r="F589" t="s">
        <v>2871</v>
      </c>
      <c r="G589" t="s">
        <v>411</v>
      </c>
      <c r="H589" t="str">
        <f t="shared" si="135"/>
        <v>Kabir Singh</v>
      </c>
      <c r="I589" t="s">
        <v>154</v>
      </c>
      <c r="J589" t="str">
        <f t="shared" si="136"/>
        <v>Home Office</v>
      </c>
      <c r="K589" t="s">
        <v>11</v>
      </c>
      <c r="L589" t="str">
        <f t="shared" si="137"/>
        <v>West</v>
      </c>
      <c r="M589" t="s">
        <v>124</v>
      </c>
      <c r="N589" t="str">
        <f t="shared" si="138"/>
        <v>Madhya Pradesh</v>
      </c>
      <c r="O589" t="s">
        <v>125</v>
      </c>
      <c r="P589" t="str">
        <f t="shared" si="139"/>
        <v>Indore</v>
      </c>
      <c r="Q589" t="s">
        <v>24</v>
      </c>
      <c r="R589" t="str">
        <f t="shared" si="140"/>
        <v>Technology</v>
      </c>
      <c r="S589" t="s">
        <v>126</v>
      </c>
      <c r="T589" t="str">
        <f t="shared" si="141"/>
        <v>Accessories</v>
      </c>
      <c r="U589" t="s">
        <v>2872</v>
      </c>
      <c r="V589" t="str">
        <f t="shared" si="142"/>
        <v>Eco Accessories 948</v>
      </c>
      <c r="W589" t="s">
        <v>98</v>
      </c>
      <c r="X589" t="str">
        <f t="shared" si="143"/>
        <v>First Class</v>
      </c>
      <c r="Y589">
        <v>8</v>
      </c>
      <c r="Z589">
        <v>1</v>
      </c>
      <c r="AA589">
        <v>4253.84</v>
      </c>
      <c r="AB589">
        <v>0.15</v>
      </c>
      <c r="AC589">
        <f t="shared" si="144"/>
        <v>0.15</v>
      </c>
      <c r="AD589">
        <v>3615.76</v>
      </c>
      <c r="AE589">
        <f t="shared" si="145"/>
        <v>3615.764</v>
      </c>
      <c r="AF589">
        <v>2951.52</v>
      </c>
      <c r="AG589">
        <v>664.24</v>
      </c>
      <c r="AH589">
        <f t="shared" si="146"/>
        <v>664.244</v>
      </c>
      <c r="AI589">
        <f t="shared" si="147"/>
        <v>0.183707786238261</v>
      </c>
      <c r="AJ589" t="s">
        <v>163</v>
      </c>
      <c r="AK589" t="str">
        <f t="shared" si="148"/>
        <v>Refunded</v>
      </c>
      <c r="AL589" t="s">
        <v>118</v>
      </c>
      <c r="AM589" t="str">
        <f t="shared" si="149"/>
        <v>Cancelled</v>
      </c>
      <c r="AN589">
        <v>7</v>
      </c>
      <c r="AO589">
        <v>2025</v>
      </c>
      <c r="AP589" t="s">
        <v>79</v>
      </c>
    </row>
    <row r="590" spans="1:42">
      <c r="A590" t="s">
        <v>2873</v>
      </c>
      <c r="B590" s="3" t="s">
        <v>2874</v>
      </c>
      <c r="C590" s="3">
        <v>45727</v>
      </c>
      <c r="D590" t="s">
        <v>2875</v>
      </c>
      <c r="E590" s="3">
        <v>45731</v>
      </c>
      <c r="F590" t="s">
        <v>2876</v>
      </c>
      <c r="G590" t="s">
        <v>202</v>
      </c>
      <c r="H590" t="str">
        <f t="shared" si="135"/>
        <v>Aarav Sharma</v>
      </c>
      <c r="I590" t="s">
        <v>154</v>
      </c>
      <c r="J590" t="str">
        <f t="shared" si="136"/>
        <v>Home Office</v>
      </c>
      <c r="K590" t="s">
        <v>10</v>
      </c>
      <c r="L590" t="str">
        <f t="shared" si="137"/>
        <v>South</v>
      </c>
      <c r="M590" t="s">
        <v>272</v>
      </c>
      <c r="N590" t="str">
        <f t="shared" si="138"/>
        <v>Karnataka</v>
      </c>
      <c r="O590" t="s">
        <v>273</v>
      </c>
      <c r="P590" t="str">
        <f t="shared" si="139"/>
        <v>Bengaluru</v>
      </c>
      <c r="Q590" t="s">
        <v>24</v>
      </c>
      <c r="R590" t="str">
        <f t="shared" si="140"/>
        <v>Technology</v>
      </c>
      <c r="S590" t="s">
        <v>126</v>
      </c>
      <c r="T590" t="str">
        <f t="shared" si="141"/>
        <v>Accessories</v>
      </c>
      <c r="U590" t="s">
        <v>2877</v>
      </c>
      <c r="V590" t="str">
        <f t="shared" si="142"/>
        <v>Classic Accessories 458</v>
      </c>
      <c r="W590" t="s">
        <v>76</v>
      </c>
      <c r="X590" t="str">
        <f t="shared" si="143"/>
        <v>Second Class</v>
      </c>
      <c r="Y590">
        <v>4</v>
      </c>
      <c r="Z590">
        <v>8</v>
      </c>
      <c r="AA590">
        <v>4446.36</v>
      </c>
      <c r="AB590">
        <v>0.1</v>
      </c>
      <c r="AC590">
        <f t="shared" si="144"/>
        <v>0.1</v>
      </c>
      <c r="AD590">
        <v>32013.79</v>
      </c>
      <c r="AE590">
        <f t="shared" si="145"/>
        <v>32013.792</v>
      </c>
      <c r="AF590">
        <v>20896.88</v>
      </c>
      <c r="AG590">
        <v>11116.91</v>
      </c>
      <c r="AH590">
        <f t="shared" si="146"/>
        <v>11116.912</v>
      </c>
      <c r="AI590">
        <f t="shared" si="147"/>
        <v>0.347253833597719</v>
      </c>
      <c r="AJ590" t="s">
        <v>163</v>
      </c>
      <c r="AK590" t="str">
        <f t="shared" si="148"/>
        <v>Refunded</v>
      </c>
      <c r="AL590" t="s">
        <v>118</v>
      </c>
      <c r="AM590" t="str">
        <f t="shared" si="149"/>
        <v>Cancelled</v>
      </c>
      <c r="AN590">
        <v>3</v>
      </c>
      <c r="AO590">
        <v>2025</v>
      </c>
      <c r="AP590" t="s">
        <v>79</v>
      </c>
    </row>
    <row r="591" spans="1:42">
      <c r="A591" t="s">
        <v>2878</v>
      </c>
      <c r="B591" s="3" t="s">
        <v>2879</v>
      </c>
      <c r="C591" s="3">
        <v>45632</v>
      </c>
      <c r="D591" t="s">
        <v>2880</v>
      </c>
      <c r="E591" s="3">
        <v>45638</v>
      </c>
      <c r="F591" t="s">
        <v>2881</v>
      </c>
      <c r="G591" t="s">
        <v>220</v>
      </c>
      <c r="H591" t="str">
        <f t="shared" si="135"/>
        <v>Rohan Mehta</v>
      </c>
      <c r="I591" t="s">
        <v>147</v>
      </c>
      <c r="J591" t="str">
        <f t="shared" si="136"/>
        <v>Corporate</v>
      </c>
      <c r="K591" t="s">
        <v>8</v>
      </c>
      <c r="L591" t="str">
        <f t="shared" si="137"/>
        <v>North</v>
      </c>
      <c r="M591" t="s">
        <v>214</v>
      </c>
      <c r="N591" t="str">
        <f t="shared" si="138"/>
        <v>Uttar Pradesh</v>
      </c>
      <c r="O591" t="s">
        <v>215</v>
      </c>
      <c r="P591" t="str">
        <f t="shared" si="139"/>
        <v>Noida</v>
      </c>
      <c r="Q591" t="s">
        <v>24</v>
      </c>
      <c r="R591" t="str">
        <f t="shared" si="140"/>
        <v>Technology</v>
      </c>
      <c r="S591" t="s">
        <v>265</v>
      </c>
      <c r="T591" t="str">
        <f t="shared" si="141"/>
        <v>Phones</v>
      </c>
      <c r="U591" t="s">
        <v>2882</v>
      </c>
      <c r="V591" t="str">
        <f t="shared" si="142"/>
        <v>Max Phones 318</v>
      </c>
      <c r="W591" t="s">
        <v>98</v>
      </c>
      <c r="X591" t="str">
        <f t="shared" si="143"/>
        <v>First Class</v>
      </c>
      <c r="Y591">
        <v>6</v>
      </c>
      <c r="Z591">
        <v>3</v>
      </c>
      <c r="AA591">
        <v>524.75</v>
      </c>
      <c r="AB591">
        <v>0</v>
      </c>
      <c r="AC591">
        <f t="shared" si="144"/>
        <v>0</v>
      </c>
      <c r="AD591">
        <v>1574.25</v>
      </c>
      <c r="AE591">
        <f t="shared" si="145"/>
        <v>1574.25</v>
      </c>
      <c r="AF591">
        <v>1326.12</v>
      </c>
      <c r="AG591">
        <v>248.13</v>
      </c>
      <c r="AH591">
        <f t="shared" si="146"/>
        <v>248.13</v>
      </c>
      <c r="AI591">
        <f t="shared" si="147"/>
        <v>0.157617913292044</v>
      </c>
      <c r="AJ591" t="s">
        <v>77</v>
      </c>
      <c r="AK591" t="str">
        <f t="shared" si="148"/>
        <v>Paid</v>
      </c>
      <c r="AL591" t="s">
        <v>78</v>
      </c>
      <c r="AM591" t="str">
        <f t="shared" si="149"/>
        <v>Completed</v>
      </c>
      <c r="AN591">
        <v>12</v>
      </c>
      <c r="AO591">
        <v>2024</v>
      </c>
      <c r="AP591" t="s">
        <v>79</v>
      </c>
    </row>
    <row r="592" spans="1:42">
      <c r="A592" t="s">
        <v>2883</v>
      </c>
      <c r="B592" s="3" t="s">
        <v>316</v>
      </c>
      <c r="C592" s="3">
        <v>45441</v>
      </c>
      <c r="D592" t="s">
        <v>2884</v>
      </c>
      <c r="E592" s="3">
        <v>45441</v>
      </c>
      <c r="F592" t="s">
        <v>2885</v>
      </c>
      <c r="G592" t="s">
        <v>202</v>
      </c>
      <c r="H592" t="str">
        <f t="shared" si="135"/>
        <v>Aarav Sharma</v>
      </c>
      <c r="I592" t="s">
        <v>154</v>
      </c>
      <c r="J592" t="str">
        <f t="shared" si="136"/>
        <v>Home Office</v>
      </c>
      <c r="K592" t="s">
        <v>8</v>
      </c>
      <c r="L592" t="str">
        <f t="shared" si="137"/>
        <v>North</v>
      </c>
      <c r="M592" t="s">
        <v>552</v>
      </c>
      <c r="N592" t="str">
        <f t="shared" si="138"/>
        <v>Delhi</v>
      </c>
      <c r="O592" t="s">
        <v>553</v>
      </c>
      <c r="P592" t="str">
        <f t="shared" si="139"/>
        <v>New Delhi</v>
      </c>
      <c r="Q592" t="s">
        <v>19</v>
      </c>
      <c r="R592" t="str">
        <f t="shared" si="140"/>
        <v>Furniture</v>
      </c>
      <c r="S592" t="s">
        <v>116</v>
      </c>
      <c r="T592" t="str">
        <f t="shared" si="141"/>
        <v>Chairs</v>
      </c>
      <c r="U592" t="s">
        <v>2886</v>
      </c>
      <c r="V592" t="str">
        <f t="shared" si="142"/>
        <v>Elite Chairs 372</v>
      </c>
      <c r="W592" t="s">
        <v>90</v>
      </c>
      <c r="X592" t="str">
        <f t="shared" si="143"/>
        <v>Same Day</v>
      </c>
      <c r="Y592">
        <v>0</v>
      </c>
      <c r="Z592">
        <v>6</v>
      </c>
      <c r="AA592">
        <v>3430.35</v>
      </c>
      <c r="AB592">
        <v>0</v>
      </c>
      <c r="AC592">
        <f t="shared" si="144"/>
        <v>0</v>
      </c>
      <c r="AD592">
        <v>20582.1</v>
      </c>
      <c r="AE592">
        <f t="shared" si="145"/>
        <v>20582.1</v>
      </c>
      <c r="AF592">
        <v>15897.65</v>
      </c>
      <c r="AG592">
        <v>4684.45</v>
      </c>
      <c r="AH592">
        <f t="shared" si="146"/>
        <v>4684.45</v>
      </c>
      <c r="AI592">
        <f t="shared" si="147"/>
        <v>0.227598252850778</v>
      </c>
      <c r="AJ592" t="s">
        <v>2887</v>
      </c>
      <c r="AK592" t="str">
        <f t="shared" si="148"/>
        <v>Pending</v>
      </c>
      <c r="AL592" t="s">
        <v>118</v>
      </c>
      <c r="AM592" t="str">
        <f t="shared" si="149"/>
        <v>Cancelled</v>
      </c>
      <c r="AN592">
        <v>5</v>
      </c>
      <c r="AO592">
        <v>2024</v>
      </c>
      <c r="AP592" t="s">
        <v>79</v>
      </c>
    </row>
    <row r="593" spans="1:42">
      <c r="A593" t="s">
        <v>2888</v>
      </c>
      <c r="B593" s="3" t="s">
        <v>2889</v>
      </c>
      <c r="C593" s="3">
        <v>45344</v>
      </c>
      <c r="D593" t="s">
        <v>2890</v>
      </c>
      <c r="E593" s="3">
        <v>45346</v>
      </c>
      <c r="F593" t="s">
        <v>2891</v>
      </c>
      <c r="G593" t="s">
        <v>208</v>
      </c>
      <c r="H593" t="str">
        <f t="shared" si="135"/>
        <v>Sneha Kapoor</v>
      </c>
      <c r="I593" t="s">
        <v>71</v>
      </c>
      <c r="J593" t="str">
        <f t="shared" si="136"/>
        <v>Consumer</v>
      </c>
      <c r="K593" t="s">
        <v>10</v>
      </c>
      <c r="L593" t="str">
        <f t="shared" si="137"/>
        <v>South</v>
      </c>
      <c r="M593" t="s">
        <v>272</v>
      </c>
      <c r="N593" t="str">
        <f t="shared" si="138"/>
        <v>Karnataka</v>
      </c>
      <c r="O593" t="s">
        <v>273</v>
      </c>
      <c r="P593" t="str">
        <f t="shared" si="139"/>
        <v>Bengaluru</v>
      </c>
      <c r="Q593" t="s">
        <v>24</v>
      </c>
      <c r="R593" t="str">
        <f t="shared" si="140"/>
        <v>Technology</v>
      </c>
      <c r="S593" t="s">
        <v>133</v>
      </c>
      <c r="T593" t="str">
        <f t="shared" si="141"/>
        <v>Copiers</v>
      </c>
      <c r="U593" t="s">
        <v>2892</v>
      </c>
      <c r="V593" t="str">
        <f t="shared" si="142"/>
        <v>Eco Copiers 324</v>
      </c>
      <c r="W593" t="s">
        <v>98</v>
      </c>
      <c r="X593" t="str">
        <f t="shared" si="143"/>
        <v>First Class</v>
      </c>
      <c r="Y593">
        <v>2</v>
      </c>
      <c r="Z593">
        <v>3</v>
      </c>
      <c r="AA593">
        <v>3545.08</v>
      </c>
      <c r="AB593">
        <v>0</v>
      </c>
      <c r="AC593">
        <f t="shared" si="144"/>
        <v>0</v>
      </c>
      <c r="AD593">
        <v>10635.24</v>
      </c>
      <c r="AE593">
        <f t="shared" si="145"/>
        <v>10635.24</v>
      </c>
      <c r="AF593">
        <v>6031.88</v>
      </c>
      <c r="AG593">
        <v>4603.36</v>
      </c>
      <c r="AH593">
        <f t="shared" si="146"/>
        <v>4603.36</v>
      </c>
      <c r="AI593">
        <f t="shared" si="147"/>
        <v>0.432840255603071</v>
      </c>
      <c r="AJ593" t="s">
        <v>241</v>
      </c>
      <c r="AK593" t="str">
        <f t="shared" si="148"/>
        <v>Failed</v>
      </c>
      <c r="AL593" t="s">
        <v>164</v>
      </c>
      <c r="AM593" t="str">
        <f t="shared" si="149"/>
        <v>Returned</v>
      </c>
      <c r="AN593">
        <v>2</v>
      </c>
      <c r="AO593">
        <v>2024</v>
      </c>
      <c r="AP593" t="s">
        <v>79</v>
      </c>
    </row>
    <row r="594" spans="1:42">
      <c r="A594" t="s">
        <v>2893</v>
      </c>
      <c r="B594" s="3" t="s">
        <v>889</v>
      </c>
      <c r="C594" s="3">
        <v>45355</v>
      </c>
      <c r="D594" t="s">
        <v>947</v>
      </c>
      <c r="E594" s="3">
        <v>45360</v>
      </c>
      <c r="F594" t="s">
        <v>2894</v>
      </c>
      <c r="G594" t="s">
        <v>84</v>
      </c>
      <c r="H594" t="str">
        <f t="shared" si="135"/>
        <v>Mira Das</v>
      </c>
      <c r="I594" t="s">
        <v>71</v>
      </c>
      <c r="J594" t="str">
        <f t="shared" si="136"/>
        <v>Consumer</v>
      </c>
      <c r="K594" t="s">
        <v>7</v>
      </c>
      <c r="L594" t="str">
        <f t="shared" si="137"/>
        <v>East</v>
      </c>
      <c r="M594" t="s">
        <v>160</v>
      </c>
      <c r="N594" t="str">
        <f t="shared" si="138"/>
        <v>West Bengal</v>
      </c>
      <c r="O594" t="s">
        <v>161</v>
      </c>
      <c r="P594" t="str">
        <f t="shared" si="139"/>
        <v>Kolkata</v>
      </c>
      <c r="Q594" t="s">
        <v>24</v>
      </c>
      <c r="R594" t="str">
        <f t="shared" si="140"/>
        <v>Technology</v>
      </c>
      <c r="S594" t="s">
        <v>126</v>
      </c>
      <c r="T594" t="str">
        <f t="shared" si="141"/>
        <v>Accessories</v>
      </c>
      <c r="U594" t="s">
        <v>2895</v>
      </c>
      <c r="V594" t="str">
        <f t="shared" si="142"/>
        <v>Classic Accessories 131</v>
      </c>
      <c r="W594" t="s">
        <v>90</v>
      </c>
      <c r="X594" t="str">
        <f t="shared" si="143"/>
        <v>Same Day</v>
      </c>
      <c r="Y594">
        <v>5</v>
      </c>
      <c r="Z594">
        <v>8</v>
      </c>
      <c r="AA594">
        <v>4401.41</v>
      </c>
      <c r="AB594">
        <v>0.15</v>
      </c>
      <c r="AC594">
        <f t="shared" si="144"/>
        <v>0.15</v>
      </c>
      <c r="AD594">
        <v>29929.59</v>
      </c>
      <c r="AE594">
        <f t="shared" si="145"/>
        <v>29929.588</v>
      </c>
      <c r="AF594">
        <v>22436.03</v>
      </c>
      <c r="AG594">
        <v>7493.56</v>
      </c>
      <c r="AH594">
        <f t="shared" si="146"/>
        <v>7493.558</v>
      </c>
      <c r="AI594">
        <f t="shared" si="147"/>
        <v>0.250372908574619</v>
      </c>
      <c r="AJ594" t="s">
        <v>77</v>
      </c>
      <c r="AK594" t="str">
        <f t="shared" si="148"/>
        <v>Paid</v>
      </c>
      <c r="AL594" t="s">
        <v>78</v>
      </c>
      <c r="AM594" t="str">
        <f t="shared" si="149"/>
        <v>Completed</v>
      </c>
      <c r="AN594">
        <v>3</v>
      </c>
      <c r="AO594">
        <v>2024</v>
      </c>
      <c r="AP594" t="s">
        <v>79</v>
      </c>
    </row>
    <row r="595" spans="1:42">
      <c r="A595" t="s">
        <v>2896</v>
      </c>
      <c r="B595" s="3" t="s">
        <v>1410</v>
      </c>
      <c r="C595" s="3">
        <v>45927</v>
      </c>
      <c r="D595" t="s">
        <v>2897</v>
      </c>
      <c r="E595" s="3">
        <v>45929</v>
      </c>
      <c r="F595" t="s">
        <v>2586</v>
      </c>
      <c r="G595" t="s">
        <v>103</v>
      </c>
      <c r="H595" t="str">
        <f t="shared" si="135"/>
        <v>Arjun Bose</v>
      </c>
      <c r="I595" t="s">
        <v>154</v>
      </c>
      <c r="J595" t="str">
        <f t="shared" si="136"/>
        <v>Home Office</v>
      </c>
      <c r="K595" t="s">
        <v>8</v>
      </c>
      <c r="L595" t="str">
        <f t="shared" si="137"/>
        <v>North</v>
      </c>
      <c r="M595" t="s">
        <v>214</v>
      </c>
      <c r="N595" t="str">
        <f t="shared" si="138"/>
        <v>Uttar Pradesh</v>
      </c>
      <c r="O595" t="s">
        <v>215</v>
      </c>
      <c r="P595" t="str">
        <f t="shared" si="139"/>
        <v>Noida</v>
      </c>
      <c r="Q595" t="s">
        <v>19</v>
      </c>
      <c r="R595" t="str">
        <f t="shared" si="140"/>
        <v>Furniture</v>
      </c>
      <c r="S595" t="s">
        <v>88</v>
      </c>
      <c r="T595" t="str">
        <f t="shared" si="141"/>
        <v>Tables</v>
      </c>
      <c r="U595" t="s">
        <v>2898</v>
      </c>
      <c r="V595" t="str">
        <f t="shared" si="142"/>
        <v>Eco Tables 550</v>
      </c>
      <c r="W595" t="s">
        <v>76</v>
      </c>
      <c r="X595" t="str">
        <f t="shared" si="143"/>
        <v>Second Class</v>
      </c>
      <c r="Y595">
        <v>2</v>
      </c>
      <c r="Z595">
        <v>9</v>
      </c>
      <c r="AA595">
        <v>4100.11</v>
      </c>
      <c r="AB595">
        <v>0.25</v>
      </c>
      <c r="AC595">
        <f t="shared" si="144"/>
        <v>0.25</v>
      </c>
      <c r="AD595">
        <v>27675.74</v>
      </c>
      <c r="AE595">
        <f t="shared" si="145"/>
        <v>27675.7425</v>
      </c>
      <c r="AF595">
        <v>15571.08</v>
      </c>
      <c r="AG595">
        <v>12104.66</v>
      </c>
      <c r="AH595">
        <f t="shared" si="146"/>
        <v>12104.6625</v>
      </c>
      <c r="AI595">
        <f t="shared" si="147"/>
        <v>0.437374444425475</v>
      </c>
      <c r="AJ595" t="s">
        <v>77</v>
      </c>
      <c r="AK595" t="str">
        <f t="shared" si="148"/>
        <v>Paid</v>
      </c>
      <c r="AL595" t="s">
        <v>78</v>
      </c>
      <c r="AM595" t="str">
        <f t="shared" si="149"/>
        <v>Completed</v>
      </c>
      <c r="AN595">
        <v>9</v>
      </c>
      <c r="AO595">
        <v>2025</v>
      </c>
      <c r="AP595" t="s">
        <v>79</v>
      </c>
    </row>
    <row r="596" spans="1:42">
      <c r="A596" t="s">
        <v>2899</v>
      </c>
      <c r="B596" s="3" t="s">
        <v>2900</v>
      </c>
      <c r="C596" s="3">
        <v>45554</v>
      </c>
      <c r="D596" t="s">
        <v>1186</v>
      </c>
      <c r="E596" s="3">
        <v>45556</v>
      </c>
      <c r="F596" t="s">
        <v>2901</v>
      </c>
      <c r="G596" t="s">
        <v>70</v>
      </c>
      <c r="H596" t="str">
        <f t="shared" si="135"/>
        <v>Karan Malhotra</v>
      </c>
      <c r="I596" t="s">
        <v>85</v>
      </c>
      <c r="J596" t="str">
        <f t="shared" si="136"/>
        <v>Small Business</v>
      </c>
      <c r="K596" t="s">
        <v>7</v>
      </c>
      <c r="L596" t="str">
        <f t="shared" si="137"/>
        <v>East</v>
      </c>
      <c r="M596" t="s">
        <v>160</v>
      </c>
      <c r="N596" t="str">
        <f t="shared" si="138"/>
        <v>West Bengal</v>
      </c>
      <c r="O596" t="s">
        <v>161</v>
      </c>
      <c r="P596" t="str">
        <f t="shared" si="139"/>
        <v>Kolkata</v>
      </c>
      <c r="Q596" t="s">
        <v>19</v>
      </c>
      <c r="R596" t="str">
        <f t="shared" si="140"/>
        <v>Furniture</v>
      </c>
      <c r="S596" t="s">
        <v>116</v>
      </c>
      <c r="T596" t="str">
        <f t="shared" si="141"/>
        <v>Chairs</v>
      </c>
      <c r="U596" t="s">
        <v>2902</v>
      </c>
      <c r="V596" t="str">
        <f t="shared" si="142"/>
        <v>Basic Chairs 932</v>
      </c>
      <c r="W596" t="s">
        <v>98</v>
      </c>
      <c r="X596" t="str">
        <f t="shared" si="143"/>
        <v>First Class</v>
      </c>
      <c r="Y596">
        <v>2</v>
      </c>
      <c r="Z596">
        <v>3</v>
      </c>
      <c r="AA596">
        <v>3981.76</v>
      </c>
      <c r="AB596">
        <v>0</v>
      </c>
      <c r="AC596">
        <f t="shared" si="144"/>
        <v>0</v>
      </c>
      <c r="AD596">
        <v>11945.28</v>
      </c>
      <c r="AE596">
        <f t="shared" si="145"/>
        <v>11945.28</v>
      </c>
      <c r="AF596">
        <v>9700.31</v>
      </c>
      <c r="AG596">
        <v>2244.97</v>
      </c>
      <c r="AH596">
        <f t="shared" si="146"/>
        <v>2244.97</v>
      </c>
      <c r="AI596">
        <f t="shared" si="147"/>
        <v>0.187937829837392</v>
      </c>
      <c r="AJ596" t="s">
        <v>77</v>
      </c>
      <c r="AK596" t="str">
        <f t="shared" si="148"/>
        <v>Paid</v>
      </c>
      <c r="AL596" t="s">
        <v>78</v>
      </c>
      <c r="AM596" t="str">
        <f t="shared" si="149"/>
        <v>Completed</v>
      </c>
      <c r="AN596">
        <v>9</v>
      </c>
      <c r="AO596">
        <v>2024</v>
      </c>
      <c r="AP596" t="s">
        <v>79</v>
      </c>
    </row>
    <row r="597" spans="1:42">
      <c r="A597" t="s">
        <v>2903</v>
      </c>
      <c r="B597" s="3" t="s">
        <v>2904</v>
      </c>
      <c r="C597" s="3">
        <v>45699</v>
      </c>
      <c r="D597" t="s">
        <v>2905</v>
      </c>
      <c r="E597" s="3">
        <v>45704</v>
      </c>
      <c r="F597" t="s">
        <v>2906</v>
      </c>
      <c r="G597" t="s">
        <v>84</v>
      </c>
      <c r="H597" t="str">
        <f t="shared" si="135"/>
        <v>Mira Das</v>
      </c>
      <c r="I597" t="s">
        <v>147</v>
      </c>
      <c r="J597" t="str">
        <f t="shared" si="136"/>
        <v>Corporate</v>
      </c>
      <c r="K597" t="s">
        <v>8</v>
      </c>
      <c r="L597" t="str">
        <f t="shared" si="137"/>
        <v>North</v>
      </c>
      <c r="M597" t="s">
        <v>214</v>
      </c>
      <c r="N597" t="str">
        <f t="shared" si="138"/>
        <v>Uttar Pradesh</v>
      </c>
      <c r="O597" t="s">
        <v>215</v>
      </c>
      <c r="P597" t="str">
        <f t="shared" si="139"/>
        <v>Noida</v>
      </c>
      <c r="Q597" t="s">
        <v>24</v>
      </c>
      <c r="R597" t="str">
        <f t="shared" si="140"/>
        <v>Technology</v>
      </c>
      <c r="S597" t="s">
        <v>265</v>
      </c>
      <c r="T597" t="str">
        <f t="shared" si="141"/>
        <v>Phones</v>
      </c>
      <c r="U597" t="s">
        <v>2907</v>
      </c>
      <c r="V597" t="str">
        <f t="shared" si="142"/>
        <v>Classic Phones 294</v>
      </c>
      <c r="W597" t="s">
        <v>98</v>
      </c>
      <c r="X597" t="str">
        <f t="shared" si="143"/>
        <v>First Class</v>
      </c>
      <c r="Y597">
        <v>5</v>
      </c>
      <c r="Z597">
        <v>8</v>
      </c>
      <c r="AA597">
        <v>1825.56</v>
      </c>
      <c r="AB597">
        <v>0.1</v>
      </c>
      <c r="AC597">
        <f t="shared" si="144"/>
        <v>0.1</v>
      </c>
      <c r="AD597">
        <v>13144.03</v>
      </c>
      <c r="AE597">
        <f t="shared" si="145"/>
        <v>13144.032</v>
      </c>
      <c r="AF597">
        <v>9764</v>
      </c>
      <c r="AG597">
        <v>3380.03</v>
      </c>
      <c r="AH597">
        <f t="shared" si="146"/>
        <v>3380.032</v>
      </c>
      <c r="AI597">
        <f t="shared" si="147"/>
        <v>0.25715336055177</v>
      </c>
      <c r="AJ597" t="s">
        <v>77</v>
      </c>
      <c r="AK597" t="str">
        <f t="shared" si="148"/>
        <v>Paid</v>
      </c>
      <c r="AL597" t="s">
        <v>78</v>
      </c>
      <c r="AM597" t="str">
        <f t="shared" si="149"/>
        <v>Completed</v>
      </c>
      <c r="AN597">
        <v>2</v>
      </c>
      <c r="AO597">
        <v>2025</v>
      </c>
      <c r="AP597" t="s">
        <v>79</v>
      </c>
    </row>
    <row r="598" spans="1:42">
      <c r="A598" t="s">
        <v>2908</v>
      </c>
      <c r="B598" s="3" t="s">
        <v>1494</v>
      </c>
      <c r="C598" s="3">
        <v>45392</v>
      </c>
      <c r="D598" t="s">
        <v>456</v>
      </c>
      <c r="E598" s="3">
        <v>45398</v>
      </c>
      <c r="F598" t="s">
        <v>2909</v>
      </c>
      <c r="G598" t="s">
        <v>146</v>
      </c>
      <c r="H598" t="str">
        <f t="shared" si="135"/>
        <v>Aditi Sen</v>
      </c>
      <c r="I598" t="s">
        <v>71</v>
      </c>
      <c r="J598" t="str">
        <f t="shared" si="136"/>
        <v>Consumer</v>
      </c>
      <c r="K598" t="s">
        <v>10</v>
      </c>
      <c r="L598" t="str">
        <f t="shared" si="137"/>
        <v>South</v>
      </c>
      <c r="M598" t="s">
        <v>285</v>
      </c>
      <c r="N598" t="str">
        <f t="shared" si="138"/>
        <v>Kerala</v>
      </c>
      <c r="O598" t="s">
        <v>286</v>
      </c>
      <c r="P598" t="str">
        <f t="shared" si="139"/>
        <v>Kochi</v>
      </c>
      <c r="Q598" t="s">
        <v>19</v>
      </c>
      <c r="R598" t="str">
        <f t="shared" si="140"/>
        <v>Furniture</v>
      </c>
      <c r="S598" t="s">
        <v>116</v>
      </c>
      <c r="T598" t="str">
        <f t="shared" si="141"/>
        <v>Chairs</v>
      </c>
      <c r="U598" t="s">
        <v>2910</v>
      </c>
      <c r="V598" t="str">
        <f t="shared" si="142"/>
        <v>Elite Chairs 700</v>
      </c>
      <c r="W598" t="s">
        <v>76</v>
      </c>
      <c r="X598" t="str">
        <f t="shared" si="143"/>
        <v>Second Class</v>
      </c>
      <c r="Y598">
        <v>6</v>
      </c>
      <c r="Z598">
        <v>9</v>
      </c>
      <c r="AA598">
        <v>2723.26</v>
      </c>
      <c r="AB598">
        <v>0.25</v>
      </c>
      <c r="AC598">
        <f t="shared" si="144"/>
        <v>0.25</v>
      </c>
      <c r="AD598">
        <v>18382.01</v>
      </c>
      <c r="AE598">
        <f t="shared" si="145"/>
        <v>18382.005</v>
      </c>
      <c r="AF598">
        <v>13108.2</v>
      </c>
      <c r="AG598">
        <v>5273.81</v>
      </c>
      <c r="AH598">
        <f t="shared" si="146"/>
        <v>5273.805</v>
      </c>
      <c r="AI598">
        <f t="shared" si="147"/>
        <v>0.286900422451196</v>
      </c>
      <c r="AJ598" t="s">
        <v>77</v>
      </c>
      <c r="AK598" t="str">
        <f t="shared" si="148"/>
        <v>Paid</v>
      </c>
      <c r="AL598" t="s">
        <v>78</v>
      </c>
      <c r="AM598" t="str">
        <f t="shared" si="149"/>
        <v>Completed</v>
      </c>
      <c r="AN598">
        <v>4</v>
      </c>
      <c r="AO598">
        <v>2024</v>
      </c>
      <c r="AP598" t="s">
        <v>79</v>
      </c>
    </row>
    <row r="599" spans="1:42">
      <c r="A599" t="s">
        <v>2911</v>
      </c>
      <c r="B599" s="3" t="s">
        <v>2912</v>
      </c>
      <c r="C599" s="3">
        <v>45846</v>
      </c>
      <c r="D599" t="s">
        <v>534</v>
      </c>
      <c r="E599" s="3">
        <v>45846</v>
      </c>
      <c r="F599" t="s">
        <v>2913</v>
      </c>
      <c r="G599" t="s">
        <v>146</v>
      </c>
      <c r="H599" t="str">
        <f t="shared" si="135"/>
        <v>Aditi Sen</v>
      </c>
      <c r="I599" t="s">
        <v>71</v>
      </c>
      <c r="J599" t="str">
        <f t="shared" si="136"/>
        <v>Consumer</v>
      </c>
      <c r="K599" t="s">
        <v>10</v>
      </c>
      <c r="L599" t="str">
        <f t="shared" si="137"/>
        <v>South</v>
      </c>
      <c r="M599" t="s">
        <v>104</v>
      </c>
      <c r="N599" t="str">
        <f t="shared" si="138"/>
        <v>Telangana</v>
      </c>
      <c r="O599" t="s">
        <v>105</v>
      </c>
      <c r="P599" t="str">
        <f t="shared" si="139"/>
        <v>Hyderabad</v>
      </c>
      <c r="Q599" t="s">
        <v>24</v>
      </c>
      <c r="R599" t="str">
        <f t="shared" si="140"/>
        <v>Technology</v>
      </c>
      <c r="S599" t="s">
        <v>133</v>
      </c>
      <c r="T599" t="str">
        <f t="shared" si="141"/>
        <v>Copiers</v>
      </c>
      <c r="U599" t="s">
        <v>2914</v>
      </c>
      <c r="V599" t="str">
        <f t="shared" si="142"/>
        <v>Prime Copiers 969</v>
      </c>
      <c r="W599" t="s">
        <v>90</v>
      </c>
      <c r="X599" t="str">
        <f t="shared" si="143"/>
        <v>Same Day</v>
      </c>
      <c r="Y599">
        <v>0</v>
      </c>
      <c r="Z599">
        <v>9</v>
      </c>
      <c r="AA599">
        <v>274.88</v>
      </c>
      <c r="AB599">
        <v>0.25</v>
      </c>
      <c r="AC599">
        <f t="shared" si="144"/>
        <v>0.25</v>
      </c>
      <c r="AD599">
        <v>1855.44</v>
      </c>
      <c r="AE599">
        <f t="shared" si="145"/>
        <v>1855.44</v>
      </c>
      <c r="AF599">
        <v>1262.74</v>
      </c>
      <c r="AG599">
        <v>592.7</v>
      </c>
      <c r="AH599">
        <f t="shared" si="146"/>
        <v>592.7</v>
      </c>
      <c r="AI599">
        <f t="shared" si="147"/>
        <v>0.31943905488725</v>
      </c>
      <c r="AJ599" t="s">
        <v>77</v>
      </c>
      <c r="AK599" t="str">
        <f t="shared" si="148"/>
        <v>Paid</v>
      </c>
      <c r="AL599" t="s">
        <v>78</v>
      </c>
      <c r="AM599" t="str">
        <f t="shared" si="149"/>
        <v>Completed</v>
      </c>
      <c r="AN599">
        <v>7</v>
      </c>
      <c r="AO599">
        <v>2025</v>
      </c>
      <c r="AP599" t="s">
        <v>79</v>
      </c>
    </row>
    <row r="600" spans="1:42">
      <c r="A600" t="s">
        <v>2915</v>
      </c>
      <c r="B600" s="3" t="s">
        <v>2495</v>
      </c>
      <c r="C600" s="3">
        <v>45521</v>
      </c>
      <c r="D600" t="s">
        <v>2916</v>
      </c>
      <c r="E600" s="3">
        <v>45528</v>
      </c>
      <c r="F600" t="s">
        <v>2917</v>
      </c>
      <c r="G600" t="s">
        <v>113</v>
      </c>
      <c r="H600" t="str">
        <f t="shared" si="135"/>
        <v>Ananya Rao</v>
      </c>
      <c r="I600" t="s">
        <v>147</v>
      </c>
      <c r="J600" t="str">
        <f t="shared" si="136"/>
        <v>Corporate</v>
      </c>
      <c r="K600" t="s">
        <v>7</v>
      </c>
      <c r="L600" t="str">
        <f t="shared" si="137"/>
        <v>East</v>
      </c>
      <c r="M600" t="s">
        <v>160</v>
      </c>
      <c r="N600" t="str">
        <f t="shared" si="138"/>
        <v>West Bengal</v>
      </c>
      <c r="O600" t="s">
        <v>161</v>
      </c>
      <c r="P600" t="str">
        <f t="shared" si="139"/>
        <v>Kolkata</v>
      </c>
      <c r="Q600" t="s">
        <v>24</v>
      </c>
      <c r="R600" t="str">
        <f t="shared" si="140"/>
        <v>Technology</v>
      </c>
      <c r="S600" t="s">
        <v>133</v>
      </c>
      <c r="T600" t="str">
        <f t="shared" si="141"/>
        <v>Copiers</v>
      </c>
      <c r="U600" t="s">
        <v>2918</v>
      </c>
      <c r="V600" t="str">
        <f t="shared" si="142"/>
        <v>Eco Copiers 268</v>
      </c>
      <c r="W600" t="s">
        <v>90</v>
      </c>
      <c r="X600" t="str">
        <f t="shared" si="143"/>
        <v>Same Day</v>
      </c>
      <c r="Y600">
        <v>7</v>
      </c>
      <c r="Z600">
        <v>3</v>
      </c>
      <c r="AA600">
        <v>1490.69</v>
      </c>
      <c r="AB600">
        <v>0.25</v>
      </c>
      <c r="AC600">
        <f t="shared" si="144"/>
        <v>0.25</v>
      </c>
      <c r="AD600">
        <v>3354.05</v>
      </c>
      <c r="AE600">
        <f t="shared" si="145"/>
        <v>3354.0525</v>
      </c>
      <c r="AF600">
        <v>2672.67</v>
      </c>
      <c r="AG600">
        <v>681.38</v>
      </c>
      <c r="AH600">
        <f t="shared" si="146"/>
        <v>681.3825</v>
      </c>
      <c r="AI600">
        <f t="shared" si="147"/>
        <v>0.203152007906853</v>
      </c>
      <c r="AJ600" t="s">
        <v>77</v>
      </c>
      <c r="AK600" t="str">
        <f t="shared" si="148"/>
        <v>Paid</v>
      </c>
      <c r="AL600" t="s">
        <v>78</v>
      </c>
      <c r="AM600" t="str">
        <f t="shared" si="149"/>
        <v>Completed</v>
      </c>
      <c r="AN600">
        <v>8</v>
      </c>
      <c r="AO600">
        <v>2024</v>
      </c>
      <c r="AP600" t="s">
        <v>79</v>
      </c>
    </row>
    <row r="601" spans="1:42">
      <c r="A601" t="s">
        <v>2919</v>
      </c>
      <c r="B601" s="3" t="s">
        <v>2920</v>
      </c>
      <c r="C601" s="3">
        <v>45523</v>
      </c>
      <c r="D601" t="s">
        <v>1680</v>
      </c>
      <c r="E601" s="3">
        <v>45525</v>
      </c>
      <c r="F601" t="s">
        <v>2921</v>
      </c>
      <c r="G601" t="s">
        <v>103</v>
      </c>
      <c r="H601" t="str">
        <f t="shared" si="135"/>
        <v>Arjun Bose</v>
      </c>
      <c r="I601" t="s">
        <v>71</v>
      </c>
      <c r="J601" t="str">
        <f t="shared" si="136"/>
        <v>Consumer</v>
      </c>
      <c r="K601" t="s">
        <v>8</v>
      </c>
      <c r="L601" t="str">
        <f t="shared" si="137"/>
        <v>North</v>
      </c>
      <c r="M601" t="s">
        <v>194</v>
      </c>
      <c r="N601" t="str">
        <f t="shared" si="138"/>
        <v>Punjab</v>
      </c>
      <c r="O601" t="s">
        <v>195</v>
      </c>
      <c r="P601" t="str">
        <f t="shared" si="139"/>
        <v>Ludhiana</v>
      </c>
      <c r="Q601" t="s">
        <v>24</v>
      </c>
      <c r="R601" t="str">
        <f t="shared" si="140"/>
        <v>Technology</v>
      </c>
      <c r="S601" t="s">
        <v>265</v>
      </c>
      <c r="T601" t="str">
        <f t="shared" si="141"/>
        <v>Phones</v>
      </c>
      <c r="U601" t="s">
        <v>2922</v>
      </c>
      <c r="V601" t="str">
        <f t="shared" si="142"/>
        <v>Pro Phones 588</v>
      </c>
      <c r="W601" t="s">
        <v>98</v>
      </c>
      <c r="X601" t="str">
        <f t="shared" si="143"/>
        <v>First Class</v>
      </c>
      <c r="Y601">
        <v>2</v>
      </c>
      <c r="Z601">
        <v>3</v>
      </c>
      <c r="AA601">
        <v>1103.54</v>
      </c>
      <c r="AB601">
        <v>0.25</v>
      </c>
      <c r="AC601">
        <f t="shared" si="144"/>
        <v>0.25</v>
      </c>
      <c r="AD601">
        <v>2482.97</v>
      </c>
      <c r="AE601">
        <f t="shared" si="145"/>
        <v>2482.965</v>
      </c>
      <c r="AF601">
        <v>1621.72</v>
      </c>
      <c r="AG601">
        <v>861.25</v>
      </c>
      <c r="AH601">
        <f t="shared" si="146"/>
        <v>861.245</v>
      </c>
      <c r="AI601">
        <f t="shared" si="147"/>
        <v>0.346861514358841</v>
      </c>
      <c r="AJ601" t="s">
        <v>77</v>
      </c>
      <c r="AK601" t="str">
        <f t="shared" si="148"/>
        <v>Paid</v>
      </c>
      <c r="AL601" t="s">
        <v>78</v>
      </c>
      <c r="AM601" t="str">
        <f t="shared" si="149"/>
        <v>Completed</v>
      </c>
      <c r="AN601">
        <v>8</v>
      </c>
      <c r="AO601">
        <v>2024</v>
      </c>
      <c r="AP601" t="s">
        <v>79</v>
      </c>
    </row>
    <row r="602" spans="1:42">
      <c r="A602" t="s">
        <v>2923</v>
      </c>
      <c r="B602" s="3" t="s">
        <v>2924</v>
      </c>
      <c r="C602" s="3">
        <v>45721</v>
      </c>
      <c r="D602" t="s">
        <v>2925</v>
      </c>
      <c r="E602" s="3">
        <v>45728</v>
      </c>
      <c r="F602" t="s">
        <v>2926</v>
      </c>
      <c r="G602" t="s">
        <v>113</v>
      </c>
      <c r="H602" t="str">
        <f t="shared" si="135"/>
        <v>Ananya Rao</v>
      </c>
      <c r="I602" t="s">
        <v>147</v>
      </c>
      <c r="J602" t="str">
        <f t="shared" si="136"/>
        <v>Corporate</v>
      </c>
      <c r="K602" t="s">
        <v>11</v>
      </c>
      <c r="L602" t="str">
        <f t="shared" si="137"/>
        <v>West</v>
      </c>
      <c r="M602" t="s">
        <v>124</v>
      </c>
      <c r="N602" t="str">
        <f t="shared" si="138"/>
        <v>Madhya Pradesh</v>
      </c>
      <c r="O602" t="s">
        <v>125</v>
      </c>
      <c r="P602" t="str">
        <f t="shared" si="139"/>
        <v>Indore</v>
      </c>
      <c r="Q602" t="s">
        <v>22</v>
      </c>
      <c r="R602" t="str">
        <f t="shared" si="140"/>
        <v>Office Supplies</v>
      </c>
      <c r="S602" t="s">
        <v>196</v>
      </c>
      <c r="T602" t="str">
        <f t="shared" si="141"/>
        <v>Storage</v>
      </c>
      <c r="U602" t="s">
        <v>2927</v>
      </c>
      <c r="V602" t="str">
        <f t="shared" si="142"/>
        <v>Prime Storage 432</v>
      </c>
      <c r="W602" t="s">
        <v>90</v>
      </c>
      <c r="X602" t="str">
        <f t="shared" si="143"/>
        <v>Same Day</v>
      </c>
      <c r="Y602">
        <v>7</v>
      </c>
      <c r="Z602">
        <v>3</v>
      </c>
      <c r="AA602">
        <v>3682.75</v>
      </c>
      <c r="AC602">
        <f t="shared" si="144"/>
        <v>0</v>
      </c>
      <c r="AD602">
        <v>11048.25</v>
      </c>
      <c r="AE602">
        <f t="shared" si="145"/>
        <v>11048.25</v>
      </c>
      <c r="AF602">
        <v>9062.72</v>
      </c>
      <c r="AG602">
        <v>1985.53</v>
      </c>
      <c r="AH602">
        <f t="shared" si="146"/>
        <v>1985.53</v>
      </c>
      <c r="AI602">
        <f t="shared" si="147"/>
        <v>0.17971443441269</v>
      </c>
      <c r="AJ602" t="s">
        <v>77</v>
      </c>
      <c r="AK602" t="str">
        <f t="shared" si="148"/>
        <v>Paid</v>
      </c>
      <c r="AL602" t="s">
        <v>78</v>
      </c>
      <c r="AM602" t="str">
        <f t="shared" si="149"/>
        <v>Completed</v>
      </c>
      <c r="AN602">
        <v>3</v>
      </c>
      <c r="AO602">
        <v>2025</v>
      </c>
      <c r="AP602" t="s">
        <v>222</v>
      </c>
    </row>
    <row r="603" spans="1:42">
      <c r="A603" t="s">
        <v>2928</v>
      </c>
      <c r="B603" s="3" t="s">
        <v>2929</v>
      </c>
      <c r="C603" s="3">
        <v>45317</v>
      </c>
      <c r="D603" t="s">
        <v>2930</v>
      </c>
      <c r="E603" s="3">
        <v>45322</v>
      </c>
      <c r="F603" t="s">
        <v>2931</v>
      </c>
      <c r="G603" t="s">
        <v>113</v>
      </c>
      <c r="H603" t="str">
        <f t="shared" si="135"/>
        <v>Ananya Rao</v>
      </c>
      <c r="I603" t="s">
        <v>154</v>
      </c>
      <c r="J603" t="str">
        <f t="shared" si="136"/>
        <v>Home Office</v>
      </c>
      <c r="K603" t="s">
        <v>7</v>
      </c>
      <c r="L603" t="str">
        <f t="shared" si="137"/>
        <v>East</v>
      </c>
      <c r="M603" t="s">
        <v>160</v>
      </c>
      <c r="N603" t="str">
        <f t="shared" si="138"/>
        <v>West Bengal</v>
      </c>
      <c r="O603" t="s">
        <v>161</v>
      </c>
      <c r="P603" t="str">
        <f t="shared" si="139"/>
        <v>Kolkata</v>
      </c>
      <c r="Q603" t="s">
        <v>22</v>
      </c>
      <c r="R603" t="str">
        <f t="shared" si="140"/>
        <v>Office Supplies</v>
      </c>
      <c r="S603" t="s">
        <v>74</v>
      </c>
      <c r="T603" t="str">
        <f t="shared" si="141"/>
        <v>Paper</v>
      </c>
      <c r="U603" t="s">
        <v>2932</v>
      </c>
      <c r="V603" t="str">
        <f t="shared" si="142"/>
        <v>Basic Paper 452</v>
      </c>
      <c r="W603" t="s">
        <v>76</v>
      </c>
      <c r="X603" t="str">
        <f t="shared" si="143"/>
        <v>Second Class</v>
      </c>
      <c r="Y603">
        <v>5</v>
      </c>
      <c r="Z603">
        <v>5</v>
      </c>
      <c r="AA603">
        <v>1615.03</v>
      </c>
      <c r="AB603">
        <v>0.2</v>
      </c>
      <c r="AC603">
        <f t="shared" si="144"/>
        <v>0.2</v>
      </c>
      <c r="AD603">
        <v>6460.12</v>
      </c>
      <c r="AE603">
        <f t="shared" si="145"/>
        <v>6460.12</v>
      </c>
      <c r="AF603">
        <v>3604.03</v>
      </c>
      <c r="AG603">
        <v>2856.09</v>
      </c>
      <c r="AH603">
        <f t="shared" si="146"/>
        <v>2856.09</v>
      </c>
      <c r="AI603">
        <f t="shared" si="147"/>
        <v>0.44211098245853</v>
      </c>
      <c r="AJ603" t="s">
        <v>77</v>
      </c>
      <c r="AK603" t="str">
        <f t="shared" si="148"/>
        <v>Paid</v>
      </c>
      <c r="AL603" t="s">
        <v>78</v>
      </c>
      <c r="AM603" t="str">
        <f t="shared" si="149"/>
        <v>Completed</v>
      </c>
      <c r="AN603">
        <v>1</v>
      </c>
      <c r="AO603">
        <v>2024</v>
      </c>
      <c r="AP603" t="s">
        <v>79</v>
      </c>
    </row>
    <row r="604" spans="1:42">
      <c r="A604" t="s">
        <v>2933</v>
      </c>
      <c r="B604" s="3" t="s">
        <v>2934</v>
      </c>
      <c r="C604" s="3">
        <v>45588</v>
      </c>
      <c r="D604" t="s">
        <v>2935</v>
      </c>
      <c r="E604" s="3">
        <v>45595</v>
      </c>
      <c r="F604" t="s">
        <v>2936</v>
      </c>
      <c r="G604" t="s">
        <v>202</v>
      </c>
      <c r="H604" t="str">
        <f t="shared" si="135"/>
        <v>Aarav Sharma</v>
      </c>
      <c r="I604" t="s">
        <v>71</v>
      </c>
      <c r="J604" t="str">
        <f t="shared" si="136"/>
        <v>Consumer</v>
      </c>
      <c r="K604" t="s">
        <v>7</v>
      </c>
      <c r="L604" t="str">
        <f t="shared" si="137"/>
        <v>East</v>
      </c>
      <c r="M604" t="s">
        <v>354</v>
      </c>
      <c r="N604" t="str">
        <f t="shared" si="138"/>
        <v>Jharkhand</v>
      </c>
      <c r="O604" t="s">
        <v>355</v>
      </c>
      <c r="P604" t="str">
        <f t="shared" si="139"/>
        <v>Ranchi</v>
      </c>
      <c r="Q604" t="s">
        <v>24</v>
      </c>
      <c r="R604" t="str">
        <f t="shared" si="140"/>
        <v>Technology</v>
      </c>
      <c r="S604" t="s">
        <v>133</v>
      </c>
      <c r="T604" t="str">
        <f t="shared" si="141"/>
        <v>Copiers</v>
      </c>
      <c r="U604" t="s">
        <v>2937</v>
      </c>
      <c r="V604" t="str">
        <f t="shared" si="142"/>
        <v>Max Copiers 477</v>
      </c>
      <c r="W604" t="s">
        <v>76</v>
      </c>
      <c r="X604" t="str">
        <f t="shared" si="143"/>
        <v>Second Class</v>
      </c>
      <c r="Y604">
        <v>7</v>
      </c>
      <c r="Z604">
        <v>9</v>
      </c>
      <c r="AA604">
        <v>3423.82</v>
      </c>
      <c r="AB604">
        <v>0.15</v>
      </c>
      <c r="AC604">
        <f t="shared" si="144"/>
        <v>0.15</v>
      </c>
      <c r="AD604">
        <v>26192.22</v>
      </c>
      <c r="AE604">
        <f t="shared" si="145"/>
        <v>26192.223</v>
      </c>
      <c r="AF604">
        <v>20795.55</v>
      </c>
      <c r="AG604">
        <v>5396.67</v>
      </c>
      <c r="AH604">
        <f t="shared" si="146"/>
        <v>5396.673</v>
      </c>
      <c r="AI604">
        <f t="shared" si="147"/>
        <v>0.20604104508426</v>
      </c>
      <c r="AJ604" t="s">
        <v>77</v>
      </c>
      <c r="AK604" t="str">
        <f t="shared" si="148"/>
        <v>Paid</v>
      </c>
      <c r="AL604" t="s">
        <v>78</v>
      </c>
      <c r="AM604" t="str">
        <f t="shared" si="149"/>
        <v>Completed</v>
      </c>
      <c r="AN604">
        <v>10</v>
      </c>
      <c r="AO604">
        <v>2024</v>
      </c>
      <c r="AP604" t="s">
        <v>79</v>
      </c>
    </row>
    <row r="605" spans="1:42">
      <c r="A605" t="s">
        <v>2938</v>
      </c>
      <c r="B605" s="3" t="s">
        <v>2939</v>
      </c>
      <c r="C605" s="3">
        <v>45660</v>
      </c>
      <c r="D605" t="s">
        <v>638</v>
      </c>
      <c r="E605" s="3">
        <v>45668</v>
      </c>
      <c r="F605" t="s">
        <v>526</v>
      </c>
      <c r="G605" t="s">
        <v>123</v>
      </c>
      <c r="H605" t="str">
        <f t="shared" si="135"/>
        <v>Vikram Iyer</v>
      </c>
      <c r="I605" t="s">
        <v>147</v>
      </c>
      <c r="J605" t="str">
        <f t="shared" si="136"/>
        <v>Corporate</v>
      </c>
      <c r="K605" t="s">
        <v>7</v>
      </c>
      <c r="L605" t="str">
        <f t="shared" si="137"/>
        <v>East</v>
      </c>
      <c r="M605" t="s">
        <v>227</v>
      </c>
      <c r="N605" t="str">
        <f t="shared" si="138"/>
        <v>Bihar</v>
      </c>
      <c r="O605" t="s">
        <v>228</v>
      </c>
      <c r="P605" t="str">
        <f t="shared" si="139"/>
        <v>Patna</v>
      </c>
      <c r="Q605" t="s">
        <v>25</v>
      </c>
      <c r="R605" t="str">
        <f t="shared" si="140"/>
        <v>Technology</v>
      </c>
      <c r="S605" t="s">
        <v>126</v>
      </c>
      <c r="T605" t="str">
        <f t="shared" si="141"/>
        <v>Accessories</v>
      </c>
      <c r="U605" t="s">
        <v>2940</v>
      </c>
      <c r="V605" t="str">
        <f t="shared" si="142"/>
        <v>Prime Accessories 300</v>
      </c>
      <c r="W605" t="s">
        <v>98</v>
      </c>
      <c r="X605" t="str">
        <f t="shared" si="143"/>
        <v>First Class</v>
      </c>
      <c r="Y605">
        <v>8</v>
      </c>
      <c r="Z605">
        <v>8</v>
      </c>
      <c r="AA605">
        <v>2574.29</v>
      </c>
      <c r="AB605">
        <v>0.05</v>
      </c>
      <c r="AC605">
        <f t="shared" si="144"/>
        <v>0.05</v>
      </c>
      <c r="AD605">
        <v>19564.6</v>
      </c>
      <c r="AE605">
        <f t="shared" si="145"/>
        <v>19564.604</v>
      </c>
      <c r="AF605">
        <v>11154.59</v>
      </c>
      <c r="AG605">
        <v>8410.01</v>
      </c>
      <c r="AH605">
        <f t="shared" si="146"/>
        <v>8410.014</v>
      </c>
      <c r="AI605">
        <f t="shared" si="147"/>
        <v>0.429858636545876</v>
      </c>
      <c r="AJ605" t="s">
        <v>177</v>
      </c>
      <c r="AK605" t="str">
        <f t="shared" si="148"/>
        <v>Pending</v>
      </c>
      <c r="AL605" t="s">
        <v>118</v>
      </c>
      <c r="AM605" t="str">
        <f t="shared" si="149"/>
        <v>Cancelled</v>
      </c>
      <c r="AN605">
        <v>1</v>
      </c>
      <c r="AO605">
        <v>2025</v>
      </c>
      <c r="AP605" t="s">
        <v>79</v>
      </c>
    </row>
    <row r="606" spans="1:42">
      <c r="A606" t="s">
        <v>2941</v>
      </c>
      <c r="B606" s="3" t="s">
        <v>2942</v>
      </c>
      <c r="C606" s="3">
        <v>45693</v>
      </c>
      <c r="D606" t="s">
        <v>2943</v>
      </c>
      <c r="E606" s="3">
        <v>45694</v>
      </c>
      <c r="F606" t="s">
        <v>2944</v>
      </c>
      <c r="G606" t="s">
        <v>113</v>
      </c>
      <c r="H606" t="str">
        <f t="shared" si="135"/>
        <v>Ananya Rao</v>
      </c>
      <c r="I606" t="s">
        <v>71</v>
      </c>
      <c r="J606" t="str">
        <f t="shared" si="136"/>
        <v>Consumer</v>
      </c>
      <c r="K606" t="s">
        <v>11</v>
      </c>
      <c r="L606" t="str">
        <f t="shared" si="137"/>
        <v>West</v>
      </c>
      <c r="M606" t="s">
        <v>124</v>
      </c>
      <c r="N606" t="str">
        <f t="shared" si="138"/>
        <v>Madhya Pradesh</v>
      </c>
      <c r="O606" t="s">
        <v>125</v>
      </c>
      <c r="P606" t="str">
        <f t="shared" si="139"/>
        <v>Indore</v>
      </c>
      <c r="Q606" t="s">
        <v>22</v>
      </c>
      <c r="R606" t="str">
        <f t="shared" si="140"/>
        <v>Office Supplies</v>
      </c>
      <c r="S606" t="s">
        <v>239</v>
      </c>
      <c r="T606" t="str">
        <f t="shared" si="141"/>
        <v>Binders</v>
      </c>
      <c r="U606" t="s">
        <v>2945</v>
      </c>
      <c r="V606" t="str">
        <f t="shared" si="142"/>
        <v>Max Binders 547</v>
      </c>
      <c r="W606" t="s">
        <v>90</v>
      </c>
      <c r="X606" t="str">
        <f t="shared" si="143"/>
        <v>Same Day</v>
      </c>
      <c r="Y606">
        <v>1</v>
      </c>
      <c r="Z606">
        <v>3</v>
      </c>
      <c r="AA606">
        <v>1076.3</v>
      </c>
      <c r="AB606">
        <v>0</v>
      </c>
      <c r="AC606">
        <f t="shared" si="144"/>
        <v>0</v>
      </c>
      <c r="AD606">
        <v>3228.9</v>
      </c>
      <c r="AE606">
        <f t="shared" si="145"/>
        <v>3228.9</v>
      </c>
      <c r="AF606">
        <v>1853.23</v>
      </c>
      <c r="AG606">
        <v>1375.67</v>
      </c>
      <c r="AH606">
        <f t="shared" si="146"/>
        <v>1375.67</v>
      </c>
      <c r="AI606">
        <f t="shared" si="147"/>
        <v>0.42604911889498</v>
      </c>
      <c r="AJ606" t="s">
        <v>77</v>
      </c>
      <c r="AK606" t="str">
        <f t="shared" si="148"/>
        <v>Paid</v>
      </c>
      <c r="AL606" t="s">
        <v>78</v>
      </c>
      <c r="AM606" t="str">
        <f t="shared" si="149"/>
        <v>Completed</v>
      </c>
      <c r="AN606">
        <v>2</v>
      </c>
      <c r="AO606">
        <v>2025</v>
      </c>
      <c r="AP606" t="s">
        <v>79</v>
      </c>
    </row>
    <row r="607" spans="1:42">
      <c r="A607" t="s">
        <v>2946</v>
      </c>
      <c r="B607" s="3" t="s">
        <v>2670</v>
      </c>
      <c r="C607" s="3">
        <v>45847</v>
      </c>
      <c r="D607" t="s">
        <v>2947</v>
      </c>
      <c r="E607" s="3">
        <v>45851</v>
      </c>
      <c r="F607" t="s">
        <v>2948</v>
      </c>
      <c r="G607" t="s">
        <v>411</v>
      </c>
      <c r="H607" t="str">
        <f t="shared" si="135"/>
        <v>Kabir Singh</v>
      </c>
      <c r="I607" t="s">
        <v>147</v>
      </c>
      <c r="J607" t="str">
        <f t="shared" si="136"/>
        <v>Corporate</v>
      </c>
      <c r="K607" t="s">
        <v>11</v>
      </c>
      <c r="L607" t="str">
        <f t="shared" si="137"/>
        <v>West</v>
      </c>
      <c r="M607" t="s">
        <v>292</v>
      </c>
      <c r="N607" t="str">
        <f t="shared" si="138"/>
        <v>Goa</v>
      </c>
      <c r="O607" t="s">
        <v>293</v>
      </c>
      <c r="P607" t="str">
        <f t="shared" si="139"/>
        <v>Panaji</v>
      </c>
      <c r="Q607" t="s">
        <v>19</v>
      </c>
      <c r="R607" t="str">
        <f t="shared" si="140"/>
        <v>Furniture</v>
      </c>
      <c r="S607" t="s">
        <v>106</v>
      </c>
      <c r="T607" t="str">
        <f t="shared" si="141"/>
        <v>Furnishings</v>
      </c>
      <c r="U607" t="s">
        <v>2949</v>
      </c>
      <c r="V607" t="str">
        <f t="shared" si="142"/>
        <v>Pro Furnishings 267</v>
      </c>
      <c r="W607" t="s">
        <v>76</v>
      </c>
      <c r="X607" t="str">
        <f t="shared" si="143"/>
        <v>Second Class</v>
      </c>
      <c r="Y607">
        <v>4</v>
      </c>
      <c r="Z607">
        <v>5</v>
      </c>
      <c r="AA607">
        <v>1680.01</v>
      </c>
      <c r="AB607" t="s">
        <v>1223</v>
      </c>
      <c r="AC607" t="str">
        <f t="shared" si="144"/>
        <v>85%</v>
      </c>
      <c r="AD607">
        <v>7560.04</v>
      </c>
      <c r="AE607">
        <f t="shared" si="145"/>
        <v>1260.0075</v>
      </c>
      <c r="AF607">
        <v>6448.05</v>
      </c>
      <c r="AG607">
        <v>1111.99</v>
      </c>
      <c r="AH607">
        <f t="shared" si="146"/>
        <v>-5188.0425</v>
      </c>
      <c r="AI607">
        <f t="shared" si="147"/>
        <v>-4.11746953887179</v>
      </c>
      <c r="AJ607" t="s">
        <v>77</v>
      </c>
      <c r="AK607" t="str">
        <f t="shared" si="148"/>
        <v>Paid</v>
      </c>
      <c r="AL607" t="s">
        <v>118</v>
      </c>
      <c r="AM607" t="str">
        <f t="shared" si="149"/>
        <v>Cancelled</v>
      </c>
      <c r="AN607">
        <v>7</v>
      </c>
      <c r="AO607">
        <v>2025</v>
      </c>
      <c r="AP607" t="s">
        <v>79</v>
      </c>
    </row>
    <row r="608" spans="1:42">
      <c r="A608" t="s">
        <v>2950</v>
      </c>
      <c r="B608" s="3" t="s">
        <v>2951</v>
      </c>
      <c r="C608" s="3">
        <v>45710</v>
      </c>
      <c r="D608" t="s">
        <v>2585</v>
      </c>
      <c r="E608" s="3">
        <v>45716</v>
      </c>
      <c r="F608" t="s">
        <v>2952</v>
      </c>
      <c r="G608" t="s">
        <v>188</v>
      </c>
      <c r="H608" t="str">
        <f t="shared" si="135"/>
        <v>Rahul Verma</v>
      </c>
      <c r="I608" t="s">
        <v>154</v>
      </c>
      <c r="J608" t="str">
        <f t="shared" si="136"/>
        <v>Home Office</v>
      </c>
      <c r="K608" t="s">
        <v>11</v>
      </c>
      <c r="L608" t="str">
        <f t="shared" si="137"/>
        <v>West</v>
      </c>
      <c r="M608" t="s">
        <v>124</v>
      </c>
      <c r="N608" t="str">
        <f t="shared" si="138"/>
        <v>Madhya Pradesh</v>
      </c>
      <c r="O608" t="s">
        <v>125</v>
      </c>
      <c r="P608" t="str">
        <f t="shared" si="139"/>
        <v>Indore</v>
      </c>
      <c r="Q608" t="s">
        <v>24</v>
      </c>
      <c r="R608" t="str">
        <f t="shared" si="140"/>
        <v>Technology</v>
      </c>
      <c r="S608" t="s">
        <v>133</v>
      </c>
      <c r="T608" t="str">
        <f t="shared" si="141"/>
        <v>Copiers</v>
      </c>
      <c r="U608" t="s">
        <v>2953</v>
      </c>
      <c r="V608" t="str">
        <f t="shared" si="142"/>
        <v>Max Copiers 520</v>
      </c>
      <c r="W608" t="s">
        <v>90</v>
      </c>
      <c r="X608" t="str">
        <f t="shared" si="143"/>
        <v>Same Day</v>
      </c>
      <c r="Y608">
        <v>6</v>
      </c>
      <c r="Z608">
        <v>3</v>
      </c>
      <c r="AA608">
        <v>3890.81</v>
      </c>
      <c r="AB608">
        <v>0.25</v>
      </c>
      <c r="AC608">
        <f t="shared" si="144"/>
        <v>0.25</v>
      </c>
      <c r="AD608">
        <v>8754.32</v>
      </c>
      <c r="AE608">
        <f t="shared" si="145"/>
        <v>8754.3225</v>
      </c>
      <c r="AF608">
        <v>6238.9</v>
      </c>
      <c r="AG608">
        <v>2515.42</v>
      </c>
      <c r="AH608">
        <f t="shared" si="146"/>
        <v>2515.4225</v>
      </c>
      <c r="AI608">
        <f t="shared" si="147"/>
        <v>0.287334913695492</v>
      </c>
      <c r="AJ608" t="s">
        <v>77</v>
      </c>
      <c r="AK608" t="str">
        <f t="shared" si="148"/>
        <v>Paid</v>
      </c>
      <c r="AL608" t="s">
        <v>78</v>
      </c>
      <c r="AM608" t="str">
        <f t="shared" si="149"/>
        <v>Completed</v>
      </c>
      <c r="AN608">
        <v>2</v>
      </c>
      <c r="AO608">
        <v>2025</v>
      </c>
      <c r="AP608" t="s">
        <v>79</v>
      </c>
    </row>
    <row r="609" spans="1:42">
      <c r="A609" t="s">
        <v>2954</v>
      </c>
      <c r="B609" s="3" t="s">
        <v>2905</v>
      </c>
      <c r="C609" s="3">
        <v>45704</v>
      </c>
      <c r="D609" t="s">
        <v>2951</v>
      </c>
      <c r="E609" s="3">
        <v>45710</v>
      </c>
      <c r="F609" t="s">
        <v>2955</v>
      </c>
      <c r="G609" t="s">
        <v>208</v>
      </c>
      <c r="H609" t="str">
        <f t="shared" si="135"/>
        <v>Sneha Kapoor</v>
      </c>
      <c r="I609" t="s">
        <v>154</v>
      </c>
      <c r="J609" t="str">
        <f t="shared" si="136"/>
        <v>Home Office</v>
      </c>
      <c r="K609" t="s">
        <v>7</v>
      </c>
      <c r="L609" t="str">
        <f t="shared" si="137"/>
        <v>East</v>
      </c>
      <c r="M609" t="s">
        <v>227</v>
      </c>
      <c r="N609" t="str">
        <f t="shared" si="138"/>
        <v>Bihar</v>
      </c>
      <c r="O609" t="s">
        <v>228</v>
      </c>
      <c r="P609" t="str">
        <f t="shared" si="139"/>
        <v>Patna</v>
      </c>
      <c r="Q609" t="s">
        <v>22</v>
      </c>
      <c r="R609" t="str">
        <f t="shared" si="140"/>
        <v>Office Supplies</v>
      </c>
      <c r="S609" t="s">
        <v>196</v>
      </c>
      <c r="T609" t="str">
        <f t="shared" si="141"/>
        <v>Storage</v>
      </c>
      <c r="U609" t="s">
        <v>2956</v>
      </c>
      <c r="V609" t="str">
        <f t="shared" si="142"/>
        <v>Max Storage 424</v>
      </c>
      <c r="W609" t="s">
        <v>90</v>
      </c>
      <c r="X609" t="str">
        <f t="shared" si="143"/>
        <v>Same Day</v>
      </c>
      <c r="Y609">
        <v>6</v>
      </c>
      <c r="Z609">
        <v>5</v>
      </c>
      <c r="AA609">
        <v>954.67</v>
      </c>
      <c r="AB609">
        <v>0.15</v>
      </c>
      <c r="AC609">
        <f t="shared" si="144"/>
        <v>0.15</v>
      </c>
      <c r="AD609">
        <v>4057.35</v>
      </c>
      <c r="AE609">
        <f t="shared" si="145"/>
        <v>4057.3475</v>
      </c>
      <c r="AF609">
        <v>2862.03</v>
      </c>
      <c r="AG609">
        <v>1195.32</v>
      </c>
      <c r="AH609">
        <f t="shared" si="146"/>
        <v>1195.3175</v>
      </c>
      <c r="AI609">
        <f t="shared" si="147"/>
        <v>0.294605650612869</v>
      </c>
      <c r="AJ609" t="s">
        <v>77</v>
      </c>
      <c r="AK609" t="str">
        <f t="shared" si="148"/>
        <v>Paid</v>
      </c>
      <c r="AL609" t="s">
        <v>78</v>
      </c>
      <c r="AM609" t="str">
        <f t="shared" si="149"/>
        <v>Completed</v>
      </c>
      <c r="AN609">
        <v>2</v>
      </c>
      <c r="AO609">
        <v>2025</v>
      </c>
      <c r="AP609" t="s">
        <v>79</v>
      </c>
    </row>
    <row r="610" spans="1:42">
      <c r="A610" t="s">
        <v>2957</v>
      </c>
      <c r="B610" s="3" t="s">
        <v>2207</v>
      </c>
      <c r="C610" s="3">
        <v>45464</v>
      </c>
      <c r="D610" t="s">
        <v>1607</v>
      </c>
      <c r="E610" s="3">
        <v>45466</v>
      </c>
      <c r="F610" t="s">
        <v>2631</v>
      </c>
      <c r="G610" t="s">
        <v>70</v>
      </c>
      <c r="H610" t="str">
        <f t="shared" si="135"/>
        <v>Karan Malhotra</v>
      </c>
      <c r="I610" t="s">
        <v>154</v>
      </c>
      <c r="J610" t="str">
        <f t="shared" si="136"/>
        <v>Home Office</v>
      </c>
      <c r="K610" t="s">
        <v>11</v>
      </c>
      <c r="L610" t="str">
        <f t="shared" si="137"/>
        <v>West</v>
      </c>
      <c r="M610" t="s">
        <v>292</v>
      </c>
      <c r="N610" t="str">
        <f t="shared" si="138"/>
        <v>Goa</v>
      </c>
      <c r="O610" t="s">
        <v>293</v>
      </c>
      <c r="P610" t="str">
        <f t="shared" si="139"/>
        <v>Panaji</v>
      </c>
      <c r="Q610" t="s">
        <v>19</v>
      </c>
      <c r="R610" t="str">
        <f t="shared" si="140"/>
        <v>Furniture</v>
      </c>
      <c r="S610" t="s">
        <v>106</v>
      </c>
      <c r="T610" t="str">
        <f t="shared" si="141"/>
        <v>Furnishings</v>
      </c>
      <c r="U610" t="s">
        <v>2958</v>
      </c>
      <c r="V610" t="str">
        <f t="shared" si="142"/>
        <v>Elite Furnishings 706</v>
      </c>
      <c r="W610" t="s">
        <v>76</v>
      </c>
      <c r="X610" t="str">
        <f t="shared" si="143"/>
        <v>Second Class</v>
      </c>
      <c r="Y610">
        <v>2</v>
      </c>
      <c r="Z610">
        <v>9</v>
      </c>
      <c r="AA610">
        <v>2153.75</v>
      </c>
      <c r="AB610">
        <v>0</v>
      </c>
      <c r="AC610">
        <f t="shared" si="144"/>
        <v>0</v>
      </c>
      <c r="AD610">
        <v>19383.75</v>
      </c>
      <c r="AE610">
        <f t="shared" si="145"/>
        <v>19383.75</v>
      </c>
      <c r="AF610">
        <v>11667.43</v>
      </c>
      <c r="AG610">
        <v>7716.32</v>
      </c>
      <c r="AH610">
        <f t="shared" si="146"/>
        <v>7716.32</v>
      </c>
      <c r="AI610">
        <f t="shared" si="147"/>
        <v>0.398081898497453</v>
      </c>
      <c r="AJ610" t="s">
        <v>77</v>
      </c>
      <c r="AK610" t="str">
        <f t="shared" si="148"/>
        <v>Paid</v>
      </c>
      <c r="AL610" t="s">
        <v>78</v>
      </c>
      <c r="AM610" t="str">
        <f t="shared" si="149"/>
        <v>Completed</v>
      </c>
      <c r="AN610">
        <v>6</v>
      </c>
      <c r="AO610">
        <v>2024</v>
      </c>
      <c r="AP610" t="s">
        <v>79</v>
      </c>
    </row>
    <row r="611" spans="1:42">
      <c r="A611" t="s">
        <v>2959</v>
      </c>
      <c r="B611" s="3" t="s">
        <v>2110</v>
      </c>
      <c r="C611" s="3">
        <v>45665</v>
      </c>
      <c r="D611" t="s">
        <v>1229</v>
      </c>
      <c r="E611" s="3">
        <v>45669</v>
      </c>
      <c r="F611" t="s">
        <v>2960</v>
      </c>
      <c r="G611" t="s">
        <v>208</v>
      </c>
      <c r="H611" t="str">
        <f t="shared" si="135"/>
        <v>Sneha Kapoor</v>
      </c>
      <c r="I611" t="s">
        <v>154</v>
      </c>
      <c r="J611" t="str">
        <f t="shared" si="136"/>
        <v>Home Office</v>
      </c>
      <c r="K611" t="s">
        <v>10</v>
      </c>
      <c r="L611" t="str">
        <f t="shared" si="137"/>
        <v>South</v>
      </c>
      <c r="M611" t="s">
        <v>272</v>
      </c>
      <c r="N611" t="str">
        <f t="shared" si="138"/>
        <v>Karnataka</v>
      </c>
      <c r="O611" t="s">
        <v>273</v>
      </c>
      <c r="P611" t="str">
        <f t="shared" si="139"/>
        <v>Bengaluru</v>
      </c>
      <c r="Q611" t="s">
        <v>19</v>
      </c>
      <c r="R611" t="str">
        <f t="shared" si="140"/>
        <v>Furniture</v>
      </c>
      <c r="S611" t="s">
        <v>116</v>
      </c>
      <c r="T611" t="str">
        <f t="shared" si="141"/>
        <v>Chairs</v>
      </c>
      <c r="U611" t="s">
        <v>2961</v>
      </c>
      <c r="V611" t="str">
        <f t="shared" si="142"/>
        <v>Pro Chairs 908</v>
      </c>
      <c r="W611" t="s">
        <v>108</v>
      </c>
      <c r="X611" t="str">
        <f t="shared" si="143"/>
        <v>Standard Class</v>
      </c>
      <c r="Y611">
        <v>4</v>
      </c>
      <c r="Z611">
        <v>7</v>
      </c>
      <c r="AA611">
        <v>4337.48</v>
      </c>
      <c r="AB611">
        <v>0</v>
      </c>
      <c r="AC611">
        <f t="shared" si="144"/>
        <v>0</v>
      </c>
      <c r="AD611">
        <v>30362.36</v>
      </c>
      <c r="AE611">
        <f t="shared" si="145"/>
        <v>30362.36</v>
      </c>
      <c r="AF611">
        <v>25065.4</v>
      </c>
      <c r="AG611">
        <v>5296.96</v>
      </c>
      <c r="AH611">
        <f t="shared" si="146"/>
        <v>5296.96</v>
      </c>
      <c r="AI611">
        <f t="shared" si="147"/>
        <v>0.174458111951772</v>
      </c>
      <c r="AJ611" t="s">
        <v>77</v>
      </c>
      <c r="AK611" t="str">
        <f t="shared" si="148"/>
        <v>Paid</v>
      </c>
      <c r="AL611" t="s">
        <v>78</v>
      </c>
      <c r="AM611" t="str">
        <f t="shared" si="149"/>
        <v>Completed</v>
      </c>
      <c r="AN611">
        <v>1</v>
      </c>
      <c r="AO611">
        <v>2025</v>
      </c>
      <c r="AP611" t="s">
        <v>79</v>
      </c>
    </row>
    <row r="612" spans="1:42">
      <c r="A612" t="s">
        <v>2962</v>
      </c>
      <c r="B612" s="3" t="s">
        <v>2963</v>
      </c>
      <c r="C612" s="3">
        <v>45432</v>
      </c>
      <c r="D612" t="s">
        <v>2964</v>
      </c>
      <c r="E612" s="3">
        <v>45432</v>
      </c>
      <c r="F612" t="s">
        <v>2135</v>
      </c>
      <c r="G612" t="s">
        <v>70</v>
      </c>
      <c r="H612" t="str">
        <f t="shared" si="135"/>
        <v>Karan Malhotra</v>
      </c>
      <c r="I612" t="s">
        <v>154</v>
      </c>
      <c r="J612" t="str">
        <f t="shared" si="136"/>
        <v>Home Office</v>
      </c>
      <c r="K612" t="s">
        <v>11</v>
      </c>
      <c r="L612" t="str">
        <f t="shared" si="137"/>
        <v>West</v>
      </c>
      <c r="M612" t="s">
        <v>124</v>
      </c>
      <c r="N612" t="str">
        <f t="shared" si="138"/>
        <v>Madhya Pradesh</v>
      </c>
      <c r="O612" t="s">
        <v>125</v>
      </c>
      <c r="P612" t="str">
        <f t="shared" si="139"/>
        <v>Indore</v>
      </c>
      <c r="Q612" t="s">
        <v>19</v>
      </c>
      <c r="R612" t="str">
        <f t="shared" si="140"/>
        <v>Furniture</v>
      </c>
      <c r="S612" t="s">
        <v>116</v>
      </c>
      <c r="T612" t="str">
        <f t="shared" si="141"/>
        <v>Chairs</v>
      </c>
      <c r="U612" t="s">
        <v>2965</v>
      </c>
      <c r="V612" t="str">
        <f t="shared" si="142"/>
        <v>Pro Chairs 712</v>
      </c>
      <c r="W612" t="s">
        <v>108</v>
      </c>
      <c r="X612" t="str">
        <f t="shared" si="143"/>
        <v>Standard Class</v>
      </c>
      <c r="Y612">
        <v>0</v>
      </c>
      <c r="Z612">
        <v>1</v>
      </c>
      <c r="AA612">
        <v>3032.95</v>
      </c>
      <c r="AB612">
        <v>0.1</v>
      </c>
      <c r="AC612">
        <f t="shared" si="144"/>
        <v>0.1</v>
      </c>
      <c r="AD612">
        <v>2729.65</v>
      </c>
      <c r="AE612">
        <f t="shared" si="145"/>
        <v>2729.655</v>
      </c>
      <c r="AF612">
        <v>1715.36</v>
      </c>
      <c r="AG612">
        <v>1014.29</v>
      </c>
      <c r="AH612">
        <f t="shared" si="146"/>
        <v>1014.295</v>
      </c>
      <c r="AI612">
        <f t="shared" si="147"/>
        <v>0.371583588402197</v>
      </c>
      <c r="AJ612" t="s">
        <v>77</v>
      </c>
      <c r="AK612" t="str">
        <f t="shared" si="148"/>
        <v>Paid</v>
      </c>
      <c r="AL612" t="s">
        <v>78</v>
      </c>
      <c r="AM612" t="str">
        <f t="shared" si="149"/>
        <v>Completed</v>
      </c>
      <c r="AN612">
        <v>5</v>
      </c>
      <c r="AO612">
        <v>2024</v>
      </c>
      <c r="AP612" t="s">
        <v>79</v>
      </c>
    </row>
    <row r="613" spans="1:42">
      <c r="A613" t="s">
        <v>2966</v>
      </c>
      <c r="B613" s="3" t="s">
        <v>2669</v>
      </c>
      <c r="C613" s="3">
        <v>45846</v>
      </c>
      <c r="D613" t="s">
        <v>2967</v>
      </c>
      <c r="E613" s="3">
        <v>45853</v>
      </c>
      <c r="F613" t="s">
        <v>2968</v>
      </c>
      <c r="G613" t="s">
        <v>113</v>
      </c>
      <c r="H613" t="str">
        <f t="shared" si="135"/>
        <v>Ananya Rao</v>
      </c>
      <c r="I613" t="s">
        <v>740</v>
      </c>
      <c r="J613" t="str">
        <f t="shared" si="136"/>
        <v>Small Business</v>
      </c>
      <c r="K613" t="s">
        <v>8</v>
      </c>
      <c r="L613" t="str">
        <f t="shared" si="137"/>
        <v>North</v>
      </c>
      <c r="M613" t="s">
        <v>72</v>
      </c>
      <c r="N613" t="str">
        <f t="shared" si="138"/>
        <v>Rajasthan</v>
      </c>
      <c r="O613" t="s">
        <v>73</v>
      </c>
      <c r="P613" t="str">
        <f t="shared" si="139"/>
        <v>Jaipur</v>
      </c>
      <c r="Q613" t="s">
        <v>22</v>
      </c>
      <c r="R613" t="str">
        <f t="shared" si="140"/>
        <v>Office Supplies</v>
      </c>
      <c r="S613" t="s">
        <v>239</v>
      </c>
      <c r="T613" t="str">
        <f t="shared" si="141"/>
        <v>Binders</v>
      </c>
      <c r="U613" t="s">
        <v>2969</v>
      </c>
      <c r="V613" t="str">
        <f t="shared" si="142"/>
        <v>Max Binders 785</v>
      </c>
      <c r="W613" t="s">
        <v>90</v>
      </c>
      <c r="X613" t="str">
        <f t="shared" si="143"/>
        <v>Same Day</v>
      </c>
      <c r="Y613">
        <v>7</v>
      </c>
      <c r="Z613">
        <v>8</v>
      </c>
      <c r="AA613">
        <v>655.28</v>
      </c>
      <c r="AB613">
        <v>0.1</v>
      </c>
      <c r="AC613">
        <f t="shared" si="144"/>
        <v>0.1</v>
      </c>
      <c r="AD613">
        <v>4718.02</v>
      </c>
      <c r="AE613">
        <f t="shared" si="145"/>
        <v>4718.016</v>
      </c>
      <c r="AF613">
        <v>3908.23</v>
      </c>
      <c r="AG613">
        <v>809.79</v>
      </c>
      <c r="AH613">
        <f t="shared" si="146"/>
        <v>809.786</v>
      </c>
      <c r="AI613">
        <f t="shared" si="147"/>
        <v>0.171636976220513</v>
      </c>
      <c r="AJ613" t="s">
        <v>77</v>
      </c>
      <c r="AK613" t="str">
        <f t="shared" si="148"/>
        <v>Paid</v>
      </c>
      <c r="AL613" t="s">
        <v>78</v>
      </c>
      <c r="AM613" t="str">
        <f t="shared" si="149"/>
        <v>Completed</v>
      </c>
      <c r="AN613">
        <v>7</v>
      </c>
      <c r="AO613">
        <v>2025</v>
      </c>
      <c r="AP613" t="s">
        <v>79</v>
      </c>
    </row>
    <row r="614" spans="1:42">
      <c r="A614" t="s">
        <v>2970</v>
      </c>
      <c r="B614" s="3" t="s">
        <v>2971</v>
      </c>
      <c r="C614" s="3">
        <v>45753</v>
      </c>
      <c r="D614" t="s">
        <v>2972</v>
      </c>
      <c r="E614" s="3">
        <v>45760</v>
      </c>
      <c r="F614" t="s">
        <v>2973</v>
      </c>
      <c r="G614" t="s">
        <v>146</v>
      </c>
      <c r="H614" t="str">
        <f t="shared" si="135"/>
        <v>Aditi Sen</v>
      </c>
      <c r="I614" t="s">
        <v>71</v>
      </c>
      <c r="J614" t="str">
        <f t="shared" si="136"/>
        <v>Consumer</v>
      </c>
      <c r="L614" t="str">
        <f t="shared" si="137"/>
        <v/>
      </c>
      <c r="M614" t="s">
        <v>86</v>
      </c>
      <c r="N614" t="str">
        <f t="shared" si="138"/>
        <v>Odisha</v>
      </c>
      <c r="O614" t="s">
        <v>87</v>
      </c>
      <c r="P614" t="str">
        <f t="shared" si="139"/>
        <v>Bhubaneswar</v>
      </c>
      <c r="Q614" t="s">
        <v>24</v>
      </c>
      <c r="R614" t="str">
        <f t="shared" si="140"/>
        <v>Technology</v>
      </c>
      <c r="S614" t="s">
        <v>265</v>
      </c>
      <c r="T614" t="str">
        <f t="shared" si="141"/>
        <v>Phones</v>
      </c>
      <c r="U614" t="s">
        <v>2974</v>
      </c>
      <c r="V614" t="str">
        <f t="shared" si="142"/>
        <v>Elite Phones 239</v>
      </c>
      <c r="W614" t="s">
        <v>108</v>
      </c>
      <c r="X614" t="str">
        <f t="shared" si="143"/>
        <v>Standard Class</v>
      </c>
      <c r="Y614">
        <v>7</v>
      </c>
      <c r="Z614">
        <v>1</v>
      </c>
      <c r="AA614">
        <v>3844.01</v>
      </c>
      <c r="AB614">
        <v>0</v>
      </c>
      <c r="AC614">
        <f t="shared" si="144"/>
        <v>0</v>
      </c>
      <c r="AD614">
        <v>3844.01</v>
      </c>
      <c r="AE614">
        <f t="shared" si="145"/>
        <v>3844.01</v>
      </c>
      <c r="AF614">
        <v>2195.79</v>
      </c>
      <c r="AG614">
        <v>1648.22</v>
      </c>
      <c r="AH614">
        <f t="shared" si="146"/>
        <v>1648.22</v>
      </c>
      <c r="AI614">
        <f t="shared" si="147"/>
        <v>0.428776199853799</v>
      </c>
      <c r="AJ614" t="s">
        <v>77</v>
      </c>
      <c r="AK614" t="str">
        <f t="shared" si="148"/>
        <v>Paid</v>
      </c>
      <c r="AL614" t="s">
        <v>78</v>
      </c>
      <c r="AM614" t="str">
        <f t="shared" si="149"/>
        <v>Completed</v>
      </c>
      <c r="AN614">
        <v>4</v>
      </c>
      <c r="AO614">
        <v>2025</v>
      </c>
      <c r="AP614" t="s">
        <v>79</v>
      </c>
    </row>
    <row r="615" spans="1:42">
      <c r="A615" t="s">
        <v>2975</v>
      </c>
      <c r="B615" s="3" t="s">
        <v>2504</v>
      </c>
      <c r="C615" s="3">
        <v>45570</v>
      </c>
      <c r="D615" t="s">
        <v>2976</v>
      </c>
      <c r="E615" s="3">
        <v>45575</v>
      </c>
      <c r="F615" t="s">
        <v>2977</v>
      </c>
      <c r="G615" t="s">
        <v>251</v>
      </c>
      <c r="H615" t="str">
        <f t="shared" si="135"/>
        <v>Diya Patel</v>
      </c>
      <c r="I615" t="s">
        <v>154</v>
      </c>
      <c r="J615" t="str">
        <f t="shared" si="136"/>
        <v>Home Office</v>
      </c>
      <c r="K615" t="s">
        <v>11</v>
      </c>
      <c r="L615" t="str">
        <f t="shared" si="137"/>
        <v>West</v>
      </c>
      <c r="M615" t="s">
        <v>278</v>
      </c>
      <c r="N615" t="str">
        <f t="shared" si="138"/>
        <v>Gujarat</v>
      </c>
      <c r="O615" t="s">
        <v>279</v>
      </c>
      <c r="P615" t="str">
        <f t="shared" si="139"/>
        <v>Ahmedabad</v>
      </c>
      <c r="Q615" t="s">
        <v>24</v>
      </c>
      <c r="R615" t="str">
        <f t="shared" si="140"/>
        <v>Technology</v>
      </c>
      <c r="S615" t="s">
        <v>427</v>
      </c>
      <c r="T615" t="str">
        <f t="shared" si="141"/>
        <v>Machines</v>
      </c>
      <c r="U615" t="s">
        <v>2978</v>
      </c>
      <c r="V615" t="str">
        <f t="shared" si="142"/>
        <v>Basic Machines 413</v>
      </c>
      <c r="W615" t="s">
        <v>90</v>
      </c>
      <c r="X615" t="str">
        <f t="shared" si="143"/>
        <v>Same Day</v>
      </c>
      <c r="Y615">
        <v>5</v>
      </c>
      <c r="Z615">
        <v>9</v>
      </c>
      <c r="AA615">
        <v>3361.3</v>
      </c>
      <c r="AB615">
        <v>0.25</v>
      </c>
      <c r="AC615">
        <f t="shared" si="144"/>
        <v>0.25</v>
      </c>
      <c r="AD615">
        <v>22688.78</v>
      </c>
      <c r="AE615">
        <f t="shared" si="145"/>
        <v>22688.775</v>
      </c>
      <c r="AF615">
        <v>14672.41</v>
      </c>
      <c r="AG615">
        <v>8016.37</v>
      </c>
      <c r="AH615">
        <f t="shared" si="146"/>
        <v>8016.365</v>
      </c>
      <c r="AI615">
        <f t="shared" si="147"/>
        <v>0.353318546285553</v>
      </c>
      <c r="AJ615" t="s">
        <v>77</v>
      </c>
      <c r="AK615" t="str">
        <f t="shared" si="148"/>
        <v>Paid</v>
      </c>
      <c r="AL615" t="s">
        <v>78</v>
      </c>
      <c r="AM615" t="str">
        <f t="shared" si="149"/>
        <v>Completed</v>
      </c>
      <c r="AN615">
        <v>10</v>
      </c>
      <c r="AO615">
        <v>2024</v>
      </c>
      <c r="AP615" t="s">
        <v>79</v>
      </c>
    </row>
    <row r="616" spans="1:42">
      <c r="A616" t="s">
        <v>2979</v>
      </c>
      <c r="B616" s="3" t="s">
        <v>2362</v>
      </c>
      <c r="C616" s="3">
        <v>45333</v>
      </c>
      <c r="D616" t="s">
        <v>2980</v>
      </c>
      <c r="E616" s="3">
        <v>45341</v>
      </c>
      <c r="F616" t="s">
        <v>2981</v>
      </c>
      <c r="G616" t="s">
        <v>113</v>
      </c>
      <c r="H616" t="str">
        <f t="shared" si="135"/>
        <v>Ananya Rao</v>
      </c>
      <c r="I616" t="s">
        <v>154</v>
      </c>
      <c r="J616" t="str">
        <f t="shared" si="136"/>
        <v>Home Office</v>
      </c>
      <c r="K616" t="s">
        <v>10</v>
      </c>
      <c r="L616" t="str">
        <f t="shared" si="137"/>
        <v>South</v>
      </c>
      <c r="M616" t="s">
        <v>104</v>
      </c>
      <c r="N616" t="str">
        <f t="shared" si="138"/>
        <v>Telangana</v>
      </c>
      <c r="O616" t="s">
        <v>105</v>
      </c>
      <c r="P616" t="str">
        <f t="shared" si="139"/>
        <v>Hyderabad</v>
      </c>
      <c r="Q616" t="s">
        <v>19</v>
      </c>
      <c r="R616" t="str">
        <f t="shared" si="140"/>
        <v>Furniture</v>
      </c>
      <c r="S616" t="s">
        <v>116</v>
      </c>
      <c r="T616" t="str">
        <f t="shared" si="141"/>
        <v>Chairs</v>
      </c>
      <c r="U616" t="s">
        <v>2982</v>
      </c>
      <c r="V616" t="str">
        <f t="shared" si="142"/>
        <v>Elite Chairs 140</v>
      </c>
      <c r="W616" t="s">
        <v>108</v>
      </c>
      <c r="X616" t="str">
        <f t="shared" si="143"/>
        <v>Standard Class</v>
      </c>
      <c r="Y616">
        <v>8</v>
      </c>
      <c r="Z616">
        <v>8</v>
      </c>
      <c r="AA616">
        <v>3398.32</v>
      </c>
      <c r="AB616">
        <v>0.25</v>
      </c>
      <c r="AC616">
        <f t="shared" si="144"/>
        <v>0.25</v>
      </c>
      <c r="AD616">
        <v>20389.92</v>
      </c>
      <c r="AE616">
        <f t="shared" si="145"/>
        <v>20389.92</v>
      </c>
      <c r="AF616">
        <v>16661.08</v>
      </c>
      <c r="AG616">
        <v>3728.84</v>
      </c>
      <c r="AH616">
        <f t="shared" si="146"/>
        <v>3728.84</v>
      </c>
      <c r="AI616">
        <f t="shared" si="147"/>
        <v>0.182876637083422</v>
      </c>
      <c r="AJ616" t="s">
        <v>163</v>
      </c>
      <c r="AK616" t="str">
        <f t="shared" si="148"/>
        <v>Refunded</v>
      </c>
      <c r="AL616" t="s">
        <v>118</v>
      </c>
      <c r="AM616" t="str">
        <f t="shared" si="149"/>
        <v>Cancelled</v>
      </c>
      <c r="AN616">
        <v>2</v>
      </c>
      <c r="AO616">
        <v>2024</v>
      </c>
      <c r="AP616" t="s">
        <v>79</v>
      </c>
    </row>
    <row r="617" spans="1:42">
      <c r="A617" t="s">
        <v>2983</v>
      </c>
      <c r="B617" s="3" t="s">
        <v>2984</v>
      </c>
      <c r="C617" s="3">
        <v>45569</v>
      </c>
      <c r="D617" t="s">
        <v>2985</v>
      </c>
      <c r="E617" s="3">
        <v>45572</v>
      </c>
      <c r="F617" t="s">
        <v>2986</v>
      </c>
      <c r="G617" t="s">
        <v>188</v>
      </c>
      <c r="H617" t="str">
        <f t="shared" si="135"/>
        <v>Rahul Verma</v>
      </c>
      <c r="I617" t="s">
        <v>147</v>
      </c>
      <c r="J617" t="str">
        <f t="shared" si="136"/>
        <v>Corporate</v>
      </c>
      <c r="K617" t="s">
        <v>10</v>
      </c>
      <c r="L617" t="str">
        <f t="shared" si="137"/>
        <v>South</v>
      </c>
      <c r="M617" t="s">
        <v>285</v>
      </c>
      <c r="N617" t="str">
        <f t="shared" si="138"/>
        <v>Kerala</v>
      </c>
      <c r="O617" t="s">
        <v>286</v>
      </c>
      <c r="P617" t="str">
        <f t="shared" si="139"/>
        <v>Kochi</v>
      </c>
      <c r="Q617" t="s">
        <v>22</v>
      </c>
      <c r="R617" t="str">
        <f t="shared" si="140"/>
        <v>Office Supplies</v>
      </c>
      <c r="S617" t="s">
        <v>96</v>
      </c>
      <c r="T617" t="str">
        <f t="shared" si="141"/>
        <v>Art</v>
      </c>
      <c r="U617" t="s">
        <v>2987</v>
      </c>
      <c r="V617" t="str">
        <f t="shared" si="142"/>
        <v>Basic Art 771</v>
      </c>
      <c r="W617" t="s">
        <v>76</v>
      </c>
      <c r="X617" t="str">
        <f t="shared" si="143"/>
        <v>Second Class</v>
      </c>
      <c r="Y617">
        <v>3</v>
      </c>
      <c r="Z617">
        <v>2</v>
      </c>
      <c r="AA617">
        <v>3144.38</v>
      </c>
      <c r="AB617">
        <v>0.1</v>
      </c>
      <c r="AC617">
        <f t="shared" si="144"/>
        <v>0.1</v>
      </c>
      <c r="AD617">
        <v>5904.57</v>
      </c>
      <c r="AE617">
        <f t="shared" si="145"/>
        <v>5659.884</v>
      </c>
      <c r="AF617">
        <v>4337.79</v>
      </c>
      <c r="AG617">
        <v>1322.09</v>
      </c>
      <c r="AH617">
        <f t="shared" si="146"/>
        <v>1322.094</v>
      </c>
      <c r="AI617">
        <f t="shared" si="147"/>
        <v>0.233590299730525</v>
      </c>
      <c r="AJ617" t="s">
        <v>77</v>
      </c>
      <c r="AK617" t="str">
        <f t="shared" si="148"/>
        <v>Paid</v>
      </c>
      <c r="AL617" t="s">
        <v>1082</v>
      </c>
      <c r="AM617" t="str">
        <f t="shared" si="149"/>
        <v>Completed</v>
      </c>
      <c r="AN617">
        <v>10</v>
      </c>
      <c r="AO617">
        <v>2024</v>
      </c>
      <c r="AP617" t="s">
        <v>79</v>
      </c>
    </row>
    <row r="618" spans="1:42">
      <c r="A618" t="s">
        <v>2988</v>
      </c>
      <c r="B618" s="3" t="s">
        <v>2989</v>
      </c>
      <c r="C618" s="3">
        <v>45520</v>
      </c>
      <c r="D618" t="s">
        <v>2920</v>
      </c>
      <c r="E618" s="3">
        <v>45523</v>
      </c>
      <c r="F618" t="s">
        <v>2990</v>
      </c>
      <c r="G618" t="s">
        <v>411</v>
      </c>
      <c r="H618" t="str">
        <f t="shared" si="135"/>
        <v>Kabir Singh</v>
      </c>
      <c r="I618" t="s">
        <v>71</v>
      </c>
      <c r="J618" t="str">
        <f t="shared" si="136"/>
        <v>Consumer</v>
      </c>
      <c r="K618" t="s">
        <v>10</v>
      </c>
      <c r="L618" t="str">
        <f t="shared" si="137"/>
        <v>South</v>
      </c>
      <c r="M618" t="s">
        <v>104</v>
      </c>
      <c r="N618" t="str">
        <f t="shared" si="138"/>
        <v>Telangana</v>
      </c>
      <c r="O618" t="s">
        <v>105</v>
      </c>
      <c r="P618" t="str">
        <f t="shared" si="139"/>
        <v>Hyderabad</v>
      </c>
      <c r="Q618" t="s">
        <v>22</v>
      </c>
      <c r="R618" t="str">
        <f t="shared" si="140"/>
        <v>Office Supplies</v>
      </c>
      <c r="S618" t="s">
        <v>74</v>
      </c>
      <c r="T618" t="str">
        <f t="shared" si="141"/>
        <v>Paper</v>
      </c>
      <c r="U618" t="s">
        <v>2991</v>
      </c>
      <c r="V618" t="str">
        <f t="shared" si="142"/>
        <v>Prime Paper 664</v>
      </c>
      <c r="W618" t="s">
        <v>108</v>
      </c>
      <c r="X618" t="str">
        <f t="shared" si="143"/>
        <v>Standard Class</v>
      </c>
      <c r="Y618">
        <v>3</v>
      </c>
      <c r="Z618">
        <v>6</v>
      </c>
      <c r="AA618">
        <v>3925.55</v>
      </c>
      <c r="AB618">
        <v>0.2</v>
      </c>
      <c r="AC618">
        <f t="shared" si="144"/>
        <v>0.2</v>
      </c>
      <c r="AD618">
        <v>18842.64</v>
      </c>
      <c r="AE618">
        <f t="shared" si="145"/>
        <v>18842.64</v>
      </c>
      <c r="AF618">
        <v>11840.58</v>
      </c>
      <c r="AG618">
        <v>7002.06</v>
      </c>
      <c r="AH618">
        <f t="shared" si="146"/>
        <v>7002.06</v>
      </c>
      <c r="AI618">
        <f t="shared" si="147"/>
        <v>0.371607163327432</v>
      </c>
      <c r="AJ618" t="s">
        <v>77</v>
      </c>
      <c r="AK618" t="str">
        <f t="shared" si="148"/>
        <v>Paid</v>
      </c>
      <c r="AL618" t="s">
        <v>78</v>
      </c>
      <c r="AM618" t="str">
        <f t="shared" si="149"/>
        <v>Completed</v>
      </c>
      <c r="AN618">
        <v>8</v>
      </c>
      <c r="AO618">
        <v>2024</v>
      </c>
      <c r="AP618" t="s">
        <v>79</v>
      </c>
    </row>
    <row r="619" spans="1:42">
      <c r="A619" t="s">
        <v>2992</v>
      </c>
      <c r="B619" s="3" t="s">
        <v>2993</v>
      </c>
      <c r="C619" s="3">
        <v>45564</v>
      </c>
      <c r="D619" t="s">
        <v>1024</v>
      </c>
      <c r="E619" s="3">
        <v>45565</v>
      </c>
      <c r="F619" t="s">
        <v>2994</v>
      </c>
      <c r="G619" t="s">
        <v>84</v>
      </c>
      <c r="H619" t="str">
        <f t="shared" si="135"/>
        <v>Mira Das</v>
      </c>
      <c r="I619" t="s">
        <v>154</v>
      </c>
      <c r="J619" t="str">
        <f t="shared" si="136"/>
        <v>Home Office</v>
      </c>
      <c r="K619" t="s">
        <v>10</v>
      </c>
      <c r="L619" t="str">
        <f t="shared" si="137"/>
        <v>South</v>
      </c>
      <c r="M619" t="s">
        <v>104</v>
      </c>
      <c r="N619" t="str">
        <f t="shared" si="138"/>
        <v>Telangana</v>
      </c>
      <c r="O619" t="s">
        <v>105</v>
      </c>
      <c r="P619" t="str">
        <f t="shared" si="139"/>
        <v>Hyderabad</v>
      </c>
      <c r="Q619" t="s">
        <v>24</v>
      </c>
      <c r="R619" t="str">
        <f t="shared" si="140"/>
        <v>Technology</v>
      </c>
      <c r="S619" t="s">
        <v>265</v>
      </c>
      <c r="T619" t="str">
        <f t="shared" si="141"/>
        <v>Phones</v>
      </c>
      <c r="U619" t="s">
        <v>2995</v>
      </c>
      <c r="V619" t="str">
        <f t="shared" si="142"/>
        <v>Pro Phones 226</v>
      </c>
      <c r="W619" t="s">
        <v>108</v>
      </c>
      <c r="X619" t="str">
        <f t="shared" si="143"/>
        <v>Standard Class</v>
      </c>
      <c r="Y619">
        <v>1</v>
      </c>
      <c r="Z619">
        <v>9</v>
      </c>
      <c r="AA619">
        <v>2741.91</v>
      </c>
      <c r="AB619">
        <v>0</v>
      </c>
      <c r="AC619">
        <f t="shared" si="144"/>
        <v>0</v>
      </c>
      <c r="AD619">
        <v>24677.19</v>
      </c>
      <c r="AE619">
        <f t="shared" si="145"/>
        <v>24677.19</v>
      </c>
      <c r="AF619">
        <v>20350.85</v>
      </c>
      <c r="AG619">
        <v>4326.34</v>
      </c>
      <c r="AH619">
        <f t="shared" si="146"/>
        <v>4326.34</v>
      </c>
      <c r="AI619">
        <f t="shared" si="147"/>
        <v>0.175317367982335</v>
      </c>
      <c r="AJ619" t="s">
        <v>77</v>
      </c>
      <c r="AK619" t="str">
        <f t="shared" si="148"/>
        <v>Paid</v>
      </c>
      <c r="AL619" t="s">
        <v>78</v>
      </c>
      <c r="AM619" t="str">
        <f t="shared" si="149"/>
        <v>Completed</v>
      </c>
      <c r="AN619">
        <v>9</v>
      </c>
      <c r="AO619">
        <v>2024</v>
      </c>
      <c r="AP619" t="s">
        <v>79</v>
      </c>
    </row>
    <row r="620" spans="1:42">
      <c r="A620" t="s">
        <v>2996</v>
      </c>
      <c r="B620" s="3" t="s">
        <v>2997</v>
      </c>
      <c r="C620" s="3">
        <v>45496</v>
      </c>
      <c r="D620" t="s">
        <v>575</v>
      </c>
      <c r="E620" s="3">
        <v>45503</v>
      </c>
      <c r="F620" t="s">
        <v>2998</v>
      </c>
      <c r="G620" t="s">
        <v>411</v>
      </c>
      <c r="H620" t="str">
        <f t="shared" si="135"/>
        <v>Kabir Singh</v>
      </c>
      <c r="I620" t="s">
        <v>147</v>
      </c>
      <c r="J620" t="str">
        <f t="shared" si="136"/>
        <v>Corporate</v>
      </c>
      <c r="K620" t="s">
        <v>8</v>
      </c>
      <c r="L620" t="str">
        <f t="shared" si="137"/>
        <v>North</v>
      </c>
      <c r="M620" t="s">
        <v>72</v>
      </c>
      <c r="N620" t="str">
        <f t="shared" si="138"/>
        <v>Rajasthan</v>
      </c>
      <c r="O620" t="s">
        <v>73</v>
      </c>
      <c r="P620" t="str">
        <f t="shared" si="139"/>
        <v>Jaipur</v>
      </c>
      <c r="Q620" t="s">
        <v>19</v>
      </c>
      <c r="R620" t="str">
        <f t="shared" si="140"/>
        <v>Furniture</v>
      </c>
      <c r="S620" t="s">
        <v>88</v>
      </c>
      <c r="T620" t="str">
        <f t="shared" si="141"/>
        <v>Tables</v>
      </c>
      <c r="U620" t="s">
        <v>2999</v>
      </c>
      <c r="V620" t="str">
        <f t="shared" si="142"/>
        <v>Basic Tables 684</v>
      </c>
      <c r="W620" t="s">
        <v>90</v>
      </c>
      <c r="X620" t="str">
        <f t="shared" si="143"/>
        <v>Same Day</v>
      </c>
      <c r="Y620">
        <v>7</v>
      </c>
      <c r="Z620">
        <v>9</v>
      </c>
      <c r="AA620">
        <v>1870.11</v>
      </c>
      <c r="AB620">
        <v>0.25</v>
      </c>
      <c r="AC620">
        <f t="shared" si="144"/>
        <v>0.25</v>
      </c>
      <c r="AD620">
        <v>12623.24</v>
      </c>
      <c r="AE620">
        <f t="shared" si="145"/>
        <v>12623.2425</v>
      </c>
      <c r="AF620">
        <v>10540.8</v>
      </c>
      <c r="AG620">
        <v>2082.44</v>
      </c>
      <c r="AH620">
        <f t="shared" si="146"/>
        <v>2082.4425</v>
      </c>
      <c r="AI620">
        <f t="shared" si="147"/>
        <v>0.164968905572399</v>
      </c>
      <c r="AJ620" t="s">
        <v>241</v>
      </c>
      <c r="AK620" t="str">
        <f t="shared" si="148"/>
        <v>Failed</v>
      </c>
      <c r="AL620" t="s">
        <v>118</v>
      </c>
      <c r="AM620" t="str">
        <f t="shared" si="149"/>
        <v>Cancelled</v>
      </c>
      <c r="AN620">
        <v>7</v>
      </c>
      <c r="AO620">
        <v>2024</v>
      </c>
      <c r="AP620" t="s">
        <v>79</v>
      </c>
    </row>
    <row r="621" spans="1:42">
      <c r="A621" t="s">
        <v>3000</v>
      </c>
      <c r="B621" s="3" t="s">
        <v>961</v>
      </c>
      <c r="C621" s="3">
        <v>45618</v>
      </c>
      <c r="D621" t="s">
        <v>3001</v>
      </c>
      <c r="E621" s="3">
        <v>45623</v>
      </c>
      <c r="F621" t="s">
        <v>3002</v>
      </c>
      <c r="G621" t="s">
        <v>182</v>
      </c>
      <c r="H621" t="str">
        <f t="shared" si="135"/>
        <v>Priya Menon</v>
      </c>
      <c r="I621" t="s">
        <v>147</v>
      </c>
      <c r="J621" t="str">
        <f t="shared" si="136"/>
        <v>Corporate</v>
      </c>
      <c r="K621" t="s">
        <v>10</v>
      </c>
      <c r="L621" t="str">
        <f t="shared" si="137"/>
        <v>South</v>
      </c>
      <c r="M621" t="s">
        <v>382</v>
      </c>
      <c r="N621" t="str">
        <f t="shared" si="138"/>
        <v>Tamil Nadu</v>
      </c>
      <c r="O621" t="s">
        <v>383</v>
      </c>
      <c r="P621" t="str">
        <f t="shared" si="139"/>
        <v>Chennai</v>
      </c>
      <c r="Q621" t="s">
        <v>22</v>
      </c>
      <c r="R621" t="str">
        <f t="shared" si="140"/>
        <v>Office Supplies</v>
      </c>
      <c r="S621" t="s">
        <v>239</v>
      </c>
      <c r="T621" t="str">
        <f t="shared" si="141"/>
        <v>Binders</v>
      </c>
      <c r="U621" t="s">
        <v>3003</v>
      </c>
      <c r="V621" t="str">
        <f t="shared" si="142"/>
        <v>Prime Binders 938</v>
      </c>
      <c r="W621" t="s">
        <v>98</v>
      </c>
      <c r="X621" t="str">
        <f t="shared" si="143"/>
        <v>First Class</v>
      </c>
      <c r="Y621">
        <v>5</v>
      </c>
      <c r="Z621">
        <v>1</v>
      </c>
      <c r="AA621">
        <v>4251.26</v>
      </c>
      <c r="AB621">
        <v>0.2</v>
      </c>
      <c r="AC621">
        <f t="shared" si="144"/>
        <v>0.2</v>
      </c>
      <c r="AD621">
        <v>3401.01</v>
      </c>
      <c r="AE621">
        <f t="shared" si="145"/>
        <v>3401.008</v>
      </c>
      <c r="AF621">
        <v>2917.54</v>
      </c>
      <c r="AG621">
        <v>483.47</v>
      </c>
      <c r="AH621">
        <f t="shared" si="146"/>
        <v>483.468</v>
      </c>
      <c r="AI621">
        <f t="shared" si="147"/>
        <v>0.142154326011583</v>
      </c>
      <c r="AJ621" t="s">
        <v>163</v>
      </c>
      <c r="AK621" t="str">
        <f t="shared" si="148"/>
        <v>Refunded</v>
      </c>
      <c r="AL621" t="s">
        <v>164</v>
      </c>
      <c r="AM621" t="str">
        <f t="shared" si="149"/>
        <v>Returned</v>
      </c>
      <c r="AN621">
        <v>11</v>
      </c>
      <c r="AO621">
        <v>2024</v>
      </c>
      <c r="AP621" t="s">
        <v>79</v>
      </c>
    </row>
    <row r="622" spans="1:42">
      <c r="A622" t="s">
        <v>3004</v>
      </c>
      <c r="B622" s="3" t="s">
        <v>3005</v>
      </c>
      <c r="C622" s="3">
        <v>45522</v>
      </c>
      <c r="D622" t="s">
        <v>3006</v>
      </c>
      <c r="E622" s="3">
        <v>45525</v>
      </c>
      <c r="F622" t="s">
        <v>3007</v>
      </c>
      <c r="G622" t="s">
        <v>123</v>
      </c>
      <c r="H622" t="str">
        <f t="shared" si="135"/>
        <v>Vikram Iyer</v>
      </c>
      <c r="I622" t="s">
        <v>71</v>
      </c>
      <c r="J622" t="str">
        <f t="shared" si="136"/>
        <v>Consumer</v>
      </c>
      <c r="K622" t="s">
        <v>8</v>
      </c>
      <c r="L622" t="str">
        <f t="shared" si="137"/>
        <v>North</v>
      </c>
      <c r="M622" t="s">
        <v>214</v>
      </c>
      <c r="N622" t="str">
        <f t="shared" si="138"/>
        <v>Uttar Pradesh</v>
      </c>
      <c r="O622" t="s">
        <v>215</v>
      </c>
      <c r="P622" t="str">
        <f t="shared" si="139"/>
        <v>Noida</v>
      </c>
      <c r="Q622" t="s">
        <v>24</v>
      </c>
      <c r="R622" t="str">
        <f t="shared" si="140"/>
        <v>Technology</v>
      </c>
      <c r="S622" t="s">
        <v>427</v>
      </c>
      <c r="T622" t="str">
        <f t="shared" si="141"/>
        <v>Machines</v>
      </c>
      <c r="U622" t="s">
        <v>3008</v>
      </c>
      <c r="V622" t="str">
        <f t="shared" si="142"/>
        <v>Classic Machines 337</v>
      </c>
      <c r="W622" t="s">
        <v>108</v>
      </c>
      <c r="X622" t="str">
        <f t="shared" si="143"/>
        <v>Standard Class</v>
      </c>
      <c r="Y622">
        <v>3</v>
      </c>
      <c r="Z622">
        <v>9</v>
      </c>
      <c r="AA622">
        <v>734.34</v>
      </c>
      <c r="AB622">
        <v>0</v>
      </c>
      <c r="AC622">
        <f t="shared" si="144"/>
        <v>0</v>
      </c>
      <c r="AD622">
        <v>6609.06</v>
      </c>
      <c r="AE622">
        <f t="shared" si="145"/>
        <v>6609.06</v>
      </c>
      <c r="AF622">
        <v>4946.78</v>
      </c>
      <c r="AG622">
        <v>1662.28</v>
      </c>
      <c r="AH622">
        <f t="shared" si="146"/>
        <v>1662.28</v>
      </c>
      <c r="AI622">
        <f t="shared" si="147"/>
        <v>0.251515344088267</v>
      </c>
      <c r="AJ622" t="s">
        <v>77</v>
      </c>
      <c r="AK622" t="str">
        <f t="shared" si="148"/>
        <v>Paid</v>
      </c>
      <c r="AL622" t="s">
        <v>78</v>
      </c>
      <c r="AM622" t="str">
        <f t="shared" si="149"/>
        <v>Completed</v>
      </c>
      <c r="AN622">
        <v>8</v>
      </c>
      <c r="AO622">
        <v>2024</v>
      </c>
      <c r="AP622" t="s">
        <v>79</v>
      </c>
    </row>
    <row r="623" spans="1:42">
      <c r="A623" t="s">
        <v>3009</v>
      </c>
      <c r="B623" s="3" t="s">
        <v>100</v>
      </c>
      <c r="C623" s="3">
        <v>45624</v>
      </c>
      <c r="D623" t="s">
        <v>3010</v>
      </c>
      <c r="E623" s="3">
        <v>45632</v>
      </c>
      <c r="F623" t="s">
        <v>3011</v>
      </c>
      <c r="G623" t="s">
        <v>146</v>
      </c>
      <c r="H623" t="str">
        <f t="shared" si="135"/>
        <v>Aditi Sen</v>
      </c>
      <c r="I623" t="s">
        <v>71</v>
      </c>
      <c r="J623" t="str">
        <f t="shared" si="136"/>
        <v>Consumer</v>
      </c>
      <c r="K623" t="s">
        <v>11</v>
      </c>
      <c r="L623" t="str">
        <f t="shared" si="137"/>
        <v>West</v>
      </c>
      <c r="M623" t="s">
        <v>114</v>
      </c>
      <c r="N623" t="str">
        <f t="shared" si="138"/>
        <v>Maharashtra</v>
      </c>
      <c r="O623" t="s">
        <v>115</v>
      </c>
      <c r="P623" t="str">
        <f t="shared" si="139"/>
        <v>Mumbai</v>
      </c>
      <c r="Q623" t="s">
        <v>19</v>
      </c>
      <c r="R623" t="str">
        <f t="shared" si="140"/>
        <v>Furniture</v>
      </c>
      <c r="S623" t="s">
        <v>116</v>
      </c>
      <c r="T623" t="str">
        <f t="shared" si="141"/>
        <v>Chairs</v>
      </c>
      <c r="U623" t="s">
        <v>3012</v>
      </c>
      <c r="V623" t="str">
        <f t="shared" si="142"/>
        <v>Max Chairs 748</v>
      </c>
      <c r="W623" t="s">
        <v>90</v>
      </c>
      <c r="X623" t="str">
        <f t="shared" si="143"/>
        <v>Same Day</v>
      </c>
      <c r="Y623">
        <v>8</v>
      </c>
      <c r="Z623">
        <v>5</v>
      </c>
      <c r="AA623">
        <v>1092.84</v>
      </c>
      <c r="AC623">
        <f t="shared" si="144"/>
        <v>0</v>
      </c>
      <c r="AD623">
        <v>5464.2</v>
      </c>
      <c r="AE623">
        <f t="shared" si="145"/>
        <v>5464.2</v>
      </c>
      <c r="AF623">
        <v>3318.09</v>
      </c>
      <c r="AG623">
        <v>2146.11</v>
      </c>
      <c r="AH623">
        <f t="shared" si="146"/>
        <v>2146.11</v>
      </c>
      <c r="AI623">
        <f t="shared" si="147"/>
        <v>0.392758317777534</v>
      </c>
      <c r="AJ623" t="s">
        <v>77</v>
      </c>
      <c r="AK623" t="str">
        <f t="shared" si="148"/>
        <v>Paid</v>
      </c>
      <c r="AL623" t="s">
        <v>78</v>
      </c>
      <c r="AM623" t="str">
        <f t="shared" si="149"/>
        <v>Completed</v>
      </c>
      <c r="AN623">
        <v>11</v>
      </c>
      <c r="AO623">
        <v>2024</v>
      </c>
      <c r="AP623" t="s">
        <v>222</v>
      </c>
    </row>
    <row r="624" spans="1:42">
      <c r="A624" t="s">
        <v>3013</v>
      </c>
      <c r="B624" s="3" t="s">
        <v>3014</v>
      </c>
      <c r="C624" s="3">
        <v>45686</v>
      </c>
      <c r="D624" t="s">
        <v>3015</v>
      </c>
      <c r="E624" s="3">
        <v>45694</v>
      </c>
      <c r="F624" t="s">
        <v>3016</v>
      </c>
      <c r="G624" t="s">
        <v>123</v>
      </c>
      <c r="H624" t="str">
        <f t="shared" si="135"/>
        <v>Vikram Iyer</v>
      </c>
      <c r="I624" t="s">
        <v>71</v>
      </c>
      <c r="J624" t="str">
        <f t="shared" si="136"/>
        <v>Consumer</v>
      </c>
      <c r="K624" t="s">
        <v>7</v>
      </c>
      <c r="L624" t="str">
        <f t="shared" si="137"/>
        <v>East</v>
      </c>
      <c r="M624" t="s">
        <v>227</v>
      </c>
      <c r="N624" t="str">
        <f t="shared" si="138"/>
        <v>Bihar</v>
      </c>
      <c r="O624" t="s">
        <v>228</v>
      </c>
      <c r="P624" t="str">
        <f t="shared" si="139"/>
        <v>Patna</v>
      </c>
      <c r="Q624" t="s">
        <v>22</v>
      </c>
      <c r="R624" t="str">
        <f t="shared" si="140"/>
        <v>Office Supplies</v>
      </c>
      <c r="S624" t="s">
        <v>196</v>
      </c>
      <c r="T624" t="str">
        <f t="shared" si="141"/>
        <v>Storage</v>
      </c>
      <c r="U624" t="s">
        <v>3017</v>
      </c>
      <c r="V624" t="str">
        <f t="shared" si="142"/>
        <v>Basic Storage 934</v>
      </c>
      <c r="W624" t="s">
        <v>108</v>
      </c>
      <c r="X624" t="str">
        <f t="shared" si="143"/>
        <v>Standard Class</v>
      </c>
      <c r="Y624">
        <v>8</v>
      </c>
      <c r="Z624">
        <v>4</v>
      </c>
      <c r="AA624">
        <v>2759.01</v>
      </c>
      <c r="AB624">
        <v>0.05</v>
      </c>
      <c r="AC624">
        <f t="shared" si="144"/>
        <v>0.05</v>
      </c>
      <c r="AD624">
        <v>10484.24</v>
      </c>
      <c r="AE624">
        <f t="shared" si="145"/>
        <v>10484.238</v>
      </c>
      <c r="AF624">
        <v>6680.15</v>
      </c>
      <c r="AG624">
        <v>3804.09</v>
      </c>
      <c r="AH624">
        <f t="shared" si="146"/>
        <v>3804.088</v>
      </c>
      <c r="AI624">
        <f t="shared" si="147"/>
        <v>0.362838768063068</v>
      </c>
      <c r="AJ624" t="s">
        <v>77</v>
      </c>
      <c r="AK624" t="str">
        <f t="shared" si="148"/>
        <v>Paid</v>
      </c>
      <c r="AL624" t="s">
        <v>78</v>
      </c>
      <c r="AM624" t="str">
        <f t="shared" si="149"/>
        <v>Completed</v>
      </c>
      <c r="AN624">
        <v>1</v>
      </c>
      <c r="AO624">
        <v>2025</v>
      </c>
      <c r="AP624" t="s">
        <v>79</v>
      </c>
    </row>
    <row r="625" spans="1:42">
      <c r="A625" t="s">
        <v>3018</v>
      </c>
      <c r="B625" s="3" t="s">
        <v>3019</v>
      </c>
      <c r="C625" s="3">
        <v>45512</v>
      </c>
      <c r="D625" t="s">
        <v>3020</v>
      </c>
      <c r="E625" s="3">
        <v>45518</v>
      </c>
      <c r="F625" t="s">
        <v>3021</v>
      </c>
      <c r="G625" t="s">
        <v>123</v>
      </c>
      <c r="H625" t="str">
        <f t="shared" si="135"/>
        <v>Vikram Iyer</v>
      </c>
      <c r="I625" t="s">
        <v>154</v>
      </c>
      <c r="J625" t="str">
        <f t="shared" si="136"/>
        <v>Home Office</v>
      </c>
      <c r="K625" t="s">
        <v>8</v>
      </c>
      <c r="L625" t="str">
        <f t="shared" si="137"/>
        <v>North</v>
      </c>
      <c r="M625" t="s">
        <v>194</v>
      </c>
      <c r="N625" t="str">
        <f t="shared" si="138"/>
        <v>Punjab</v>
      </c>
      <c r="O625" t="s">
        <v>195</v>
      </c>
      <c r="P625" t="str">
        <f t="shared" si="139"/>
        <v>Ludhiana</v>
      </c>
      <c r="Q625" t="s">
        <v>22</v>
      </c>
      <c r="R625" t="str">
        <f t="shared" si="140"/>
        <v>Office Supplies</v>
      </c>
      <c r="S625" t="s">
        <v>196</v>
      </c>
      <c r="T625" t="str">
        <f t="shared" si="141"/>
        <v>Storage</v>
      </c>
      <c r="U625" t="s">
        <v>3022</v>
      </c>
      <c r="V625" t="str">
        <f t="shared" si="142"/>
        <v>Pro Storage 509</v>
      </c>
      <c r="W625" t="s">
        <v>76</v>
      </c>
      <c r="X625" t="str">
        <f t="shared" si="143"/>
        <v>Second Class</v>
      </c>
      <c r="Y625">
        <v>6</v>
      </c>
      <c r="Z625">
        <v>8</v>
      </c>
      <c r="AA625">
        <v>1359.19</v>
      </c>
      <c r="AB625">
        <v>0.05</v>
      </c>
      <c r="AC625">
        <f t="shared" si="144"/>
        <v>0.05</v>
      </c>
      <c r="AD625">
        <v>10329.84</v>
      </c>
      <c r="AE625">
        <f t="shared" si="145"/>
        <v>10329.844</v>
      </c>
      <c r="AF625">
        <v>7512.22</v>
      </c>
      <c r="AG625">
        <v>2817.62</v>
      </c>
      <c r="AH625">
        <f t="shared" si="146"/>
        <v>2817.624</v>
      </c>
      <c r="AI625">
        <f t="shared" si="147"/>
        <v>0.272765397037942</v>
      </c>
      <c r="AJ625" t="s">
        <v>77</v>
      </c>
      <c r="AK625" t="str">
        <f t="shared" si="148"/>
        <v>Paid</v>
      </c>
      <c r="AL625" t="s">
        <v>78</v>
      </c>
      <c r="AM625" t="str">
        <f t="shared" si="149"/>
        <v>Completed</v>
      </c>
      <c r="AN625">
        <v>8</v>
      </c>
      <c r="AO625">
        <v>2024</v>
      </c>
      <c r="AP625" t="s">
        <v>79</v>
      </c>
    </row>
    <row r="626" spans="1:42">
      <c r="A626" t="s">
        <v>3023</v>
      </c>
      <c r="B626" s="3" t="s">
        <v>3024</v>
      </c>
      <c r="C626" s="3">
        <v>45321</v>
      </c>
      <c r="D626" t="s">
        <v>3025</v>
      </c>
      <c r="E626" s="3">
        <v>45323</v>
      </c>
      <c r="F626" t="s">
        <v>3026</v>
      </c>
      <c r="G626" t="s">
        <v>132</v>
      </c>
      <c r="H626" t="str">
        <f t="shared" si="135"/>
        <v>Neha Gupta</v>
      </c>
      <c r="I626" t="s">
        <v>154</v>
      </c>
      <c r="J626" t="str">
        <f t="shared" si="136"/>
        <v>Home Office</v>
      </c>
      <c r="K626" t="s">
        <v>7</v>
      </c>
      <c r="L626" t="str">
        <f t="shared" si="137"/>
        <v>East</v>
      </c>
      <c r="M626" t="s">
        <v>258</v>
      </c>
      <c r="N626" t="str">
        <f t="shared" si="138"/>
        <v>Assam</v>
      </c>
      <c r="O626" t="s">
        <v>259</v>
      </c>
      <c r="P626" t="str">
        <f t="shared" si="139"/>
        <v>Guwahati</v>
      </c>
      <c r="Q626" t="s">
        <v>19</v>
      </c>
      <c r="R626" t="str">
        <f t="shared" si="140"/>
        <v>Furniture</v>
      </c>
      <c r="S626" t="s">
        <v>116</v>
      </c>
      <c r="T626" t="str">
        <f t="shared" si="141"/>
        <v>Chairs</v>
      </c>
      <c r="U626" t="s">
        <v>3027</v>
      </c>
      <c r="V626" t="str">
        <f t="shared" si="142"/>
        <v>Prime Chairs 765</v>
      </c>
      <c r="W626" t="s">
        <v>98</v>
      </c>
      <c r="X626" t="str">
        <f t="shared" si="143"/>
        <v>First Class</v>
      </c>
      <c r="Y626">
        <v>2</v>
      </c>
      <c r="Z626">
        <v>2</v>
      </c>
      <c r="AA626">
        <v>4451.03</v>
      </c>
      <c r="AB626">
        <v>0.05</v>
      </c>
      <c r="AC626">
        <f t="shared" si="144"/>
        <v>0.05</v>
      </c>
      <c r="AD626">
        <v>8456.96</v>
      </c>
      <c r="AE626">
        <f t="shared" si="145"/>
        <v>8456.957</v>
      </c>
      <c r="AF626">
        <v>5462.85</v>
      </c>
      <c r="AG626">
        <v>2994.11</v>
      </c>
      <c r="AH626">
        <f t="shared" si="146"/>
        <v>2994.107</v>
      </c>
      <c r="AI626">
        <f t="shared" si="147"/>
        <v>0.354040702820175</v>
      </c>
      <c r="AJ626" t="s">
        <v>77</v>
      </c>
      <c r="AK626" t="str">
        <f t="shared" si="148"/>
        <v>Paid</v>
      </c>
      <c r="AL626" t="s">
        <v>78</v>
      </c>
      <c r="AM626" t="str">
        <f t="shared" si="149"/>
        <v>Completed</v>
      </c>
      <c r="AN626">
        <v>1</v>
      </c>
      <c r="AO626">
        <v>2024</v>
      </c>
      <c r="AP626" t="s">
        <v>79</v>
      </c>
    </row>
    <row r="627" spans="1:42">
      <c r="A627" t="s">
        <v>3028</v>
      </c>
      <c r="B627" s="3" t="s">
        <v>3029</v>
      </c>
      <c r="C627" s="3">
        <v>45641</v>
      </c>
      <c r="D627" t="s">
        <v>1457</v>
      </c>
      <c r="E627" s="3">
        <v>45647</v>
      </c>
      <c r="F627" t="s">
        <v>3030</v>
      </c>
      <c r="G627" t="s">
        <v>251</v>
      </c>
      <c r="H627" t="str">
        <f t="shared" si="135"/>
        <v>Diya Patel</v>
      </c>
      <c r="I627" t="s">
        <v>147</v>
      </c>
      <c r="J627" t="str">
        <f t="shared" si="136"/>
        <v>Corporate</v>
      </c>
      <c r="K627" t="s">
        <v>11</v>
      </c>
      <c r="L627" t="str">
        <f t="shared" si="137"/>
        <v>West</v>
      </c>
      <c r="M627" t="s">
        <v>72</v>
      </c>
      <c r="N627" t="str">
        <f t="shared" si="138"/>
        <v>Rajasthan</v>
      </c>
      <c r="O627" t="s">
        <v>175</v>
      </c>
      <c r="P627" t="str">
        <f t="shared" si="139"/>
        <v>Udaipur</v>
      </c>
      <c r="Q627" t="s">
        <v>19</v>
      </c>
      <c r="R627" t="str">
        <f t="shared" si="140"/>
        <v>Furniture</v>
      </c>
      <c r="S627" t="s">
        <v>116</v>
      </c>
      <c r="T627" t="str">
        <f t="shared" si="141"/>
        <v>Chairs</v>
      </c>
      <c r="U627" t="s">
        <v>3031</v>
      </c>
      <c r="V627" t="str">
        <f t="shared" si="142"/>
        <v>Elite Chairs 358</v>
      </c>
      <c r="W627" t="s">
        <v>90</v>
      </c>
      <c r="X627" t="str">
        <f t="shared" si="143"/>
        <v>Same Day</v>
      </c>
      <c r="Y627">
        <v>6</v>
      </c>
      <c r="Z627">
        <v>3</v>
      </c>
      <c r="AA627">
        <v>527.67</v>
      </c>
      <c r="AB627">
        <v>0.2</v>
      </c>
      <c r="AC627">
        <f t="shared" si="144"/>
        <v>0.2</v>
      </c>
      <c r="AD627">
        <v>1266.41</v>
      </c>
      <c r="AE627">
        <f t="shared" si="145"/>
        <v>1266.408</v>
      </c>
      <c r="AF627">
        <v>983.92</v>
      </c>
      <c r="AG627">
        <v>282.49</v>
      </c>
      <c r="AH627">
        <f t="shared" si="146"/>
        <v>282.488</v>
      </c>
      <c r="AI627">
        <f t="shared" si="147"/>
        <v>0.223062393794101</v>
      </c>
      <c r="AJ627" t="s">
        <v>77</v>
      </c>
      <c r="AK627" t="str">
        <f t="shared" si="148"/>
        <v>Paid</v>
      </c>
      <c r="AL627" t="s">
        <v>78</v>
      </c>
      <c r="AM627" t="str">
        <f t="shared" si="149"/>
        <v>Completed</v>
      </c>
      <c r="AN627">
        <v>12</v>
      </c>
      <c r="AO627">
        <v>2024</v>
      </c>
      <c r="AP627" t="s">
        <v>79</v>
      </c>
    </row>
    <row r="628" spans="1:42">
      <c r="A628" t="s">
        <v>3032</v>
      </c>
      <c r="B628" s="3" t="s">
        <v>1442</v>
      </c>
      <c r="C628" s="3">
        <v>45812</v>
      </c>
      <c r="D628" t="s">
        <v>3033</v>
      </c>
      <c r="E628" s="3">
        <v>45815</v>
      </c>
      <c r="F628" t="s">
        <v>3034</v>
      </c>
      <c r="G628" t="s">
        <v>208</v>
      </c>
      <c r="H628" t="str">
        <f t="shared" si="135"/>
        <v>Sneha Kapoor</v>
      </c>
      <c r="I628" t="s">
        <v>154</v>
      </c>
      <c r="J628" t="str">
        <f t="shared" si="136"/>
        <v>Home Office</v>
      </c>
      <c r="K628" t="s">
        <v>7</v>
      </c>
      <c r="L628" t="str">
        <f t="shared" si="137"/>
        <v>East</v>
      </c>
      <c r="M628" t="s">
        <v>258</v>
      </c>
      <c r="N628" t="str">
        <f t="shared" si="138"/>
        <v>Assam</v>
      </c>
      <c r="O628" t="s">
        <v>259</v>
      </c>
      <c r="P628" t="str">
        <f t="shared" si="139"/>
        <v>Guwahati</v>
      </c>
      <c r="Q628" t="s">
        <v>18</v>
      </c>
      <c r="R628" t="str">
        <f t="shared" si="140"/>
        <v>Technology</v>
      </c>
      <c r="S628" t="s">
        <v>427</v>
      </c>
      <c r="T628" t="str">
        <f t="shared" si="141"/>
        <v>Machines</v>
      </c>
      <c r="U628" t="s">
        <v>3035</v>
      </c>
      <c r="V628" t="str">
        <f t="shared" si="142"/>
        <v>Elite Machines 971</v>
      </c>
      <c r="W628" t="s">
        <v>108</v>
      </c>
      <c r="X628" t="str">
        <f t="shared" si="143"/>
        <v>Standard Class</v>
      </c>
      <c r="Y628">
        <v>3</v>
      </c>
      <c r="Z628">
        <v>8</v>
      </c>
      <c r="AA628">
        <v>1434.13</v>
      </c>
      <c r="AB628">
        <v>0</v>
      </c>
      <c r="AC628">
        <f t="shared" si="144"/>
        <v>0</v>
      </c>
      <c r="AD628">
        <v>11473.04</v>
      </c>
      <c r="AE628">
        <f t="shared" si="145"/>
        <v>11473.04</v>
      </c>
      <c r="AF628">
        <v>8931.33</v>
      </c>
      <c r="AG628">
        <v>2541.71</v>
      </c>
      <c r="AH628">
        <f t="shared" si="146"/>
        <v>2541.71</v>
      </c>
      <c r="AI628">
        <f t="shared" si="147"/>
        <v>0.221537622112361</v>
      </c>
      <c r="AJ628" t="s">
        <v>177</v>
      </c>
      <c r="AK628" t="str">
        <f t="shared" si="148"/>
        <v>Pending</v>
      </c>
      <c r="AL628" t="s">
        <v>164</v>
      </c>
      <c r="AM628" t="str">
        <f t="shared" si="149"/>
        <v>Returned</v>
      </c>
      <c r="AN628">
        <v>6</v>
      </c>
      <c r="AO628">
        <v>2025</v>
      </c>
      <c r="AP628" t="s">
        <v>79</v>
      </c>
    </row>
    <row r="629" spans="1:42">
      <c r="A629" t="s">
        <v>3036</v>
      </c>
      <c r="B629" s="3" t="s">
        <v>1467</v>
      </c>
      <c r="C629" s="3">
        <v>45701</v>
      </c>
      <c r="D629" t="s">
        <v>1829</v>
      </c>
      <c r="E629" s="3">
        <v>45709</v>
      </c>
      <c r="F629" t="s">
        <v>3037</v>
      </c>
      <c r="G629" t="s">
        <v>70</v>
      </c>
      <c r="H629" t="str">
        <f t="shared" si="135"/>
        <v>Karan Malhotra</v>
      </c>
      <c r="I629" t="s">
        <v>85</v>
      </c>
      <c r="J629" t="str">
        <f t="shared" si="136"/>
        <v>Small Business</v>
      </c>
      <c r="K629" t="s">
        <v>10</v>
      </c>
      <c r="L629" t="str">
        <f t="shared" si="137"/>
        <v>South</v>
      </c>
      <c r="M629" t="s">
        <v>285</v>
      </c>
      <c r="N629" t="str">
        <f t="shared" si="138"/>
        <v>Kerala</v>
      </c>
      <c r="O629" t="s">
        <v>286</v>
      </c>
      <c r="P629" t="str">
        <f t="shared" si="139"/>
        <v>Kochi</v>
      </c>
      <c r="Q629" t="s">
        <v>24</v>
      </c>
      <c r="R629" t="str">
        <f t="shared" si="140"/>
        <v>Technology</v>
      </c>
      <c r="S629" t="s">
        <v>265</v>
      </c>
      <c r="T629" t="str">
        <f t="shared" si="141"/>
        <v>Phones</v>
      </c>
      <c r="U629" t="s">
        <v>3038</v>
      </c>
      <c r="V629" t="str">
        <f t="shared" si="142"/>
        <v>Max Phones 825</v>
      </c>
      <c r="W629" t="s">
        <v>76</v>
      </c>
      <c r="X629" t="str">
        <f t="shared" si="143"/>
        <v>Second Class</v>
      </c>
      <c r="Y629">
        <v>8</v>
      </c>
      <c r="Z629">
        <v>2</v>
      </c>
      <c r="AA629">
        <v>2360.02</v>
      </c>
      <c r="AB629">
        <v>0.15</v>
      </c>
      <c r="AC629">
        <f t="shared" si="144"/>
        <v>0.15</v>
      </c>
      <c r="AD629">
        <v>4012.03</v>
      </c>
      <c r="AE629">
        <f t="shared" si="145"/>
        <v>4012.034</v>
      </c>
      <c r="AF629">
        <v>3142.92</v>
      </c>
      <c r="AG629">
        <v>869.11</v>
      </c>
      <c r="AH629">
        <f t="shared" si="146"/>
        <v>869.114</v>
      </c>
      <c r="AI629">
        <f t="shared" si="147"/>
        <v>0.216626778337372</v>
      </c>
      <c r="AJ629" t="s">
        <v>177</v>
      </c>
      <c r="AK629" t="str">
        <f t="shared" si="148"/>
        <v>Pending</v>
      </c>
      <c r="AL629" t="s">
        <v>118</v>
      </c>
      <c r="AM629" t="str">
        <f t="shared" si="149"/>
        <v>Cancelled</v>
      </c>
      <c r="AN629">
        <v>2</v>
      </c>
      <c r="AO629">
        <v>2025</v>
      </c>
      <c r="AP629" t="s">
        <v>79</v>
      </c>
    </row>
    <row r="630" spans="1:42">
      <c r="A630" t="s">
        <v>3039</v>
      </c>
      <c r="B630" s="3" t="s">
        <v>2610</v>
      </c>
      <c r="C630" s="3">
        <v>45935</v>
      </c>
      <c r="D630" t="s">
        <v>3040</v>
      </c>
      <c r="E630" s="3">
        <v>45942</v>
      </c>
      <c r="F630" t="s">
        <v>3041</v>
      </c>
      <c r="G630" t="s">
        <v>113</v>
      </c>
      <c r="H630" t="str">
        <f t="shared" si="135"/>
        <v>Ananya Rao</v>
      </c>
      <c r="I630" t="s">
        <v>154</v>
      </c>
      <c r="J630" t="str">
        <f t="shared" si="136"/>
        <v>Home Office</v>
      </c>
      <c r="K630" t="s">
        <v>7</v>
      </c>
      <c r="L630" t="str">
        <f t="shared" si="137"/>
        <v>East</v>
      </c>
      <c r="M630" t="s">
        <v>354</v>
      </c>
      <c r="N630" t="str">
        <f t="shared" si="138"/>
        <v>Jharkhand</v>
      </c>
      <c r="O630" t="s">
        <v>355</v>
      </c>
      <c r="P630" t="str">
        <f t="shared" si="139"/>
        <v>Ranchi</v>
      </c>
      <c r="Q630" t="s">
        <v>24</v>
      </c>
      <c r="R630" t="str">
        <f t="shared" si="140"/>
        <v>Technology</v>
      </c>
      <c r="S630" t="s">
        <v>126</v>
      </c>
      <c r="T630" t="str">
        <f t="shared" si="141"/>
        <v>Accessories</v>
      </c>
      <c r="U630" t="s">
        <v>3042</v>
      </c>
      <c r="V630" t="str">
        <f t="shared" si="142"/>
        <v>Eco Accessories 933</v>
      </c>
      <c r="W630" t="s">
        <v>90</v>
      </c>
      <c r="X630" t="str">
        <f t="shared" si="143"/>
        <v>Same Day</v>
      </c>
      <c r="Y630">
        <v>7</v>
      </c>
      <c r="Z630">
        <v>7</v>
      </c>
      <c r="AA630">
        <v>806.67</v>
      </c>
      <c r="AB630">
        <v>0.05</v>
      </c>
      <c r="AC630">
        <f t="shared" si="144"/>
        <v>0.05</v>
      </c>
      <c r="AD630">
        <v>5364.36</v>
      </c>
      <c r="AE630">
        <f t="shared" si="145"/>
        <v>5364.3555</v>
      </c>
      <c r="AF630">
        <v>4391.29</v>
      </c>
      <c r="AG630">
        <v>973.07</v>
      </c>
      <c r="AH630">
        <f t="shared" si="146"/>
        <v>973.0655</v>
      </c>
      <c r="AI630">
        <f t="shared" si="147"/>
        <v>0.181394670804349</v>
      </c>
      <c r="AJ630" t="s">
        <v>77</v>
      </c>
      <c r="AK630" t="str">
        <f t="shared" si="148"/>
        <v>Paid</v>
      </c>
      <c r="AL630" t="s">
        <v>78</v>
      </c>
      <c r="AM630" t="str">
        <f t="shared" si="149"/>
        <v>Completed</v>
      </c>
      <c r="AN630">
        <v>10</v>
      </c>
      <c r="AO630">
        <v>2025</v>
      </c>
      <c r="AP630" t="s">
        <v>79</v>
      </c>
    </row>
    <row r="631" spans="1:42">
      <c r="A631" t="s">
        <v>3043</v>
      </c>
      <c r="B631" s="3" t="s">
        <v>619</v>
      </c>
      <c r="C631" s="3">
        <v>45910</v>
      </c>
      <c r="D631" t="s">
        <v>3044</v>
      </c>
      <c r="E631" s="3">
        <v>45914</v>
      </c>
      <c r="F631" t="s">
        <v>3045</v>
      </c>
      <c r="G631" t="s">
        <v>103</v>
      </c>
      <c r="H631" t="str">
        <f t="shared" si="135"/>
        <v>Arjun Bose</v>
      </c>
      <c r="I631" t="s">
        <v>154</v>
      </c>
      <c r="J631" t="str">
        <f t="shared" si="136"/>
        <v>Home Office</v>
      </c>
      <c r="K631" t="s">
        <v>11</v>
      </c>
      <c r="L631" t="str">
        <f t="shared" si="137"/>
        <v>West</v>
      </c>
      <c r="M631" t="s">
        <v>278</v>
      </c>
      <c r="N631" t="str">
        <f t="shared" si="138"/>
        <v>Gujarat</v>
      </c>
      <c r="O631" t="s">
        <v>279</v>
      </c>
      <c r="P631" t="str">
        <f t="shared" si="139"/>
        <v>Ahmedabad</v>
      </c>
      <c r="Q631" t="s">
        <v>19</v>
      </c>
      <c r="R631" t="str">
        <f t="shared" si="140"/>
        <v>Furniture</v>
      </c>
      <c r="S631" t="s">
        <v>88</v>
      </c>
      <c r="T631" t="str">
        <f t="shared" si="141"/>
        <v>Tables</v>
      </c>
      <c r="U631" t="s">
        <v>3046</v>
      </c>
      <c r="V631" t="str">
        <f t="shared" si="142"/>
        <v>Max Tables 908</v>
      </c>
      <c r="W631" t="s">
        <v>90</v>
      </c>
      <c r="X631" t="str">
        <f t="shared" si="143"/>
        <v>Same Day</v>
      </c>
      <c r="Y631">
        <v>4</v>
      </c>
      <c r="Z631">
        <v>3</v>
      </c>
      <c r="AA631">
        <v>4198.46</v>
      </c>
      <c r="AB631">
        <v>0.15</v>
      </c>
      <c r="AC631">
        <f t="shared" si="144"/>
        <v>0.15</v>
      </c>
      <c r="AD631">
        <v>10706.07</v>
      </c>
      <c r="AE631">
        <f t="shared" si="145"/>
        <v>10706.073</v>
      </c>
      <c r="AF631">
        <v>5927.1</v>
      </c>
      <c r="AG631">
        <v>4778.97</v>
      </c>
      <c r="AH631">
        <f t="shared" si="146"/>
        <v>4778.973</v>
      </c>
      <c r="AI631">
        <f t="shared" si="147"/>
        <v>0.446379638920826</v>
      </c>
      <c r="AJ631" t="s">
        <v>77</v>
      </c>
      <c r="AK631" t="str">
        <f t="shared" si="148"/>
        <v>Paid</v>
      </c>
      <c r="AL631" t="s">
        <v>78</v>
      </c>
      <c r="AM631" t="str">
        <f t="shared" si="149"/>
        <v>Completed</v>
      </c>
      <c r="AN631">
        <v>9</v>
      </c>
      <c r="AO631">
        <v>2025</v>
      </c>
      <c r="AP631" t="s">
        <v>79</v>
      </c>
    </row>
    <row r="632" spans="1:42">
      <c r="A632" t="s">
        <v>3047</v>
      </c>
      <c r="B632" s="3" t="s">
        <v>2499</v>
      </c>
      <c r="C632" s="3">
        <v>45391</v>
      </c>
      <c r="D632" t="s">
        <v>1551</v>
      </c>
      <c r="E632" s="3">
        <v>45392</v>
      </c>
      <c r="F632" t="s">
        <v>3048</v>
      </c>
      <c r="G632" t="s">
        <v>182</v>
      </c>
      <c r="H632" t="str">
        <f t="shared" si="135"/>
        <v>Priya Menon</v>
      </c>
      <c r="I632" t="s">
        <v>147</v>
      </c>
      <c r="J632" t="str">
        <f t="shared" si="136"/>
        <v>Corporate</v>
      </c>
      <c r="K632" t="s">
        <v>7</v>
      </c>
      <c r="L632" t="str">
        <f t="shared" si="137"/>
        <v>East</v>
      </c>
      <c r="M632" t="s">
        <v>258</v>
      </c>
      <c r="N632" t="str">
        <f t="shared" si="138"/>
        <v>Assam</v>
      </c>
      <c r="O632" t="s">
        <v>259</v>
      </c>
      <c r="P632" t="str">
        <f t="shared" si="139"/>
        <v>Guwahati</v>
      </c>
      <c r="Q632" t="s">
        <v>22</v>
      </c>
      <c r="R632" t="str">
        <f t="shared" si="140"/>
        <v>Office Supplies</v>
      </c>
      <c r="S632" t="s">
        <v>74</v>
      </c>
      <c r="T632" t="str">
        <f t="shared" si="141"/>
        <v>Paper</v>
      </c>
      <c r="U632" t="s">
        <v>3049</v>
      </c>
      <c r="V632" t="str">
        <f t="shared" si="142"/>
        <v>Elite Paper 239</v>
      </c>
      <c r="W632" t="s">
        <v>108</v>
      </c>
      <c r="X632" t="str">
        <f t="shared" si="143"/>
        <v>Standard Class</v>
      </c>
      <c r="Y632">
        <v>1</v>
      </c>
      <c r="Z632">
        <v>4</v>
      </c>
      <c r="AA632">
        <v>3047.05</v>
      </c>
      <c r="AB632">
        <v>0.1</v>
      </c>
      <c r="AC632">
        <f t="shared" si="144"/>
        <v>0.1</v>
      </c>
      <c r="AD632">
        <v>10969.38</v>
      </c>
      <c r="AE632">
        <f t="shared" si="145"/>
        <v>10969.38</v>
      </c>
      <c r="AF632">
        <v>9254.46</v>
      </c>
      <c r="AG632">
        <v>1714.92</v>
      </c>
      <c r="AH632">
        <f t="shared" si="146"/>
        <v>1714.92</v>
      </c>
      <c r="AI632">
        <f t="shared" si="147"/>
        <v>0.156337003549882</v>
      </c>
      <c r="AJ632" t="s">
        <v>77</v>
      </c>
      <c r="AK632" t="str">
        <f t="shared" si="148"/>
        <v>Paid</v>
      </c>
      <c r="AL632" t="s">
        <v>78</v>
      </c>
      <c r="AM632" t="str">
        <f t="shared" si="149"/>
        <v>Completed</v>
      </c>
      <c r="AN632">
        <v>4</v>
      </c>
      <c r="AO632">
        <v>2024</v>
      </c>
      <c r="AP632" t="s">
        <v>79</v>
      </c>
    </row>
    <row r="633" spans="1:42">
      <c r="A633" t="s">
        <v>3050</v>
      </c>
      <c r="B633" s="3" t="s">
        <v>1494</v>
      </c>
      <c r="C633" s="3">
        <v>45392</v>
      </c>
      <c r="D633" t="s">
        <v>1594</v>
      </c>
      <c r="E633" s="3">
        <v>45397</v>
      </c>
      <c r="F633" t="s">
        <v>3051</v>
      </c>
      <c r="G633" t="s">
        <v>202</v>
      </c>
      <c r="H633" t="str">
        <f t="shared" si="135"/>
        <v>Aarav Sharma</v>
      </c>
      <c r="I633" t="s">
        <v>154</v>
      </c>
      <c r="J633" t="str">
        <f t="shared" si="136"/>
        <v>Home Office</v>
      </c>
      <c r="K633" t="s">
        <v>11</v>
      </c>
      <c r="L633" t="str">
        <f t="shared" si="137"/>
        <v>West</v>
      </c>
      <c r="M633" t="s">
        <v>72</v>
      </c>
      <c r="N633" t="str">
        <f t="shared" si="138"/>
        <v>Rajasthan</v>
      </c>
      <c r="O633" t="s">
        <v>175</v>
      </c>
      <c r="P633" t="str">
        <f t="shared" si="139"/>
        <v>Udaipur</v>
      </c>
      <c r="Q633" t="s">
        <v>19</v>
      </c>
      <c r="R633" t="str">
        <f t="shared" si="140"/>
        <v>Furniture</v>
      </c>
      <c r="S633" t="s">
        <v>116</v>
      </c>
      <c r="T633" t="str">
        <f t="shared" si="141"/>
        <v>Chairs</v>
      </c>
      <c r="U633" t="s">
        <v>3052</v>
      </c>
      <c r="V633" t="str">
        <f t="shared" si="142"/>
        <v>Eco Chairs 452</v>
      </c>
      <c r="W633" t="s">
        <v>108</v>
      </c>
      <c r="X633" t="str">
        <f t="shared" si="143"/>
        <v>Standard Class</v>
      </c>
      <c r="Y633">
        <v>5</v>
      </c>
      <c r="Z633">
        <v>8</v>
      </c>
      <c r="AA633">
        <v>4362.48</v>
      </c>
      <c r="AB633">
        <v>0.1</v>
      </c>
      <c r="AC633">
        <f t="shared" si="144"/>
        <v>0.1</v>
      </c>
      <c r="AD633">
        <v>31409.86</v>
      </c>
      <c r="AE633">
        <f t="shared" si="145"/>
        <v>31409.856</v>
      </c>
      <c r="AF633">
        <v>22523.54</v>
      </c>
      <c r="AG633">
        <v>8886.32</v>
      </c>
      <c r="AH633">
        <f t="shared" si="146"/>
        <v>8886.316</v>
      </c>
      <c r="AI633">
        <f t="shared" si="147"/>
        <v>0.28291489142771</v>
      </c>
      <c r="AJ633" t="s">
        <v>77</v>
      </c>
      <c r="AK633" t="str">
        <f t="shared" si="148"/>
        <v>Paid</v>
      </c>
      <c r="AL633" t="s">
        <v>78</v>
      </c>
      <c r="AM633" t="str">
        <f t="shared" si="149"/>
        <v>Completed</v>
      </c>
      <c r="AN633">
        <v>4</v>
      </c>
      <c r="AO633">
        <v>2024</v>
      </c>
      <c r="AP633" t="s">
        <v>79</v>
      </c>
    </row>
    <row r="634" spans="1:42">
      <c r="A634" t="s">
        <v>3053</v>
      </c>
      <c r="B634" s="3" t="s">
        <v>3054</v>
      </c>
      <c r="C634" s="3">
        <v>45762</v>
      </c>
      <c r="D634" t="s">
        <v>3055</v>
      </c>
      <c r="E634" s="3">
        <v>45763</v>
      </c>
      <c r="F634" t="s">
        <v>3056</v>
      </c>
      <c r="G634" t="s">
        <v>208</v>
      </c>
      <c r="H634" t="str">
        <f t="shared" si="135"/>
        <v>Sneha Kapoor</v>
      </c>
      <c r="I634" t="s">
        <v>85</v>
      </c>
      <c r="J634" t="str">
        <f t="shared" si="136"/>
        <v>Small Business</v>
      </c>
      <c r="K634" t="s">
        <v>10</v>
      </c>
      <c r="L634" t="str">
        <f t="shared" si="137"/>
        <v>South</v>
      </c>
      <c r="M634" t="s">
        <v>272</v>
      </c>
      <c r="N634" t="str">
        <f t="shared" si="138"/>
        <v>Karnataka</v>
      </c>
      <c r="O634" t="s">
        <v>273</v>
      </c>
      <c r="P634" t="str">
        <f t="shared" si="139"/>
        <v>Bengaluru</v>
      </c>
      <c r="Q634" t="s">
        <v>19</v>
      </c>
      <c r="R634" t="str">
        <f t="shared" si="140"/>
        <v>Furniture</v>
      </c>
      <c r="S634" t="s">
        <v>106</v>
      </c>
      <c r="T634" t="str">
        <f t="shared" si="141"/>
        <v>Furnishings</v>
      </c>
      <c r="U634" t="s">
        <v>3057</v>
      </c>
      <c r="V634" t="str">
        <f t="shared" si="142"/>
        <v>Smart Furnishings 721</v>
      </c>
      <c r="W634" t="s">
        <v>98</v>
      </c>
      <c r="X634" t="str">
        <f t="shared" si="143"/>
        <v>First Class</v>
      </c>
      <c r="Y634">
        <v>1</v>
      </c>
      <c r="Z634">
        <v>5</v>
      </c>
      <c r="AA634">
        <v>2850.53</v>
      </c>
      <c r="AB634">
        <v>0</v>
      </c>
      <c r="AC634">
        <f t="shared" si="144"/>
        <v>0</v>
      </c>
      <c r="AD634">
        <v>14252.65</v>
      </c>
      <c r="AE634">
        <f t="shared" si="145"/>
        <v>14252.65</v>
      </c>
      <c r="AF634">
        <v>11558.31</v>
      </c>
      <c r="AG634">
        <v>2694.34</v>
      </c>
      <c r="AH634">
        <f t="shared" si="146"/>
        <v>2694.34</v>
      </c>
      <c r="AI634">
        <f t="shared" si="147"/>
        <v>0.189041336172572</v>
      </c>
      <c r="AJ634" t="s">
        <v>77</v>
      </c>
      <c r="AK634" t="str">
        <f t="shared" si="148"/>
        <v>Paid</v>
      </c>
      <c r="AL634" t="s">
        <v>78</v>
      </c>
      <c r="AM634" t="str">
        <f t="shared" si="149"/>
        <v>Completed</v>
      </c>
      <c r="AN634">
        <v>4</v>
      </c>
      <c r="AO634">
        <v>2025</v>
      </c>
      <c r="AP634" t="s">
        <v>79</v>
      </c>
    </row>
    <row r="635" spans="1:42">
      <c r="A635" t="s">
        <v>3058</v>
      </c>
      <c r="B635" s="3" t="s">
        <v>3059</v>
      </c>
      <c r="C635" s="3">
        <v>45765</v>
      </c>
      <c r="D635" t="s">
        <v>3060</v>
      </c>
      <c r="E635" s="3">
        <v>45767</v>
      </c>
      <c r="F635" t="s">
        <v>3061</v>
      </c>
      <c r="G635" t="s">
        <v>202</v>
      </c>
      <c r="H635" t="str">
        <f t="shared" si="135"/>
        <v>Aarav Sharma</v>
      </c>
      <c r="I635" t="s">
        <v>85</v>
      </c>
      <c r="J635" t="str">
        <f t="shared" si="136"/>
        <v>Small Business</v>
      </c>
      <c r="K635" t="s">
        <v>10</v>
      </c>
      <c r="L635" t="str">
        <f t="shared" si="137"/>
        <v>South</v>
      </c>
      <c r="M635" t="s">
        <v>382</v>
      </c>
      <c r="N635" t="str">
        <f t="shared" si="138"/>
        <v>Tamil Nadu</v>
      </c>
      <c r="O635" t="s">
        <v>383</v>
      </c>
      <c r="P635" t="str">
        <f t="shared" si="139"/>
        <v>Chennai</v>
      </c>
      <c r="Q635" t="s">
        <v>24</v>
      </c>
      <c r="R635" t="str">
        <f t="shared" si="140"/>
        <v>Technology</v>
      </c>
      <c r="S635" t="s">
        <v>126</v>
      </c>
      <c r="T635" t="str">
        <f t="shared" si="141"/>
        <v>Accessories</v>
      </c>
      <c r="U635" t="s">
        <v>3062</v>
      </c>
      <c r="V635" t="str">
        <f t="shared" si="142"/>
        <v>Basic Accessories 729</v>
      </c>
      <c r="W635" t="s">
        <v>76</v>
      </c>
      <c r="X635" t="str">
        <f t="shared" si="143"/>
        <v>Second Class</v>
      </c>
      <c r="Y635">
        <v>2</v>
      </c>
      <c r="Z635">
        <v>1</v>
      </c>
      <c r="AA635">
        <v>1626.08</v>
      </c>
      <c r="AB635">
        <v>0.15</v>
      </c>
      <c r="AC635">
        <f t="shared" si="144"/>
        <v>0.15</v>
      </c>
      <c r="AD635">
        <v>1382.17</v>
      </c>
      <c r="AE635">
        <f t="shared" si="145"/>
        <v>1382.168</v>
      </c>
      <c r="AF635">
        <v>810.03</v>
      </c>
      <c r="AG635">
        <v>572.14</v>
      </c>
      <c r="AH635">
        <f t="shared" si="146"/>
        <v>572.138</v>
      </c>
      <c r="AI635">
        <f t="shared" si="147"/>
        <v>0.413942444044429</v>
      </c>
      <c r="AJ635" t="s">
        <v>77</v>
      </c>
      <c r="AK635" t="str">
        <f t="shared" si="148"/>
        <v>Paid</v>
      </c>
      <c r="AL635" t="s">
        <v>78</v>
      </c>
      <c r="AM635" t="str">
        <f t="shared" si="149"/>
        <v>Completed</v>
      </c>
      <c r="AN635">
        <v>4</v>
      </c>
      <c r="AO635">
        <v>2025</v>
      </c>
      <c r="AP635" t="s">
        <v>79</v>
      </c>
    </row>
    <row r="636" spans="1:42">
      <c r="A636" t="s">
        <v>3063</v>
      </c>
      <c r="B636" s="3" t="s">
        <v>3064</v>
      </c>
      <c r="C636" s="3">
        <v>45668</v>
      </c>
      <c r="D636" t="s">
        <v>2234</v>
      </c>
      <c r="E636" s="3">
        <v>45669</v>
      </c>
      <c r="F636" t="s">
        <v>3065</v>
      </c>
      <c r="G636" t="s">
        <v>146</v>
      </c>
      <c r="H636" t="str">
        <f t="shared" si="135"/>
        <v>Aditi Sen</v>
      </c>
      <c r="I636" t="s">
        <v>71</v>
      </c>
      <c r="J636" t="str">
        <f t="shared" si="136"/>
        <v>Consumer</v>
      </c>
      <c r="K636" t="s">
        <v>10</v>
      </c>
      <c r="L636" t="str">
        <f t="shared" si="137"/>
        <v>South</v>
      </c>
      <c r="M636" t="s">
        <v>104</v>
      </c>
      <c r="N636" t="str">
        <f t="shared" si="138"/>
        <v>Telangana</v>
      </c>
      <c r="O636" t="s">
        <v>105</v>
      </c>
      <c r="P636" t="str">
        <f t="shared" si="139"/>
        <v>Hyderabad</v>
      </c>
      <c r="Q636" t="s">
        <v>19</v>
      </c>
      <c r="R636" t="str">
        <f t="shared" si="140"/>
        <v>Furniture</v>
      </c>
      <c r="S636" t="s">
        <v>116</v>
      </c>
      <c r="T636" t="str">
        <f t="shared" si="141"/>
        <v>Chairs</v>
      </c>
      <c r="U636" t="s">
        <v>3066</v>
      </c>
      <c r="V636" t="str">
        <f t="shared" si="142"/>
        <v>Classic Chairs 220</v>
      </c>
      <c r="W636" t="s">
        <v>76</v>
      </c>
      <c r="X636" t="str">
        <f t="shared" si="143"/>
        <v>Second Class</v>
      </c>
      <c r="Y636">
        <v>1</v>
      </c>
      <c r="Z636">
        <v>4</v>
      </c>
      <c r="AA636">
        <v>2427.15</v>
      </c>
      <c r="AB636">
        <v>0.05</v>
      </c>
      <c r="AC636">
        <f t="shared" si="144"/>
        <v>0.05</v>
      </c>
      <c r="AD636">
        <v>9223.17</v>
      </c>
      <c r="AE636">
        <f t="shared" si="145"/>
        <v>9223.17</v>
      </c>
      <c r="AF636">
        <v>5103.7</v>
      </c>
      <c r="AG636">
        <v>4119.47</v>
      </c>
      <c r="AH636">
        <f t="shared" si="146"/>
        <v>4119.47</v>
      </c>
      <c r="AI636">
        <f t="shared" si="147"/>
        <v>0.446643616023558</v>
      </c>
      <c r="AJ636" t="s">
        <v>77</v>
      </c>
      <c r="AK636" t="str">
        <f t="shared" si="148"/>
        <v>Paid</v>
      </c>
      <c r="AL636" t="s">
        <v>78</v>
      </c>
      <c r="AM636" t="str">
        <f t="shared" si="149"/>
        <v>Completed</v>
      </c>
      <c r="AN636">
        <v>1</v>
      </c>
      <c r="AO636">
        <v>2025</v>
      </c>
      <c r="AP636" t="s">
        <v>79</v>
      </c>
    </row>
    <row r="637" spans="1:42">
      <c r="A637" t="s">
        <v>3067</v>
      </c>
      <c r="B637" s="3" t="s">
        <v>2963</v>
      </c>
      <c r="C637" s="3">
        <v>45432</v>
      </c>
      <c r="D637" t="s">
        <v>3068</v>
      </c>
      <c r="E637" s="3">
        <v>45437</v>
      </c>
      <c r="F637" t="s">
        <v>3069</v>
      </c>
      <c r="G637" t="s">
        <v>84</v>
      </c>
      <c r="H637" t="str">
        <f t="shared" si="135"/>
        <v>Mira Das</v>
      </c>
      <c r="I637" t="s">
        <v>147</v>
      </c>
      <c r="J637" t="str">
        <f t="shared" si="136"/>
        <v>Corporate</v>
      </c>
      <c r="K637" t="s">
        <v>10</v>
      </c>
      <c r="L637" t="str">
        <f t="shared" si="137"/>
        <v>South</v>
      </c>
      <c r="M637" t="s">
        <v>139</v>
      </c>
      <c r="N637" t="str">
        <f t="shared" si="138"/>
        <v>Andhra Pradesh</v>
      </c>
      <c r="O637" t="s">
        <v>140</v>
      </c>
      <c r="P637" t="str">
        <f t="shared" si="139"/>
        <v>Vijayawada</v>
      </c>
      <c r="Q637" t="s">
        <v>19</v>
      </c>
      <c r="R637" t="str">
        <f t="shared" si="140"/>
        <v>Furniture</v>
      </c>
      <c r="S637" t="s">
        <v>116</v>
      </c>
      <c r="T637" t="str">
        <f t="shared" si="141"/>
        <v>Chairs</v>
      </c>
      <c r="U637" t="s">
        <v>3070</v>
      </c>
      <c r="V637" t="str">
        <f t="shared" si="142"/>
        <v>Max Chairs 305</v>
      </c>
      <c r="W637" t="s">
        <v>90</v>
      </c>
      <c r="X637" t="str">
        <f t="shared" si="143"/>
        <v>Same Day</v>
      </c>
      <c r="Y637">
        <v>5</v>
      </c>
      <c r="Z637">
        <v>7</v>
      </c>
      <c r="AA637">
        <v>3122.85</v>
      </c>
      <c r="AB637">
        <v>0.25</v>
      </c>
      <c r="AC637">
        <f t="shared" si="144"/>
        <v>0.25</v>
      </c>
      <c r="AD637">
        <v>16394.96</v>
      </c>
      <c r="AE637">
        <f t="shared" si="145"/>
        <v>16394.9625</v>
      </c>
      <c r="AF637">
        <v>10404.17</v>
      </c>
      <c r="AG637">
        <v>5990.79</v>
      </c>
      <c r="AH637">
        <f t="shared" si="146"/>
        <v>5990.7925</v>
      </c>
      <c r="AI637">
        <f t="shared" si="147"/>
        <v>0.365404464938544</v>
      </c>
      <c r="AJ637" t="s">
        <v>77</v>
      </c>
      <c r="AK637" t="str">
        <f t="shared" si="148"/>
        <v>Paid</v>
      </c>
      <c r="AL637" t="s">
        <v>78</v>
      </c>
      <c r="AM637" t="str">
        <f t="shared" si="149"/>
        <v>Completed</v>
      </c>
      <c r="AN637">
        <v>5</v>
      </c>
      <c r="AO637">
        <v>2024</v>
      </c>
      <c r="AP637" t="s">
        <v>79</v>
      </c>
    </row>
    <row r="638" spans="1:42">
      <c r="A638" t="s">
        <v>3071</v>
      </c>
      <c r="B638" s="3" t="s">
        <v>3072</v>
      </c>
      <c r="C638" s="3">
        <v>45567</v>
      </c>
      <c r="D638" t="s">
        <v>3073</v>
      </c>
      <c r="E638" s="3">
        <v>45574</v>
      </c>
      <c r="F638" t="s">
        <v>3074</v>
      </c>
      <c r="G638" t="s">
        <v>113</v>
      </c>
      <c r="H638" t="str">
        <f t="shared" si="135"/>
        <v>Ananya Rao</v>
      </c>
      <c r="I638" t="s">
        <v>71</v>
      </c>
      <c r="J638" t="str">
        <f t="shared" si="136"/>
        <v>Consumer</v>
      </c>
      <c r="K638" t="s">
        <v>10</v>
      </c>
      <c r="L638" t="str">
        <f t="shared" si="137"/>
        <v>South</v>
      </c>
      <c r="M638" t="s">
        <v>382</v>
      </c>
      <c r="N638" t="str">
        <f t="shared" si="138"/>
        <v>Tamil Nadu</v>
      </c>
      <c r="O638" t="s">
        <v>383</v>
      </c>
      <c r="P638" t="str">
        <f t="shared" si="139"/>
        <v>Chennai</v>
      </c>
      <c r="Q638" t="s">
        <v>22</v>
      </c>
      <c r="R638" t="str">
        <f t="shared" si="140"/>
        <v>Office Supplies</v>
      </c>
      <c r="S638" t="s">
        <v>74</v>
      </c>
      <c r="T638" t="str">
        <f t="shared" si="141"/>
        <v>Paper</v>
      </c>
      <c r="U638" t="s">
        <v>3075</v>
      </c>
      <c r="V638" t="str">
        <f t="shared" si="142"/>
        <v>Smart Paper 872</v>
      </c>
      <c r="W638" t="s">
        <v>108</v>
      </c>
      <c r="X638" t="str">
        <f t="shared" si="143"/>
        <v>Standard Class</v>
      </c>
      <c r="Y638">
        <v>7</v>
      </c>
      <c r="Z638">
        <v>8</v>
      </c>
      <c r="AA638">
        <v>1910.31</v>
      </c>
      <c r="AB638">
        <v>0.15</v>
      </c>
      <c r="AC638">
        <f t="shared" si="144"/>
        <v>0.15</v>
      </c>
      <c r="AD638">
        <v>12990.11</v>
      </c>
      <c r="AE638">
        <f t="shared" si="145"/>
        <v>12990.108</v>
      </c>
      <c r="AF638">
        <v>10200.8</v>
      </c>
      <c r="AG638">
        <v>2789.31</v>
      </c>
      <c r="AH638">
        <f t="shared" si="146"/>
        <v>2789.308</v>
      </c>
      <c r="AI638">
        <f t="shared" si="147"/>
        <v>0.214725543467383</v>
      </c>
      <c r="AJ638" t="s">
        <v>77</v>
      </c>
      <c r="AK638" t="str">
        <f t="shared" si="148"/>
        <v>Paid</v>
      </c>
      <c r="AL638" t="s">
        <v>78</v>
      </c>
      <c r="AM638" t="str">
        <f t="shared" si="149"/>
        <v>Completed</v>
      </c>
      <c r="AN638">
        <v>10</v>
      </c>
      <c r="AO638">
        <v>2024</v>
      </c>
      <c r="AP638" t="s">
        <v>79</v>
      </c>
    </row>
    <row r="639" spans="1:42">
      <c r="A639" t="s">
        <v>3076</v>
      </c>
      <c r="B639" s="3" t="s">
        <v>3077</v>
      </c>
      <c r="C639" s="3">
        <v>45438</v>
      </c>
      <c r="D639" t="s">
        <v>3078</v>
      </c>
      <c r="E639" s="3">
        <v>45438</v>
      </c>
      <c r="F639" t="s">
        <v>3079</v>
      </c>
      <c r="G639" t="s">
        <v>188</v>
      </c>
      <c r="H639" t="str">
        <f t="shared" si="135"/>
        <v>Rahul Verma</v>
      </c>
      <c r="I639" t="s">
        <v>85</v>
      </c>
      <c r="J639" t="str">
        <f t="shared" si="136"/>
        <v>Small Business</v>
      </c>
      <c r="K639" t="s">
        <v>11</v>
      </c>
      <c r="L639" t="str">
        <f t="shared" si="137"/>
        <v>West</v>
      </c>
      <c r="M639" t="s">
        <v>292</v>
      </c>
      <c r="N639" t="str">
        <f t="shared" si="138"/>
        <v>Goa</v>
      </c>
      <c r="O639" t="s">
        <v>293</v>
      </c>
      <c r="P639" t="str">
        <f t="shared" si="139"/>
        <v>Panaji</v>
      </c>
      <c r="Q639" t="s">
        <v>24</v>
      </c>
      <c r="R639" t="str">
        <f t="shared" si="140"/>
        <v>Technology</v>
      </c>
      <c r="S639" t="s">
        <v>133</v>
      </c>
      <c r="T639" t="str">
        <f t="shared" si="141"/>
        <v>Copiers</v>
      </c>
      <c r="U639" t="s">
        <v>3080</v>
      </c>
      <c r="V639" t="str">
        <f t="shared" si="142"/>
        <v>Max Copiers 994</v>
      </c>
      <c r="W639" t="s">
        <v>98</v>
      </c>
      <c r="X639" t="str">
        <f t="shared" si="143"/>
        <v>First Class</v>
      </c>
      <c r="Y639">
        <v>0</v>
      </c>
      <c r="Z639">
        <v>2</v>
      </c>
      <c r="AA639">
        <v>3192.47</v>
      </c>
      <c r="AB639">
        <v>0.2</v>
      </c>
      <c r="AC639">
        <f t="shared" si="144"/>
        <v>0.2</v>
      </c>
      <c r="AD639">
        <v>5107.95</v>
      </c>
      <c r="AE639">
        <f t="shared" si="145"/>
        <v>5107.952</v>
      </c>
      <c r="AF639">
        <v>3133.08</v>
      </c>
      <c r="AG639">
        <v>1974.87</v>
      </c>
      <c r="AH639">
        <f t="shared" si="146"/>
        <v>1974.872</v>
      </c>
      <c r="AI639">
        <f t="shared" si="147"/>
        <v>0.386626969086632</v>
      </c>
      <c r="AJ639" t="s">
        <v>77</v>
      </c>
      <c r="AK639" t="str">
        <f t="shared" si="148"/>
        <v>Paid</v>
      </c>
      <c r="AL639" t="s">
        <v>78</v>
      </c>
      <c r="AM639" t="str">
        <f t="shared" si="149"/>
        <v>Completed</v>
      </c>
      <c r="AN639">
        <v>5</v>
      </c>
      <c r="AO639">
        <v>2024</v>
      </c>
      <c r="AP639" t="s">
        <v>79</v>
      </c>
    </row>
    <row r="640" spans="1:42">
      <c r="A640" t="s">
        <v>3081</v>
      </c>
      <c r="B640" s="3" t="s">
        <v>2929</v>
      </c>
      <c r="C640" s="3">
        <v>45317</v>
      </c>
      <c r="D640" t="s">
        <v>3082</v>
      </c>
      <c r="E640" s="3">
        <v>45322</v>
      </c>
      <c r="F640" t="s">
        <v>3083</v>
      </c>
      <c r="G640" t="s">
        <v>70</v>
      </c>
      <c r="H640" t="str">
        <f t="shared" si="135"/>
        <v>Karan Malhotra</v>
      </c>
      <c r="I640" t="s">
        <v>147</v>
      </c>
      <c r="J640" t="str">
        <f t="shared" si="136"/>
        <v>Corporate</v>
      </c>
      <c r="K640" t="s">
        <v>10</v>
      </c>
      <c r="L640" t="str">
        <f t="shared" si="137"/>
        <v>South</v>
      </c>
      <c r="M640" t="s">
        <v>285</v>
      </c>
      <c r="N640" t="str">
        <f t="shared" si="138"/>
        <v>Kerala</v>
      </c>
      <c r="O640" t="s">
        <v>286</v>
      </c>
      <c r="P640" t="str">
        <f t="shared" si="139"/>
        <v>Kochi</v>
      </c>
      <c r="Q640" t="s">
        <v>22</v>
      </c>
      <c r="R640" t="str">
        <f t="shared" si="140"/>
        <v>Office Supplies</v>
      </c>
      <c r="S640" t="s">
        <v>196</v>
      </c>
      <c r="T640" t="str">
        <f t="shared" si="141"/>
        <v>Storage</v>
      </c>
      <c r="U640" t="s">
        <v>3084</v>
      </c>
      <c r="V640" t="str">
        <f t="shared" si="142"/>
        <v>Pro Storage 744</v>
      </c>
      <c r="W640" t="s">
        <v>76</v>
      </c>
      <c r="X640" t="str">
        <f t="shared" si="143"/>
        <v>Second Class</v>
      </c>
      <c r="Y640">
        <v>5</v>
      </c>
      <c r="Z640">
        <v>3</v>
      </c>
      <c r="AA640">
        <v>3224.32</v>
      </c>
      <c r="AB640">
        <v>0.2</v>
      </c>
      <c r="AC640">
        <f t="shared" si="144"/>
        <v>0.2</v>
      </c>
      <c r="AD640">
        <v>7738.37</v>
      </c>
      <c r="AE640">
        <f t="shared" si="145"/>
        <v>7738.368</v>
      </c>
      <c r="AF640">
        <v>4626.85</v>
      </c>
      <c r="AG640">
        <v>3111.52</v>
      </c>
      <c r="AH640">
        <f t="shared" si="146"/>
        <v>3111.518</v>
      </c>
      <c r="AI640">
        <f t="shared" si="147"/>
        <v>0.402089691263067</v>
      </c>
      <c r="AJ640" t="s">
        <v>241</v>
      </c>
      <c r="AK640" t="str">
        <f t="shared" si="148"/>
        <v>Failed</v>
      </c>
      <c r="AL640" t="s">
        <v>164</v>
      </c>
      <c r="AM640" t="str">
        <f t="shared" si="149"/>
        <v>Returned</v>
      </c>
      <c r="AN640">
        <v>1</v>
      </c>
      <c r="AO640">
        <v>2024</v>
      </c>
      <c r="AP640" t="s">
        <v>79</v>
      </c>
    </row>
    <row r="641" spans="1:42">
      <c r="A641" t="s">
        <v>3085</v>
      </c>
      <c r="B641" s="3" t="s">
        <v>3086</v>
      </c>
      <c r="C641" s="3">
        <v>45653</v>
      </c>
      <c r="D641" t="s">
        <v>1925</v>
      </c>
      <c r="E641" s="3">
        <v>45657</v>
      </c>
      <c r="F641" t="s">
        <v>3087</v>
      </c>
      <c r="G641" t="s">
        <v>95</v>
      </c>
      <c r="H641" t="str">
        <f t="shared" si="135"/>
        <v>Isha Nair</v>
      </c>
      <c r="I641" t="s">
        <v>85</v>
      </c>
      <c r="J641" t="str">
        <f t="shared" si="136"/>
        <v>Small Business</v>
      </c>
      <c r="K641" t="s">
        <v>7</v>
      </c>
      <c r="L641" t="str">
        <f t="shared" si="137"/>
        <v>East</v>
      </c>
      <c r="M641" t="s">
        <v>86</v>
      </c>
      <c r="N641" t="str">
        <f t="shared" si="138"/>
        <v>Odisha</v>
      </c>
      <c r="O641" t="s">
        <v>87</v>
      </c>
      <c r="P641" t="str">
        <f t="shared" si="139"/>
        <v>Bhubaneswar</v>
      </c>
      <c r="Q641" t="s">
        <v>19</v>
      </c>
      <c r="R641" t="str">
        <f t="shared" si="140"/>
        <v>Furniture</v>
      </c>
      <c r="S641" t="s">
        <v>116</v>
      </c>
      <c r="T641" t="str">
        <f t="shared" si="141"/>
        <v>Chairs</v>
      </c>
      <c r="U641" t="s">
        <v>3088</v>
      </c>
      <c r="V641" t="str">
        <f t="shared" si="142"/>
        <v>Elite Chairs 744</v>
      </c>
      <c r="W641" t="s">
        <v>76</v>
      </c>
      <c r="X641" t="str">
        <f t="shared" si="143"/>
        <v>Second Class</v>
      </c>
      <c r="Y641">
        <v>4</v>
      </c>
      <c r="Z641">
        <v>1</v>
      </c>
      <c r="AA641">
        <v>1594.7</v>
      </c>
      <c r="AB641">
        <v>0.05</v>
      </c>
      <c r="AC641">
        <f t="shared" si="144"/>
        <v>0.05</v>
      </c>
      <c r="AD641">
        <v>1514.96</v>
      </c>
      <c r="AE641">
        <f t="shared" si="145"/>
        <v>1514.965</v>
      </c>
      <c r="AF641">
        <v>1046.17</v>
      </c>
      <c r="AG641">
        <v>468.79</v>
      </c>
      <c r="AH641">
        <f t="shared" si="146"/>
        <v>468.795</v>
      </c>
      <c r="AI641">
        <f t="shared" si="147"/>
        <v>0.309442792407745</v>
      </c>
      <c r="AJ641" t="s">
        <v>77</v>
      </c>
      <c r="AK641" t="str">
        <f t="shared" si="148"/>
        <v>Paid</v>
      </c>
      <c r="AL641" t="s">
        <v>78</v>
      </c>
      <c r="AM641" t="str">
        <f t="shared" si="149"/>
        <v>Completed</v>
      </c>
      <c r="AN641">
        <v>12</v>
      </c>
      <c r="AO641">
        <v>2024</v>
      </c>
      <c r="AP641" t="s">
        <v>79</v>
      </c>
    </row>
    <row r="642" spans="1:42">
      <c r="A642" t="s">
        <v>3089</v>
      </c>
      <c r="B642" s="3" t="s">
        <v>3090</v>
      </c>
      <c r="C642" s="3">
        <v>45671</v>
      </c>
      <c r="D642" t="s">
        <v>3091</v>
      </c>
      <c r="E642" s="3">
        <v>45674</v>
      </c>
      <c r="F642" t="s">
        <v>3092</v>
      </c>
      <c r="G642" t="s">
        <v>123</v>
      </c>
      <c r="H642" t="str">
        <f t="shared" ref="H642:H705" si="150">PROPER(TRIM(G642))</f>
        <v>Vikram Iyer</v>
      </c>
      <c r="I642" t="s">
        <v>71</v>
      </c>
      <c r="J642" t="str">
        <f t="shared" ref="J642:J705" si="151">PROPER(TRIM(I642))</f>
        <v>Consumer</v>
      </c>
      <c r="K642" t="s">
        <v>11</v>
      </c>
      <c r="L642" t="str">
        <f t="shared" ref="L642:L705" si="152">PROPER(TRIM(K642))</f>
        <v>West</v>
      </c>
      <c r="M642" t="s">
        <v>292</v>
      </c>
      <c r="N642" t="str">
        <f t="shared" ref="N642:N705" si="153">PROPER(TRIM(M642))</f>
        <v>Goa</v>
      </c>
      <c r="O642" t="s">
        <v>293</v>
      </c>
      <c r="P642" t="str">
        <f t="shared" ref="P642:P705" si="154">PROPER(TRIM(O642))</f>
        <v>Panaji</v>
      </c>
      <c r="Q642" t="s">
        <v>22</v>
      </c>
      <c r="R642" t="str">
        <f t="shared" ref="R642:R705" si="155">PROPER(TRIM(Q642))</f>
        <v>Office Supplies</v>
      </c>
      <c r="S642" t="s">
        <v>196</v>
      </c>
      <c r="T642" t="str">
        <f t="shared" ref="T642:T705" si="156">PROPER(TRIM(S642))</f>
        <v>Storage</v>
      </c>
      <c r="U642" t="s">
        <v>3093</v>
      </c>
      <c r="V642" t="str">
        <f t="shared" ref="V642:V705" si="157">PROPER(TRIM(U642))</f>
        <v>Basic Storage 973</v>
      </c>
      <c r="W642" t="s">
        <v>98</v>
      </c>
      <c r="X642" t="str">
        <f t="shared" ref="X642:X705" si="158">PROPER(TRIM(W642))</f>
        <v>First Class</v>
      </c>
      <c r="Y642">
        <v>3</v>
      </c>
      <c r="Z642">
        <v>1</v>
      </c>
      <c r="AA642">
        <v>1584.12</v>
      </c>
      <c r="AB642">
        <v>0.2</v>
      </c>
      <c r="AC642">
        <f t="shared" ref="AC642:AC705" si="159">IF(OR(AB642="",AB642&lt;0),0,AB642)</f>
        <v>0.2</v>
      </c>
      <c r="AD642">
        <v>1267.3</v>
      </c>
      <c r="AE642">
        <f t="shared" ref="AE642:AE705" si="160">Z642*AA642*(1-AC642)</f>
        <v>1267.296</v>
      </c>
      <c r="AF642">
        <v>923.53</v>
      </c>
      <c r="AG642">
        <v>343.77</v>
      </c>
      <c r="AH642">
        <f t="shared" ref="AH642:AH705" si="161">AE642-AF642</f>
        <v>343.766</v>
      </c>
      <c r="AI642">
        <f t="shared" ref="AI642:AI705" si="162">AH642/AE642</f>
        <v>0.271259437416357</v>
      </c>
      <c r="AJ642" t="s">
        <v>77</v>
      </c>
      <c r="AK642" t="str">
        <f t="shared" ref="AK642:AK705" si="163">PROPER(TRIM(AJ642))</f>
        <v>Paid</v>
      </c>
      <c r="AL642" t="s">
        <v>78</v>
      </c>
      <c r="AM642" t="str">
        <f t="shared" ref="AM642:AM705" si="164">PROPER(TRIM(AL642))</f>
        <v>Completed</v>
      </c>
      <c r="AN642">
        <v>1</v>
      </c>
      <c r="AO642">
        <v>2025</v>
      </c>
      <c r="AP642" t="s">
        <v>79</v>
      </c>
    </row>
    <row r="643" spans="1:42">
      <c r="A643" t="s">
        <v>3094</v>
      </c>
      <c r="B643" s="3" t="s">
        <v>3095</v>
      </c>
      <c r="C643" s="3">
        <v>45756</v>
      </c>
      <c r="D643" t="s">
        <v>2016</v>
      </c>
      <c r="E643" s="3">
        <v>45761</v>
      </c>
      <c r="F643" t="s">
        <v>3096</v>
      </c>
      <c r="G643" t="s">
        <v>70</v>
      </c>
      <c r="H643" t="str">
        <f t="shared" si="150"/>
        <v>Karan Malhotra</v>
      </c>
      <c r="I643" t="s">
        <v>71</v>
      </c>
      <c r="J643" t="str">
        <f t="shared" si="151"/>
        <v>Consumer</v>
      </c>
      <c r="K643" t="s">
        <v>8</v>
      </c>
      <c r="L643" t="str">
        <f t="shared" si="152"/>
        <v>North</v>
      </c>
      <c r="M643" t="s">
        <v>552</v>
      </c>
      <c r="N643" t="str">
        <f t="shared" si="153"/>
        <v>Delhi</v>
      </c>
      <c r="O643" t="s">
        <v>553</v>
      </c>
      <c r="P643" t="str">
        <f t="shared" si="154"/>
        <v>New Delhi</v>
      </c>
      <c r="Q643" t="s">
        <v>19</v>
      </c>
      <c r="R643" t="str">
        <f t="shared" si="155"/>
        <v>Furniture</v>
      </c>
      <c r="S643" t="s">
        <v>106</v>
      </c>
      <c r="T643" t="str">
        <f t="shared" si="156"/>
        <v>Furnishings</v>
      </c>
      <c r="U643" t="s">
        <v>3097</v>
      </c>
      <c r="V643" t="str">
        <f t="shared" si="157"/>
        <v>Smart Furnishings 783</v>
      </c>
      <c r="W643" t="s">
        <v>90</v>
      </c>
      <c r="X643" t="str">
        <f t="shared" si="158"/>
        <v>Same Day</v>
      </c>
      <c r="Y643">
        <v>5</v>
      </c>
      <c r="Z643">
        <v>2</v>
      </c>
      <c r="AA643">
        <v>3202.87</v>
      </c>
      <c r="AB643">
        <v>0</v>
      </c>
      <c r="AC643">
        <f t="shared" si="159"/>
        <v>0</v>
      </c>
      <c r="AD643">
        <v>6405.74</v>
      </c>
      <c r="AE643">
        <f t="shared" si="160"/>
        <v>6405.74</v>
      </c>
      <c r="AF643">
        <v>3561.87</v>
      </c>
      <c r="AG643">
        <v>2843.87</v>
      </c>
      <c r="AH643">
        <f t="shared" si="161"/>
        <v>2843.87</v>
      </c>
      <c r="AI643">
        <f t="shared" si="162"/>
        <v>0.443956514001505</v>
      </c>
      <c r="AJ643" t="s">
        <v>77</v>
      </c>
      <c r="AK643" t="str">
        <f t="shared" si="163"/>
        <v>Paid</v>
      </c>
      <c r="AL643" t="s">
        <v>78</v>
      </c>
      <c r="AM643" t="str">
        <f t="shared" si="164"/>
        <v>Completed</v>
      </c>
      <c r="AN643">
        <v>4</v>
      </c>
      <c r="AO643">
        <v>2025</v>
      </c>
      <c r="AP643" t="s">
        <v>79</v>
      </c>
    </row>
    <row r="644" spans="1:42">
      <c r="A644" t="s">
        <v>3098</v>
      </c>
      <c r="B644" s="3" t="s">
        <v>2004</v>
      </c>
      <c r="C644" s="3">
        <v>45533</v>
      </c>
      <c r="D644" t="s">
        <v>81</v>
      </c>
      <c r="E644" s="3">
        <v>45535</v>
      </c>
      <c r="F644" t="s">
        <v>3099</v>
      </c>
      <c r="G644" t="s">
        <v>95</v>
      </c>
      <c r="H644" t="str">
        <f t="shared" si="150"/>
        <v>Isha Nair</v>
      </c>
      <c r="I644" t="s">
        <v>154</v>
      </c>
      <c r="J644" t="str">
        <f t="shared" si="151"/>
        <v>Home Office</v>
      </c>
      <c r="K644" t="s">
        <v>7</v>
      </c>
      <c r="L644" t="str">
        <f t="shared" si="152"/>
        <v>East</v>
      </c>
      <c r="M644" t="s">
        <v>258</v>
      </c>
      <c r="N644" t="str">
        <f t="shared" si="153"/>
        <v>Assam</v>
      </c>
      <c r="O644" t="s">
        <v>259</v>
      </c>
      <c r="P644" t="str">
        <f t="shared" si="154"/>
        <v>Guwahati</v>
      </c>
      <c r="Q644" t="s">
        <v>22</v>
      </c>
      <c r="R644" t="str">
        <f t="shared" si="155"/>
        <v>Office Supplies</v>
      </c>
      <c r="S644" t="s">
        <v>3100</v>
      </c>
      <c r="T644" t="str">
        <f t="shared" si="156"/>
        <v>Binders</v>
      </c>
      <c r="U644" t="s">
        <v>3101</v>
      </c>
      <c r="V644" t="str">
        <f t="shared" si="157"/>
        <v>Prime Binders 287</v>
      </c>
      <c r="W644" t="s">
        <v>76</v>
      </c>
      <c r="X644" t="str">
        <f t="shared" si="158"/>
        <v>Second Class</v>
      </c>
      <c r="Y644">
        <v>2</v>
      </c>
      <c r="Z644">
        <v>9</v>
      </c>
      <c r="AA644">
        <v>1275.21</v>
      </c>
      <c r="AB644">
        <v>0.25</v>
      </c>
      <c r="AC644">
        <f t="shared" si="159"/>
        <v>0.25</v>
      </c>
      <c r="AD644">
        <v>8607.67</v>
      </c>
      <c r="AE644">
        <f t="shared" si="160"/>
        <v>8607.6675</v>
      </c>
      <c r="AF644">
        <v>5337.64</v>
      </c>
      <c r="AG644">
        <v>3270.03</v>
      </c>
      <c r="AH644">
        <f t="shared" si="161"/>
        <v>3270.0275</v>
      </c>
      <c r="AI644">
        <f t="shared" si="162"/>
        <v>0.379897051088463</v>
      </c>
      <c r="AJ644" t="s">
        <v>241</v>
      </c>
      <c r="AK644" t="str">
        <f t="shared" si="163"/>
        <v>Failed</v>
      </c>
      <c r="AL644" t="s">
        <v>164</v>
      </c>
      <c r="AM644" t="str">
        <f t="shared" si="164"/>
        <v>Returned</v>
      </c>
      <c r="AN644">
        <v>8</v>
      </c>
      <c r="AO644">
        <v>2024</v>
      </c>
      <c r="AP644" t="s">
        <v>79</v>
      </c>
    </row>
    <row r="645" spans="1:42">
      <c r="A645" t="s">
        <v>3102</v>
      </c>
      <c r="B645" s="3" t="s">
        <v>3103</v>
      </c>
      <c r="C645" s="3">
        <v>45327</v>
      </c>
      <c r="D645" t="s">
        <v>3104</v>
      </c>
      <c r="E645" s="3">
        <v>45335</v>
      </c>
      <c r="F645" t="s">
        <v>1147</v>
      </c>
      <c r="G645" t="s">
        <v>202</v>
      </c>
      <c r="H645" t="str">
        <f t="shared" si="150"/>
        <v>Aarav Sharma</v>
      </c>
      <c r="I645" t="s">
        <v>154</v>
      </c>
      <c r="J645" t="str">
        <f t="shared" si="151"/>
        <v>Home Office</v>
      </c>
      <c r="K645" t="s">
        <v>8</v>
      </c>
      <c r="L645" t="str">
        <f t="shared" si="152"/>
        <v>North</v>
      </c>
      <c r="M645" t="s">
        <v>214</v>
      </c>
      <c r="N645" t="str">
        <f t="shared" si="153"/>
        <v>Uttar Pradesh</v>
      </c>
      <c r="O645" t="s">
        <v>215</v>
      </c>
      <c r="P645" t="str">
        <f t="shared" si="154"/>
        <v>Noida</v>
      </c>
      <c r="Q645" t="s">
        <v>22</v>
      </c>
      <c r="R645" t="str">
        <f t="shared" si="155"/>
        <v>Office Supplies</v>
      </c>
      <c r="S645" t="s">
        <v>148</v>
      </c>
      <c r="T645" t="str">
        <f t="shared" si="156"/>
        <v>Labels</v>
      </c>
      <c r="U645" t="s">
        <v>3105</v>
      </c>
      <c r="V645" t="str">
        <f t="shared" si="157"/>
        <v>Elite Labels 654</v>
      </c>
      <c r="W645" t="s">
        <v>108</v>
      </c>
      <c r="X645" t="str">
        <f t="shared" si="158"/>
        <v>Standard Class</v>
      </c>
      <c r="Y645">
        <v>8</v>
      </c>
      <c r="Z645">
        <v>8</v>
      </c>
      <c r="AA645">
        <v>3871.18</v>
      </c>
      <c r="AB645">
        <v>0.15</v>
      </c>
      <c r="AC645">
        <f t="shared" si="159"/>
        <v>0.15</v>
      </c>
      <c r="AD645">
        <v>26324.02</v>
      </c>
      <c r="AE645">
        <f t="shared" si="160"/>
        <v>26324.024</v>
      </c>
      <c r="AF645">
        <v>16277.96</v>
      </c>
      <c r="AG645">
        <v>10046.06</v>
      </c>
      <c r="AH645">
        <f t="shared" si="161"/>
        <v>10046.064</v>
      </c>
      <c r="AI645">
        <f t="shared" si="162"/>
        <v>0.381631015075811</v>
      </c>
      <c r="AJ645" t="s">
        <v>241</v>
      </c>
      <c r="AK645" t="str">
        <f t="shared" si="163"/>
        <v>Failed</v>
      </c>
      <c r="AL645" t="s">
        <v>164</v>
      </c>
      <c r="AM645" t="str">
        <f t="shared" si="164"/>
        <v>Returned</v>
      </c>
      <c r="AN645">
        <v>2</v>
      </c>
      <c r="AO645">
        <v>2024</v>
      </c>
      <c r="AP645" t="s">
        <v>79</v>
      </c>
    </row>
    <row r="646" spans="1:42">
      <c r="A646" t="s">
        <v>3106</v>
      </c>
      <c r="B646" s="3" t="s">
        <v>2648</v>
      </c>
      <c r="C646" s="3">
        <v>45757</v>
      </c>
      <c r="D646" t="s">
        <v>3107</v>
      </c>
      <c r="E646" s="3">
        <v>45764</v>
      </c>
      <c r="F646" t="s">
        <v>3108</v>
      </c>
      <c r="G646" t="s">
        <v>123</v>
      </c>
      <c r="H646" t="str">
        <f t="shared" si="150"/>
        <v>Vikram Iyer</v>
      </c>
      <c r="I646" t="s">
        <v>71</v>
      </c>
      <c r="J646" t="str">
        <f t="shared" si="151"/>
        <v>Consumer</v>
      </c>
      <c r="K646" t="s">
        <v>7</v>
      </c>
      <c r="L646" t="str">
        <f t="shared" si="152"/>
        <v>East</v>
      </c>
      <c r="M646" t="s">
        <v>160</v>
      </c>
      <c r="N646" t="str">
        <f t="shared" si="153"/>
        <v>West Bengal</v>
      </c>
      <c r="O646" t="s">
        <v>161</v>
      </c>
      <c r="P646" t="str">
        <f t="shared" si="154"/>
        <v>Kolkata</v>
      </c>
      <c r="Q646" t="s">
        <v>19</v>
      </c>
      <c r="R646" t="str">
        <f t="shared" si="155"/>
        <v>Furniture</v>
      </c>
      <c r="S646" t="s">
        <v>116</v>
      </c>
      <c r="T646" t="str">
        <f t="shared" si="156"/>
        <v>Chairs</v>
      </c>
      <c r="U646" t="s">
        <v>3109</v>
      </c>
      <c r="V646" t="str">
        <f t="shared" si="157"/>
        <v>Pro Chairs 812</v>
      </c>
      <c r="W646" t="s">
        <v>108</v>
      </c>
      <c r="X646" t="str">
        <f t="shared" si="158"/>
        <v>Standard Class</v>
      </c>
      <c r="Y646">
        <v>7</v>
      </c>
      <c r="Z646">
        <v>4</v>
      </c>
      <c r="AA646">
        <v>3750.02</v>
      </c>
      <c r="AB646">
        <v>0.05</v>
      </c>
      <c r="AC646">
        <f t="shared" si="159"/>
        <v>0.05</v>
      </c>
      <c r="AD646">
        <v>14250.08</v>
      </c>
      <c r="AE646">
        <f t="shared" si="160"/>
        <v>14250.076</v>
      </c>
      <c r="AF646">
        <v>10914.92</v>
      </c>
      <c r="AG646">
        <v>3335.16</v>
      </c>
      <c r="AH646">
        <f t="shared" si="161"/>
        <v>3335.156</v>
      </c>
      <c r="AI646">
        <f t="shared" si="162"/>
        <v>0.234044786848856</v>
      </c>
      <c r="AJ646" t="s">
        <v>77</v>
      </c>
      <c r="AK646" t="str">
        <f t="shared" si="163"/>
        <v>Paid</v>
      </c>
      <c r="AL646" t="s">
        <v>78</v>
      </c>
      <c r="AM646" t="str">
        <f t="shared" si="164"/>
        <v>Completed</v>
      </c>
      <c r="AN646">
        <v>4</v>
      </c>
      <c r="AO646">
        <v>2025</v>
      </c>
      <c r="AP646" t="s">
        <v>79</v>
      </c>
    </row>
    <row r="647" spans="1:42">
      <c r="A647" t="s">
        <v>3110</v>
      </c>
      <c r="B647" s="3" t="s">
        <v>3111</v>
      </c>
      <c r="C647" s="3">
        <v>45295</v>
      </c>
      <c r="D647" t="s">
        <v>2802</v>
      </c>
      <c r="E647" s="3">
        <v>45300</v>
      </c>
      <c r="F647" t="s">
        <v>3112</v>
      </c>
      <c r="G647" t="s">
        <v>411</v>
      </c>
      <c r="H647" t="str">
        <f t="shared" si="150"/>
        <v>Kabir Singh</v>
      </c>
      <c r="I647" t="s">
        <v>71</v>
      </c>
      <c r="J647" t="str">
        <f t="shared" si="151"/>
        <v>Consumer</v>
      </c>
      <c r="K647" t="s">
        <v>7</v>
      </c>
      <c r="L647" t="str">
        <f t="shared" si="152"/>
        <v>East</v>
      </c>
      <c r="M647" t="s">
        <v>227</v>
      </c>
      <c r="N647" t="str">
        <f t="shared" si="153"/>
        <v>Bihar</v>
      </c>
      <c r="O647" t="s">
        <v>228</v>
      </c>
      <c r="P647" t="str">
        <f t="shared" si="154"/>
        <v>Patna</v>
      </c>
      <c r="Q647" t="s">
        <v>19</v>
      </c>
      <c r="R647" t="str">
        <f t="shared" si="155"/>
        <v>Furniture</v>
      </c>
      <c r="S647" t="s">
        <v>116</v>
      </c>
      <c r="T647" t="str">
        <f t="shared" si="156"/>
        <v>Chairs</v>
      </c>
      <c r="U647" t="s">
        <v>3113</v>
      </c>
      <c r="V647" t="str">
        <f t="shared" si="157"/>
        <v>Basic Chairs 480</v>
      </c>
      <c r="W647" t="s">
        <v>76</v>
      </c>
      <c r="X647" t="str">
        <f t="shared" si="158"/>
        <v>Second Class</v>
      </c>
      <c r="Y647">
        <v>5</v>
      </c>
      <c r="Z647">
        <v>6</v>
      </c>
      <c r="AA647">
        <v>2423.61</v>
      </c>
      <c r="AB647">
        <v>0.1</v>
      </c>
      <c r="AC647">
        <f t="shared" si="159"/>
        <v>0.1</v>
      </c>
      <c r="AD647">
        <v>13087.49</v>
      </c>
      <c r="AE647">
        <f t="shared" si="160"/>
        <v>13087.494</v>
      </c>
      <c r="AF647">
        <v>7608.89</v>
      </c>
      <c r="AG647">
        <v>5133.22</v>
      </c>
      <c r="AH647">
        <f t="shared" si="161"/>
        <v>5478.604</v>
      </c>
      <c r="AI647">
        <f t="shared" si="162"/>
        <v>0.418613678065488</v>
      </c>
      <c r="AJ647" t="s">
        <v>77</v>
      </c>
      <c r="AK647" t="str">
        <f t="shared" si="163"/>
        <v>Paid</v>
      </c>
      <c r="AL647" t="s">
        <v>78</v>
      </c>
      <c r="AM647" t="str">
        <f t="shared" si="164"/>
        <v>Completed</v>
      </c>
      <c r="AN647">
        <v>1</v>
      </c>
      <c r="AO647">
        <v>2024</v>
      </c>
      <c r="AP647" t="s">
        <v>79</v>
      </c>
    </row>
    <row r="648" spans="1:42">
      <c r="A648" t="s">
        <v>3114</v>
      </c>
      <c r="B648" s="3" t="s">
        <v>3115</v>
      </c>
      <c r="C648" s="3">
        <v>45553</v>
      </c>
      <c r="D648" t="s">
        <v>3116</v>
      </c>
      <c r="E648" s="3">
        <v>45559</v>
      </c>
      <c r="F648" t="s">
        <v>3117</v>
      </c>
      <c r="G648" t="s">
        <v>123</v>
      </c>
      <c r="H648" t="str">
        <f t="shared" si="150"/>
        <v>Vikram Iyer</v>
      </c>
      <c r="I648" t="s">
        <v>85</v>
      </c>
      <c r="J648" t="str">
        <f t="shared" si="151"/>
        <v>Small Business</v>
      </c>
      <c r="K648" t="s">
        <v>7</v>
      </c>
      <c r="L648" t="str">
        <f t="shared" si="152"/>
        <v>East</v>
      </c>
      <c r="M648" t="s">
        <v>354</v>
      </c>
      <c r="N648" t="str">
        <f t="shared" si="153"/>
        <v>Jharkhand</v>
      </c>
      <c r="O648" t="s">
        <v>355</v>
      </c>
      <c r="P648" t="str">
        <f t="shared" si="154"/>
        <v>Ranchi</v>
      </c>
      <c r="Q648" t="s">
        <v>24</v>
      </c>
      <c r="R648" t="str">
        <f t="shared" si="155"/>
        <v>Technology</v>
      </c>
      <c r="S648" t="s">
        <v>427</v>
      </c>
      <c r="T648" t="str">
        <f t="shared" si="156"/>
        <v>Machines</v>
      </c>
      <c r="U648" t="s">
        <v>3118</v>
      </c>
      <c r="V648" t="str">
        <f t="shared" si="157"/>
        <v>Elite Machines 955</v>
      </c>
      <c r="W648" t="s">
        <v>98</v>
      </c>
      <c r="X648" t="str">
        <f t="shared" si="158"/>
        <v>First Class</v>
      </c>
      <c r="Y648">
        <v>6</v>
      </c>
      <c r="Z648">
        <v>3</v>
      </c>
      <c r="AA648">
        <v>729.14</v>
      </c>
      <c r="AB648">
        <v>0.25</v>
      </c>
      <c r="AC648">
        <f t="shared" si="159"/>
        <v>0.25</v>
      </c>
      <c r="AD648">
        <v>1640.57</v>
      </c>
      <c r="AE648">
        <f t="shared" si="160"/>
        <v>1640.565</v>
      </c>
      <c r="AF648">
        <v>1136.98</v>
      </c>
      <c r="AG648">
        <v>503.59</v>
      </c>
      <c r="AH648">
        <f t="shared" si="161"/>
        <v>503.585</v>
      </c>
      <c r="AI648">
        <f t="shared" si="162"/>
        <v>0.306958273521622</v>
      </c>
      <c r="AJ648" t="s">
        <v>77</v>
      </c>
      <c r="AK648" t="str">
        <f t="shared" si="163"/>
        <v>Paid</v>
      </c>
      <c r="AL648" t="s">
        <v>78</v>
      </c>
      <c r="AM648" t="str">
        <f t="shared" si="164"/>
        <v>Completed</v>
      </c>
      <c r="AN648">
        <v>9</v>
      </c>
      <c r="AO648">
        <v>2024</v>
      </c>
      <c r="AP648" t="s">
        <v>79</v>
      </c>
    </row>
    <row r="649" spans="1:42">
      <c r="A649" t="s">
        <v>3119</v>
      </c>
      <c r="B649" s="3" t="s">
        <v>1381</v>
      </c>
      <c r="C649" s="3">
        <v>45658</v>
      </c>
      <c r="D649" t="s">
        <v>3120</v>
      </c>
      <c r="E649" s="3">
        <v>45666</v>
      </c>
      <c r="F649" t="s">
        <v>3121</v>
      </c>
      <c r="G649" t="s">
        <v>3122</v>
      </c>
      <c r="H649" t="str">
        <f t="shared" si="150"/>
        <v>Rohan Mehta</v>
      </c>
      <c r="I649" t="s">
        <v>85</v>
      </c>
      <c r="J649" t="str">
        <f t="shared" si="151"/>
        <v>Small Business</v>
      </c>
      <c r="K649" t="s">
        <v>8</v>
      </c>
      <c r="L649" t="str">
        <f t="shared" si="152"/>
        <v>North</v>
      </c>
      <c r="M649" t="s">
        <v>194</v>
      </c>
      <c r="N649" t="str">
        <f t="shared" si="153"/>
        <v>Punjab</v>
      </c>
      <c r="O649" t="s">
        <v>195</v>
      </c>
      <c r="P649" t="str">
        <f t="shared" si="154"/>
        <v>Ludhiana</v>
      </c>
      <c r="Q649" t="s">
        <v>22</v>
      </c>
      <c r="R649" t="str">
        <f t="shared" si="155"/>
        <v>Office Supplies</v>
      </c>
      <c r="S649" t="s">
        <v>96</v>
      </c>
      <c r="T649" t="str">
        <f t="shared" si="156"/>
        <v>Art</v>
      </c>
      <c r="U649" t="s">
        <v>3123</v>
      </c>
      <c r="V649" t="str">
        <f t="shared" si="157"/>
        <v>Prime Art 461</v>
      </c>
      <c r="W649" t="s">
        <v>98</v>
      </c>
      <c r="X649" t="str">
        <f t="shared" si="158"/>
        <v>First Class</v>
      </c>
      <c r="Y649">
        <v>8</v>
      </c>
      <c r="Z649">
        <v>8</v>
      </c>
      <c r="AA649">
        <v>2123.81</v>
      </c>
      <c r="AB649">
        <v>0.15</v>
      </c>
      <c r="AC649">
        <f t="shared" si="159"/>
        <v>0.15</v>
      </c>
      <c r="AD649">
        <v>14441.91</v>
      </c>
      <c r="AE649">
        <f t="shared" si="160"/>
        <v>14441.908</v>
      </c>
      <c r="AF649">
        <v>10872.89</v>
      </c>
      <c r="AG649">
        <v>3569.02</v>
      </c>
      <c r="AH649">
        <f t="shared" si="161"/>
        <v>3569.018</v>
      </c>
      <c r="AI649">
        <f t="shared" si="162"/>
        <v>0.247129257436067</v>
      </c>
      <c r="AJ649" t="s">
        <v>77</v>
      </c>
      <c r="AK649" t="str">
        <f t="shared" si="163"/>
        <v>Paid</v>
      </c>
      <c r="AL649" t="s">
        <v>78</v>
      </c>
      <c r="AM649" t="str">
        <f t="shared" si="164"/>
        <v>Completed</v>
      </c>
      <c r="AN649">
        <v>1</v>
      </c>
      <c r="AO649">
        <v>2025</v>
      </c>
      <c r="AP649" t="s">
        <v>79</v>
      </c>
    </row>
    <row r="650" spans="1:42">
      <c r="A650" t="s">
        <v>3124</v>
      </c>
      <c r="B650" s="3" t="s">
        <v>3125</v>
      </c>
      <c r="C650" s="3">
        <v>45403</v>
      </c>
      <c r="D650" t="s">
        <v>402</v>
      </c>
      <c r="E650" s="3">
        <v>45406</v>
      </c>
      <c r="F650" t="s">
        <v>3126</v>
      </c>
      <c r="G650" t="s">
        <v>132</v>
      </c>
      <c r="H650" t="str">
        <f t="shared" si="150"/>
        <v>Neha Gupta</v>
      </c>
      <c r="I650" t="s">
        <v>85</v>
      </c>
      <c r="J650" t="str">
        <f t="shared" si="151"/>
        <v>Small Business</v>
      </c>
      <c r="K650" t="s">
        <v>10</v>
      </c>
      <c r="L650" t="str">
        <f t="shared" si="152"/>
        <v>South</v>
      </c>
      <c r="M650" t="s">
        <v>139</v>
      </c>
      <c r="N650" t="str">
        <f t="shared" si="153"/>
        <v>Andhra Pradesh</v>
      </c>
      <c r="O650" t="s">
        <v>140</v>
      </c>
      <c r="P650" t="str">
        <f t="shared" si="154"/>
        <v>Vijayawada</v>
      </c>
      <c r="Q650" t="s">
        <v>22</v>
      </c>
      <c r="R650" t="str">
        <f t="shared" si="155"/>
        <v>Office Supplies</v>
      </c>
      <c r="S650" t="s">
        <v>96</v>
      </c>
      <c r="T650" t="str">
        <f t="shared" si="156"/>
        <v>Art</v>
      </c>
      <c r="U650" t="s">
        <v>3127</v>
      </c>
      <c r="V650" t="str">
        <f t="shared" si="157"/>
        <v>Prime Art 301</v>
      </c>
      <c r="W650" t="s">
        <v>90</v>
      </c>
      <c r="X650" t="str">
        <f t="shared" si="158"/>
        <v>Same Day</v>
      </c>
      <c r="Y650">
        <v>3</v>
      </c>
      <c r="Z650">
        <v>9</v>
      </c>
      <c r="AA650">
        <v>703.59</v>
      </c>
      <c r="AB650">
        <v>0.2</v>
      </c>
      <c r="AC650">
        <f t="shared" si="159"/>
        <v>0.2</v>
      </c>
      <c r="AD650">
        <v>5065.85</v>
      </c>
      <c r="AE650">
        <f t="shared" si="160"/>
        <v>5065.848</v>
      </c>
      <c r="AF650">
        <v>3517.23</v>
      </c>
      <c r="AG650">
        <v>1548.62</v>
      </c>
      <c r="AH650">
        <f t="shared" si="161"/>
        <v>1548.618</v>
      </c>
      <c r="AI650">
        <f t="shared" si="162"/>
        <v>0.305697683783643</v>
      </c>
      <c r="AJ650" t="s">
        <v>241</v>
      </c>
      <c r="AK650" t="str">
        <f t="shared" si="163"/>
        <v>Failed</v>
      </c>
      <c r="AL650" t="s">
        <v>164</v>
      </c>
      <c r="AM650" t="str">
        <f t="shared" si="164"/>
        <v>Returned</v>
      </c>
      <c r="AN650">
        <v>4</v>
      </c>
      <c r="AO650">
        <v>2024</v>
      </c>
      <c r="AP650" t="s">
        <v>79</v>
      </c>
    </row>
    <row r="651" spans="1:42">
      <c r="A651" t="s">
        <v>3128</v>
      </c>
      <c r="B651" s="3" t="s">
        <v>3129</v>
      </c>
      <c r="C651" s="3">
        <v>45880</v>
      </c>
      <c r="D651" t="s">
        <v>3130</v>
      </c>
      <c r="E651" s="3">
        <v>45888</v>
      </c>
      <c r="F651" t="s">
        <v>3131</v>
      </c>
      <c r="G651" t="s">
        <v>411</v>
      </c>
      <c r="H651" t="str">
        <f t="shared" si="150"/>
        <v>Kabir Singh</v>
      </c>
      <c r="I651" t="s">
        <v>85</v>
      </c>
      <c r="J651" t="str">
        <f t="shared" si="151"/>
        <v>Small Business</v>
      </c>
      <c r="K651" t="s">
        <v>10</v>
      </c>
      <c r="L651" t="str">
        <f t="shared" si="152"/>
        <v>South</v>
      </c>
      <c r="M651" t="s">
        <v>285</v>
      </c>
      <c r="N651" t="str">
        <f t="shared" si="153"/>
        <v>Kerala</v>
      </c>
      <c r="O651" t="s">
        <v>286</v>
      </c>
      <c r="P651" t="str">
        <f t="shared" si="154"/>
        <v>Kochi</v>
      </c>
      <c r="Q651" t="s">
        <v>24</v>
      </c>
      <c r="R651" t="str">
        <f t="shared" si="155"/>
        <v>Technology</v>
      </c>
      <c r="S651" t="s">
        <v>126</v>
      </c>
      <c r="T651" t="str">
        <f t="shared" si="156"/>
        <v>Accessories</v>
      </c>
      <c r="U651" t="s">
        <v>3132</v>
      </c>
      <c r="V651" t="str">
        <f t="shared" si="157"/>
        <v>Classic Accessories 354</v>
      </c>
      <c r="W651" t="s">
        <v>108</v>
      </c>
      <c r="X651" t="str">
        <f t="shared" si="158"/>
        <v>Standard Class</v>
      </c>
      <c r="Y651">
        <v>8</v>
      </c>
      <c r="Z651">
        <v>4</v>
      </c>
      <c r="AA651">
        <v>2258.96</v>
      </c>
      <c r="AB651">
        <v>0.25</v>
      </c>
      <c r="AC651">
        <f t="shared" si="159"/>
        <v>0.25</v>
      </c>
      <c r="AD651">
        <v>6776.88</v>
      </c>
      <c r="AE651">
        <f t="shared" si="160"/>
        <v>6776.88</v>
      </c>
      <c r="AF651">
        <v>3836.24</v>
      </c>
      <c r="AG651">
        <v>2940.64</v>
      </c>
      <c r="AH651">
        <f t="shared" si="161"/>
        <v>2940.64</v>
      </c>
      <c r="AI651">
        <f t="shared" si="162"/>
        <v>0.433922394966415</v>
      </c>
      <c r="AJ651" t="s">
        <v>77</v>
      </c>
      <c r="AK651" t="str">
        <f t="shared" si="163"/>
        <v>Paid</v>
      </c>
      <c r="AL651" t="s">
        <v>78</v>
      </c>
      <c r="AM651" t="str">
        <f t="shared" si="164"/>
        <v>Completed</v>
      </c>
      <c r="AN651">
        <v>8</v>
      </c>
      <c r="AO651">
        <v>2025</v>
      </c>
      <c r="AP651" t="s">
        <v>79</v>
      </c>
    </row>
    <row r="652" spans="1:42">
      <c r="A652" t="s">
        <v>3133</v>
      </c>
      <c r="B652" s="3" t="s">
        <v>3134</v>
      </c>
      <c r="C652" s="3">
        <v>45395</v>
      </c>
      <c r="D652" t="s">
        <v>3135</v>
      </c>
      <c r="E652" s="3">
        <v>45403</v>
      </c>
      <c r="F652" t="s">
        <v>593</v>
      </c>
      <c r="G652" t="s">
        <v>202</v>
      </c>
      <c r="H652" t="str">
        <f t="shared" si="150"/>
        <v>Aarav Sharma</v>
      </c>
      <c r="I652" t="s">
        <v>154</v>
      </c>
      <c r="J652" t="str">
        <f t="shared" si="151"/>
        <v>Home Office</v>
      </c>
      <c r="K652" t="s">
        <v>7</v>
      </c>
      <c r="L652" t="str">
        <f t="shared" si="152"/>
        <v>East</v>
      </c>
      <c r="M652" t="s">
        <v>227</v>
      </c>
      <c r="N652" t="str">
        <f t="shared" si="153"/>
        <v>Bihar</v>
      </c>
      <c r="O652" t="s">
        <v>228</v>
      </c>
      <c r="P652" t="str">
        <f t="shared" si="154"/>
        <v>Patna</v>
      </c>
      <c r="Q652" t="s">
        <v>24</v>
      </c>
      <c r="R652" t="str">
        <f t="shared" si="155"/>
        <v>Technology</v>
      </c>
      <c r="S652" t="s">
        <v>126</v>
      </c>
      <c r="T652" t="str">
        <f t="shared" si="156"/>
        <v>Accessories</v>
      </c>
      <c r="U652" t="s">
        <v>3136</v>
      </c>
      <c r="V652" t="str">
        <f t="shared" si="157"/>
        <v>Basic Accessories 210</v>
      </c>
      <c r="W652" t="s">
        <v>90</v>
      </c>
      <c r="X652" t="str">
        <f t="shared" si="158"/>
        <v>Same Day</v>
      </c>
      <c r="Y652">
        <v>8</v>
      </c>
      <c r="Z652">
        <v>7</v>
      </c>
      <c r="AA652">
        <v>2648.76</v>
      </c>
      <c r="AB652">
        <v>0.15</v>
      </c>
      <c r="AC652">
        <f t="shared" si="159"/>
        <v>0.15</v>
      </c>
      <c r="AD652">
        <v>15760.12</v>
      </c>
      <c r="AE652">
        <f t="shared" si="160"/>
        <v>15760.122</v>
      </c>
      <c r="AF652">
        <v>9931.53</v>
      </c>
      <c r="AG652">
        <v>5828.59</v>
      </c>
      <c r="AH652">
        <f t="shared" si="161"/>
        <v>5828.592</v>
      </c>
      <c r="AI652">
        <f t="shared" si="162"/>
        <v>0.369831654856479</v>
      </c>
      <c r="AJ652" t="s">
        <v>241</v>
      </c>
      <c r="AK652" t="str">
        <f t="shared" si="163"/>
        <v>Failed</v>
      </c>
      <c r="AL652" t="s">
        <v>164</v>
      </c>
      <c r="AM652" t="str">
        <f t="shared" si="164"/>
        <v>Returned</v>
      </c>
      <c r="AN652">
        <v>4</v>
      </c>
      <c r="AO652">
        <v>2024</v>
      </c>
      <c r="AP652" t="s">
        <v>79</v>
      </c>
    </row>
    <row r="653" spans="1:42">
      <c r="A653" t="s">
        <v>3137</v>
      </c>
      <c r="B653" s="3" t="s">
        <v>1423</v>
      </c>
      <c r="C653" s="3">
        <v>45875</v>
      </c>
      <c r="D653" t="s">
        <v>3138</v>
      </c>
      <c r="E653" s="3">
        <v>45878</v>
      </c>
      <c r="F653" t="s">
        <v>3139</v>
      </c>
      <c r="G653" t="s">
        <v>84</v>
      </c>
      <c r="H653" t="str">
        <f t="shared" si="150"/>
        <v>Mira Das</v>
      </c>
      <c r="I653" t="s">
        <v>85</v>
      </c>
      <c r="J653" t="str">
        <f t="shared" si="151"/>
        <v>Small Business</v>
      </c>
      <c r="K653" t="s">
        <v>10</v>
      </c>
      <c r="L653" t="str">
        <f t="shared" si="152"/>
        <v>South</v>
      </c>
      <c r="M653" t="s">
        <v>139</v>
      </c>
      <c r="N653" t="str">
        <f t="shared" si="153"/>
        <v>Andhra Pradesh</v>
      </c>
      <c r="O653" t="s">
        <v>140</v>
      </c>
      <c r="P653" t="str">
        <f t="shared" si="154"/>
        <v>Vijayawada</v>
      </c>
      <c r="Q653" t="s">
        <v>22</v>
      </c>
      <c r="R653" t="str">
        <f t="shared" si="155"/>
        <v>Office Supplies</v>
      </c>
      <c r="S653" t="s">
        <v>74</v>
      </c>
      <c r="T653" t="str">
        <f t="shared" si="156"/>
        <v>Paper</v>
      </c>
      <c r="U653" t="s">
        <v>3140</v>
      </c>
      <c r="V653" t="str">
        <f t="shared" si="157"/>
        <v>Smart Paper 364</v>
      </c>
      <c r="W653" t="s">
        <v>76</v>
      </c>
      <c r="X653" t="str">
        <f t="shared" si="158"/>
        <v>Second Class</v>
      </c>
      <c r="Y653">
        <v>3</v>
      </c>
      <c r="Z653">
        <v>3</v>
      </c>
      <c r="AA653">
        <v>598.55</v>
      </c>
      <c r="AB653">
        <v>0</v>
      </c>
      <c r="AC653">
        <f t="shared" si="159"/>
        <v>0</v>
      </c>
      <c r="AD653">
        <v>1795.65</v>
      </c>
      <c r="AE653">
        <f t="shared" si="160"/>
        <v>1795.65</v>
      </c>
      <c r="AF653">
        <v>996.72</v>
      </c>
      <c r="AG653">
        <v>798.93</v>
      </c>
      <c r="AH653">
        <f t="shared" si="161"/>
        <v>798.93</v>
      </c>
      <c r="AI653">
        <f t="shared" si="162"/>
        <v>0.444925235986968</v>
      </c>
      <c r="AJ653" t="s">
        <v>77</v>
      </c>
      <c r="AK653" t="str">
        <f t="shared" si="163"/>
        <v>Paid</v>
      </c>
      <c r="AL653" t="s">
        <v>78</v>
      </c>
      <c r="AM653" t="str">
        <f t="shared" si="164"/>
        <v>Completed</v>
      </c>
      <c r="AN653">
        <v>8</v>
      </c>
      <c r="AO653">
        <v>2025</v>
      </c>
      <c r="AP653" t="s">
        <v>79</v>
      </c>
    </row>
    <row r="654" spans="1:42">
      <c r="A654" t="s">
        <v>3141</v>
      </c>
      <c r="B654" s="3" t="s">
        <v>3142</v>
      </c>
      <c r="C654" s="3">
        <v>45733</v>
      </c>
      <c r="D654" t="s">
        <v>3143</v>
      </c>
      <c r="E654" s="3">
        <v>45737</v>
      </c>
      <c r="F654" t="s">
        <v>2624</v>
      </c>
      <c r="G654" t="s">
        <v>208</v>
      </c>
      <c r="H654" t="str">
        <f t="shared" si="150"/>
        <v>Sneha Kapoor</v>
      </c>
      <c r="I654" t="s">
        <v>71</v>
      </c>
      <c r="J654" t="str">
        <f t="shared" si="151"/>
        <v>Consumer</v>
      </c>
      <c r="K654" t="s">
        <v>8</v>
      </c>
      <c r="L654" t="str">
        <f t="shared" si="152"/>
        <v>North</v>
      </c>
      <c r="M654" t="s">
        <v>214</v>
      </c>
      <c r="N654" t="str">
        <f t="shared" si="153"/>
        <v>Uttar Pradesh</v>
      </c>
      <c r="O654" t="s">
        <v>215</v>
      </c>
      <c r="P654" t="str">
        <f t="shared" si="154"/>
        <v>Noida</v>
      </c>
      <c r="Q654" t="s">
        <v>22</v>
      </c>
      <c r="R654" t="str">
        <f t="shared" si="155"/>
        <v>Office Supplies</v>
      </c>
      <c r="S654" t="s">
        <v>239</v>
      </c>
      <c r="T654" t="str">
        <f t="shared" si="156"/>
        <v>Binders</v>
      </c>
      <c r="U654" t="s">
        <v>3144</v>
      </c>
      <c r="V654" t="str">
        <f t="shared" si="157"/>
        <v>Smart Binders 999</v>
      </c>
      <c r="W654" t="s">
        <v>108</v>
      </c>
      <c r="X654" t="str">
        <f t="shared" si="158"/>
        <v>Standard Class</v>
      </c>
      <c r="Y654">
        <v>4</v>
      </c>
      <c r="Z654">
        <v>5</v>
      </c>
      <c r="AA654">
        <v>4320.59</v>
      </c>
      <c r="AB654">
        <v>0.15</v>
      </c>
      <c r="AC654">
        <f t="shared" si="159"/>
        <v>0.15</v>
      </c>
      <c r="AD654">
        <v>18362.51</v>
      </c>
      <c r="AE654">
        <f t="shared" si="160"/>
        <v>18362.5075</v>
      </c>
      <c r="AF654">
        <v>11133.97</v>
      </c>
      <c r="AG654">
        <v>7228.54</v>
      </c>
      <c r="AH654">
        <f t="shared" si="161"/>
        <v>7228.5375</v>
      </c>
      <c r="AI654">
        <f t="shared" si="162"/>
        <v>0.393657429411533</v>
      </c>
      <c r="AJ654" t="s">
        <v>77</v>
      </c>
      <c r="AK654" t="str">
        <f t="shared" si="163"/>
        <v>Paid</v>
      </c>
      <c r="AL654" t="s">
        <v>78</v>
      </c>
      <c r="AM654" t="str">
        <f t="shared" si="164"/>
        <v>Completed</v>
      </c>
      <c r="AN654">
        <v>3</v>
      </c>
      <c r="AO654">
        <v>2025</v>
      </c>
      <c r="AP654" t="s">
        <v>79</v>
      </c>
    </row>
    <row r="655" spans="1:42">
      <c r="A655" t="s">
        <v>3145</v>
      </c>
      <c r="B655" s="3" t="s">
        <v>3146</v>
      </c>
      <c r="C655" s="3">
        <v>45751</v>
      </c>
      <c r="D655" t="s">
        <v>3147</v>
      </c>
      <c r="E655" s="3">
        <v>45754</v>
      </c>
      <c r="F655" t="s">
        <v>3148</v>
      </c>
      <c r="G655" t="s">
        <v>182</v>
      </c>
      <c r="H655" t="str">
        <f t="shared" si="150"/>
        <v>Priya Menon</v>
      </c>
      <c r="I655" t="s">
        <v>85</v>
      </c>
      <c r="J655" t="str">
        <f t="shared" si="151"/>
        <v>Small Business</v>
      </c>
      <c r="K655" t="s">
        <v>10</v>
      </c>
      <c r="L655" t="str">
        <f t="shared" si="152"/>
        <v>South</v>
      </c>
      <c r="M655" t="s">
        <v>382</v>
      </c>
      <c r="N655" t="str">
        <f t="shared" si="153"/>
        <v>Tamil Nadu</v>
      </c>
      <c r="O655" t="s">
        <v>383</v>
      </c>
      <c r="P655" t="str">
        <f t="shared" si="154"/>
        <v>Chennai</v>
      </c>
      <c r="Q655" t="s">
        <v>24</v>
      </c>
      <c r="R655" t="str">
        <f t="shared" si="155"/>
        <v>Technology</v>
      </c>
      <c r="S655" t="s">
        <v>133</v>
      </c>
      <c r="T655" t="str">
        <f t="shared" si="156"/>
        <v>Copiers</v>
      </c>
      <c r="U655" t="s">
        <v>3149</v>
      </c>
      <c r="V655" t="str">
        <f t="shared" si="157"/>
        <v>Max Copiers 356</v>
      </c>
      <c r="W655" t="s">
        <v>76</v>
      </c>
      <c r="X655" t="str">
        <f t="shared" si="158"/>
        <v>Second Class</v>
      </c>
      <c r="Y655">
        <v>3</v>
      </c>
      <c r="Z655">
        <v>7</v>
      </c>
      <c r="AA655">
        <v>4457.93</v>
      </c>
      <c r="AB655">
        <v>0.15</v>
      </c>
      <c r="AC655">
        <f t="shared" si="159"/>
        <v>0.15</v>
      </c>
      <c r="AD655">
        <v>26524.68</v>
      </c>
      <c r="AE655">
        <f t="shared" si="160"/>
        <v>26524.6835</v>
      </c>
      <c r="AF655">
        <v>20574.3</v>
      </c>
      <c r="AG655">
        <v>5950.38</v>
      </c>
      <c r="AH655">
        <f t="shared" si="161"/>
        <v>5950.3835</v>
      </c>
      <c r="AI655">
        <f t="shared" si="162"/>
        <v>0.224333817215953</v>
      </c>
      <c r="AJ655" t="s">
        <v>77</v>
      </c>
      <c r="AK655" t="str">
        <f t="shared" si="163"/>
        <v>Paid</v>
      </c>
      <c r="AL655" t="s">
        <v>78</v>
      </c>
      <c r="AM655" t="str">
        <f t="shared" si="164"/>
        <v>Completed</v>
      </c>
      <c r="AN655">
        <v>4</v>
      </c>
      <c r="AO655">
        <v>2025</v>
      </c>
      <c r="AP655" t="s">
        <v>79</v>
      </c>
    </row>
    <row r="656" spans="1:42">
      <c r="A656" t="s">
        <v>3150</v>
      </c>
      <c r="B656" s="3" t="s">
        <v>3151</v>
      </c>
      <c r="C656" s="3">
        <v>45942</v>
      </c>
      <c r="D656" t="s">
        <v>180</v>
      </c>
      <c r="E656" s="3">
        <v>45946</v>
      </c>
      <c r="F656" t="s">
        <v>1469</v>
      </c>
      <c r="G656" t="s">
        <v>251</v>
      </c>
      <c r="H656" t="str">
        <f t="shared" si="150"/>
        <v>Diya Patel</v>
      </c>
      <c r="I656" t="s">
        <v>147</v>
      </c>
      <c r="J656" t="str">
        <f t="shared" si="151"/>
        <v>Corporate</v>
      </c>
      <c r="K656" t="s">
        <v>7</v>
      </c>
      <c r="L656" t="str">
        <f t="shared" si="152"/>
        <v>East</v>
      </c>
      <c r="M656" t="s">
        <v>227</v>
      </c>
      <c r="N656" t="str">
        <f t="shared" si="153"/>
        <v>Bihar</v>
      </c>
      <c r="O656" t="s">
        <v>228</v>
      </c>
      <c r="P656" t="str">
        <f t="shared" si="154"/>
        <v>Patna</v>
      </c>
      <c r="Q656" t="s">
        <v>24</v>
      </c>
      <c r="R656" t="str">
        <f t="shared" si="155"/>
        <v>Technology</v>
      </c>
      <c r="S656" t="s">
        <v>427</v>
      </c>
      <c r="T656" t="str">
        <f t="shared" si="156"/>
        <v>Machines</v>
      </c>
      <c r="U656" t="s">
        <v>3152</v>
      </c>
      <c r="V656" t="str">
        <f t="shared" si="157"/>
        <v>Classic Machines 639</v>
      </c>
      <c r="W656" t="s">
        <v>90</v>
      </c>
      <c r="X656" t="str">
        <f t="shared" si="158"/>
        <v>Same Day</v>
      </c>
      <c r="Y656">
        <v>4</v>
      </c>
      <c r="Z656">
        <v>1</v>
      </c>
      <c r="AA656">
        <v>2570.06</v>
      </c>
      <c r="AB656">
        <v>0.2</v>
      </c>
      <c r="AC656">
        <f t="shared" si="159"/>
        <v>0.2</v>
      </c>
      <c r="AD656">
        <v>2056.05</v>
      </c>
      <c r="AE656">
        <f t="shared" si="160"/>
        <v>2056.048</v>
      </c>
      <c r="AF656">
        <v>1662.39</v>
      </c>
      <c r="AG656">
        <v>393.66</v>
      </c>
      <c r="AH656">
        <f t="shared" si="161"/>
        <v>393.658</v>
      </c>
      <c r="AI656">
        <f t="shared" si="162"/>
        <v>0.191463428869365</v>
      </c>
      <c r="AJ656" t="s">
        <v>77</v>
      </c>
      <c r="AK656" t="str">
        <f t="shared" si="163"/>
        <v>Paid</v>
      </c>
      <c r="AL656" t="s">
        <v>78</v>
      </c>
      <c r="AM656" t="str">
        <f t="shared" si="164"/>
        <v>Completed</v>
      </c>
      <c r="AN656">
        <v>10</v>
      </c>
      <c r="AO656">
        <v>2025</v>
      </c>
      <c r="AP656" t="s">
        <v>79</v>
      </c>
    </row>
    <row r="657" spans="1:42">
      <c r="A657" t="s">
        <v>3153</v>
      </c>
      <c r="B657" s="3" t="s">
        <v>748</v>
      </c>
      <c r="C657" s="3">
        <v>45895</v>
      </c>
      <c r="D657" t="s">
        <v>748</v>
      </c>
      <c r="E657" s="3">
        <v>45895</v>
      </c>
      <c r="F657" t="s">
        <v>3154</v>
      </c>
      <c r="G657" t="s">
        <v>132</v>
      </c>
      <c r="H657" t="str">
        <f t="shared" si="150"/>
        <v>Neha Gupta</v>
      </c>
      <c r="I657" t="s">
        <v>154</v>
      </c>
      <c r="J657" t="str">
        <f t="shared" si="151"/>
        <v>Home Office</v>
      </c>
      <c r="K657" t="s">
        <v>7</v>
      </c>
      <c r="L657" t="str">
        <f t="shared" si="152"/>
        <v>East</v>
      </c>
      <c r="M657" t="s">
        <v>160</v>
      </c>
      <c r="N657" t="str">
        <f t="shared" si="153"/>
        <v>West Bengal</v>
      </c>
      <c r="O657" t="s">
        <v>161</v>
      </c>
      <c r="P657" t="str">
        <f t="shared" si="154"/>
        <v>Kolkata</v>
      </c>
      <c r="Q657" t="s">
        <v>19</v>
      </c>
      <c r="R657" t="str">
        <f t="shared" si="155"/>
        <v>Furniture</v>
      </c>
      <c r="S657" t="s">
        <v>106</v>
      </c>
      <c r="T657" t="str">
        <f t="shared" si="156"/>
        <v>Furnishings</v>
      </c>
      <c r="U657" t="s">
        <v>3155</v>
      </c>
      <c r="V657" t="str">
        <f t="shared" si="157"/>
        <v>Smart Furnishings 748</v>
      </c>
      <c r="W657" t="s">
        <v>108</v>
      </c>
      <c r="X657" t="str">
        <f t="shared" si="158"/>
        <v>Standard Class</v>
      </c>
      <c r="Y657">
        <v>0</v>
      </c>
      <c r="Z657">
        <v>4</v>
      </c>
      <c r="AA657">
        <v>2151.82</v>
      </c>
      <c r="AB657">
        <v>0</v>
      </c>
      <c r="AC657">
        <f t="shared" si="159"/>
        <v>0</v>
      </c>
      <c r="AD657">
        <v>8607.28</v>
      </c>
      <c r="AE657">
        <f t="shared" si="160"/>
        <v>8607.28</v>
      </c>
      <c r="AF657">
        <v>5124.01</v>
      </c>
      <c r="AG657">
        <v>3483.27</v>
      </c>
      <c r="AH657">
        <f t="shared" si="161"/>
        <v>3483.27</v>
      </c>
      <c r="AI657">
        <f t="shared" si="162"/>
        <v>0.404688821555706</v>
      </c>
      <c r="AJ657" t="s">
        <v>77</v>
      </c>
      <c r="AK657" t="str">
        <f t="shared" si="163"/>
        <v>Paid</v>
      </c>
      <c r="AL657" t="s">
        <v>78</v>
      </c>
      <c r="AM657" t="str">
        <f t="shared" si="164"/>
        <v>Completed</v>
      </c>
      <c r="AN657">
        <v>8</v>
      </c>
      <c r="AO657">
        <v>2025</v>
      </c>
      <c r="AP657" t="s">
        <v>79</v>
      </c>
    </row>
    <row r="658" spans="1:42">
      <c r="A658" t="s">
        <v>3156</v>
      </c>
      <c r="B658" s="3" t="s">
        <v>3157</v>
      </c>
      <c r="C658" s="3">
        <v>45419</v>
      </c>
      <c r="D658" t="s">
        <v>2385</v>
      </c>
      <c r="E658" s="3">
        <v>45426</v>
      </c>
      <c r="F658" t="s">
        <v>3158</v>
      </c>
      <c r="G658" t="s">
        <v>132</v>
      </c>
      <c r="H658" t="str">
        <f t="shared" si="150"/>
        <v>Neha Gupta</v>
      </c>
      <c r="I658" t="s">
        <v>85</v>
      </c>
      <c r="J658" t="str">
        <f t="shared" si="151"/>
        <v>Small Business</v>
      </c>
      <c r="K658" t="s">
        <v>8</v>
      </c>
      <c r="L658" t="str">
        <f t="shared" si="152"/>
        <v>North</v>
      </c>
      <c r="M658" t="s">
        <v>366</v>
      </c>
      <c r="N658" t="str">
        <f t="shared" si="153"/>
        <v>Haryana</v>
      </c>
      <c r="O658" t="s">
        <v>367</v>
      </c>
      <c r="P658" t="str">
        <f t="shared" si="154"/>
        <v>Gurugram</v>
      </c>
      <c r="Q658" t="s">
        <v>24</v>
      </c>
      <c r="R658" t="str">
        <f t="shared" si="155"/>
        <v>Technology</v>
      </c>
      <c r="S658" t="s">
        <v>427</v>
      </c>
      <c r="T658" t="str">
        <f t="shared" si="156"/>
        <v>Machines</v>
      </c>
      <c r="U658" t="s">
        <v>3159</v>
      </c>
      <c r="V658" t="str">
        <f t="shared" si="157"/>
        <v>Pro Machines 589</v>
      </c>
      <c r="W658" t="s">
        <v>90</v>
      </c>
      <c r="X658" t="str">
        <f t="shared" si="158"/>
        <v>Same Day</v>
      </c>
      <c r="Y658">
        <v>7</v>
      </c>
      <c r="Z658">
        <v>4</v>
      </c>
      <c r="AA658">
        <v>2751.1</v>
      </c>
      <c r="AB658">
        <v>-0.05</v>
      </c>
      <c r="AC658">
        <f t="shared" si="159"/>
        <v>0</v>
      </c>
      <c r="AD658">
        <v>9903.96</v>
      </c>
      <c r="AE658">
        <f t="shared" si="160"/>
        <v>11004.4</v>
      </c>
      <c r="AF658">
        <v>7696.28</v>
      </c>
      <c r="AG658">
        <v>2207.68</v>
      </c>
      <c r="AH658">
        <f t="shared" si="161"/>
        <v>3308.12</v>
      </c>
      <c r="AI658">
        <f t="shared" si="162"/>
        <v>0.300617934644324</v>
      </c>
      <c r="AJ658" t="s">
        <v>77</v>
      </c>
      <c r="AK658" t="str">
        <f t="shared" si="163"/>
        <v>Paid</v>
      </c>
      <c r="AL658" t="s">
        <v>78</v>
      </c>
      <c r="AM658" t="str">
        <f t="shared" si="164"/>
        <v>Completed</v>
      </c>
      <c r="AN658">
        <v>5</v>
      </c>
      <c r="AO658">
        <v>2024</v>
      </c>
      <c r="AP658" t="s">
        <v>222</v>
      </c>
    </row>
    <row r="659" spans="1:42">
      <c r="A659" t="s">
        <v>3160</v>
      </c>
      <c r="B659" s="3" t="s">
        <v>3161</v>
      </c>
      <c r="C659" s="3">
        <v>45876</v>
      </c>
      <c r="D659" t="s">
        <v>3162</v>
      </c>
      <c r="E659" s="3">
        <v>45879</v>
      </c>
      <c r="F659" t="s">
        <v>3163</v>
      </c>
      <c r="G659" t="s">
        <v>146</v>
      </c>
      <c r="H659" t="str">
        <f t="shared" si="150"/>
        <v>Aditi Sen</v>
      </c>
      <c r="I659" t="s">
        <v>154</v>
      </c>
      <c r="J659" t="str">
        <f t="shared" si="151"/>
        <v>Home Office</v>
      </c>
      <c r="K659" t="s">
        <v>7</v>
      </c>
      <c r="L659" t="str">
        <f t="shared" si="152"/>
        <v>East</v>
      </c>
      <c r="M659" t="s">
        <v>227</v>
      </c>
      <c r="N659" t="str">
        <f t="shared" si="153"/>
        <v>Bihar</v>
      </c>
      <c r="O659" t="s">
        <v>228</v>
      </c>
      <c r="P659" t="str">
        <f t="shared" si="154"/>
        <v>Patna</v>
      </c>
      <c r="Q659" t="s">
        <v>22</v>
      </c>
      <c r="R659" t="str">
        <f t="shared" si="155"/>
        <v>Office Supplies</v>
      </c>
      <c r="S659" t="s">
        <v>196</v>
      </c>
      <c r="T659" t="str">
        <f t="shared" si="156"/>
        <v>Storage</v>
      </c>
      <c r="U659" t="s">
        <v>3164</v>
      </c>
      <c r="V659" t="str">
        <f t="shared" si="157"/>
        <v>Eco Storage 316</v>
      </c>
      <c r="W659" t="s">
        <v>76</v>
      </c>
      <c r="X659" t="str">
        <f t="shared" si="158"/>
        <v>Second Class</v>
      </c>
      <c r="Y659">
        <v>3</v>
      </c>
      <c r="Z659">
        <v>1</v>
      </c>
      <c r="AA659">
        <v>2541.25</v>
      </c>
      <c r="AB659">
        <v>0.2</v>
      </c>
      <c r="AC659">
        <f t="shared" si="159"/>
        <v>0.2</v>
      </c>
      <c r="AD659">
        <v>2033</v>
      </c>
      <c r="AE659">
        <f t="shared" si="160"/>
        <v>2033</v>
      </c>
      <c r="AF659">
        <v>1291.41</v>
      </c>
      <c r="AG659">
        <v>741.59</v>
      </c>
      <c r="AH659">
        <f t="shared" si="161"/>
        <v>741.59</v>
      </c>
      <c r="AI659">
        <f t="shared" si="162"/>
        <v>0.364776192818495</v>
      </c>
      <c r="AJ659" t="s">
        <v>77</v>
      </c>
      <c r="AK659" t="str">
        <f t="shared" si="163"/>
        <v>Paid</v>
      </c>
      <c r="AL659" t="s">
        <v>78</v>
      </c>
      <c r="AM659" t="str">
        <f t="shared" si="164"/>
        <v>Completed</v>
      </c>
      <c r="AN659">
        <v>8</v>
      </c>
      <c r="AO659">
        <v>2025</v>
      </c>
      <c r="AP659" t="s">
        <v>79</v>
      </c>
    </row>
    <row r="660" spans="1:42">
      <c r="A660" t="s">
        <v>3165</v>
      </c>
      <c r="B660" s="3" t="s">
        <v>3166</v>
      </c>
      <c r="C660" s="3">
        <v>45817</v>
      </c>
      <c r="D660" t="s">
        <v>2269</v>
      </c>
      <c r="E660" s="3">
        <v>45820</v>
      </c>
      <c r="F660" t="s">
        <v>3167</v>
      </c>
      <c r="G660" t="s">
        <v>208</v>
      </c>
      <c r="H660" t="str">
        <f t="shared" si="150"/>
        <v>Sneha Kapoor</v>
      </c>
      <c r="I660" t="s">
        <v>71</v>
      </c>
      <c r="J660" t="str">
        <f t="shared" si="151"/>
        <v>Consumer</v>
      </c>
      <c r="L660" t="str">
        <f t="shared" si="152"/>
        <v/>
      </c>
      <c r="M660" t="s">
        <v>227</v>
      </c>
      <c r="N660" t="str">
        <f t="shared" si="153"/>
        <v>Bihar</v>
      </c>
      <c r="O660" t="s">
        <v>228</v>
      </c>
      <c r="P660" t="str">
        <f t="shared" si="154"/>
        <v>Patna</v>
      </c>
      <c r="Q660" t="s">
        <v>22</v>
      </c>
      <c r="R660" t="str">
        <f t="shared" si="155"/>
        <v>Office Supplies</v>
      </c>
      <c r="S660" t="s">
        <v>96</v>
      </c>
      <c r="T660" t="str">
        <f t="shared" si="156"/>
        <v>Art</v>
      </c>
      <c r="U660" t="s">
        <v>3168</v>
      </c>
      <c r="V660" t="str">
        <f t="shared" si="157"/>
        <v>Eco Art 763</v>
      </c>
      <c r="W660" t="s">
        <v>98</v>
      </c>
      <c r="X660" t="str">
        <f t="shared" si="158"/>
        <v>First Class</v>
      </c>
      <c r="Y660">
        <v>3</v>
      </c>
      <c r="Z660">
        <v>7</v>
      </c>
      <c r="AA660">
        <v>2852.42</v>
      </c>
      <c r="AB660">
        <v>0</v>
      </c>
      <c r="AC660">
        <f t="shared" si="159"/>
        <v>0</v>
      </c>
      <c r="AD660">
        <v>19966.94</v>
      </c>
      <c r="AE660">
        <f t="shared" si="160"/>
        <v>19966.94</v>
      </c>
      <c r="AF660">
        <v>12690.83</v>
      </c>
      <c r="AG660">
        <v>7276.11</v>
      </c>
      <c r="AH660">
        <f t="shared" si="161"/>
        <v>7276.11</v>
      </c>
      <c r="AI660">
        <f t="shared" si="162"/>
        <v>0.364407866202833</v>
      </c>
      <c r="AJ660" t="s">
        <v>163</v>
      </c>
      <c r="AK660" t="str">
        <f t="shared" si="163"/>
        <v>Refunded</v>
      </c>
      <c r="AL660" t="s">
        <v>118</v>
      </c>
      <c r="AM660" t="str">
        <f t="shared" si="164"/>
        <v>Cancelled</v>
      </c>
      <c r="AN660">
        <v>6</v>
      </c>
      <c r="AO660">
        <v>2025</v>
      </c>
      <c r="AP660" t="s">
        <v>79</v>
      </c>
    </row>
    <row r="661" spans="1:42">
      <c r="A661" t="s">
        <v>3169</v>
      </c>
      <c r="B661" s="3" t="s">
        <v>224</v>
      </c>
      <c r="C661" s="3">
        <v>45678</v>
      </c>
      <c r="D661" t="s">
        <v>1891</v>
      </c>
      <c r="E661" s="3">
        <v>45679</v>
      </c>
      <c r="F661" t="s">
        <v>3170</v>
      </c>
      <c r="G661" t="s">
        <v>251</v>
      </c>
      <c r="H661" t="str">
        <f t="shared" si="150"/>
        <v>Diya Patel</v>
      </c>
      <c r="I661" t="s">
        <v>147</v>
      </c>
      <c r="J661" t="str">
        <f t="shared" si="151"/>
        <v>Corporate</v>
      </c>
      <c r="K661" t="s">
        <v>10</v>
      </c>
      <c r="L661" t="str">
        <f t="shared" si="152"/>
        <v>South</v>
      </c>
      <c r="M661" t="s">
        <v>272</v>
      </c>
      <c r="N661" t="str">
        <f t="shared" si="153"/>
        <v>Karnataka</v>
      </c>
      <c r="O661" t="s">
        <v>273</v>
      </c>
      <c r="P661" t="str">
        <f t="shared" si="154"/>
        <v>Bengaluru</v>
      </c>
      <c r="Q661" t="s">
        <v>24</v>
      </c>
      <c r="R661" t="str">
        <f t="shared" si="155"/>
        <v>Technology</v>
      </c>
      <c r="S661" t="s">
        <v>265</v>
      </c>
      <c r="T661" t="str">
        <f t="shared" si="156"/>
        <v>Phones</v>
      </c>
      <c r="U661" t="s">
        <v>3171</v>
      </c>
      <c r="V661" t="str">
        <f t="shared" si="157"/>
        <v>Pro Phones 356</v>
      </c>
      <c r="W661" t="s">
        <v>76</v>
      </c>
      <c r="X661" t="str">
        <f t="shared" si="158"/>
        <v>Second Class</v>
      </c>
      <c r="Y661">
        <v>1</v>
      </c>
      <c r="Z661">
        <v>2</v>
      </c>
      <c r="AA661">
        <v>444.31</v>
      </c>
      <c r="AB661">
        <v>0.2</v>
      </c>
      <c r="AC661">
        <f t="shared" si="159"/>
        <v>0.2</v>
      </c>
      <c r="AD661">
        <v>710.9</v>
      </c>
      <c r="AE661">
        <f t="shared" si="160"/>
        <v>710.896</v>
      </c>
      <c r="AF661">
        <v>513.88</v>
      </c>
      <c r="AG661">
        <v>197.02</v>
      </c>
      <c r="AH661">
        <f t="shared" si="161"/>
        <v>197.016</v>
      </c>
      <c r="AI661">
        <f t="shared" si="162"/>
        <v>0.277137584119196</v>
      </c>
      <c r="AJ661" t="s">
        <v>163</v>
      </c>
      <c r="AK661" t="str">
        <f t="shared" si="163"/>
        <v>Refunded</v>
      </c>
      <c r="AL661" t="s">
        <v>118</v>
      </c>
      <c r="AM661" t="str">
        <f t="shared" si="164"/>
        <v>Cancelled</v>
      </c>
      <c r="AN661">
        <v>1</v>
      </c>
      <c r="AO661">
        <v>2025</v>
      </c>
      <c r="AP661" t="s">
        <v>79</v>
      </c>
    </row>
    <row r="662" spans="1:42">
      <c r="A662" t="s">
        <v>3172</v>
      </c>
      <c r="B662" s="3" t="s">
        <v>211</v>
      </c>
      <c r="C662" s="3">
        <v>45853</v>
      </c>
      <c r="D662" t="s">
        <v>3173</v>
      </c>
      <c r="E662" s="3">
        <v>45853</v>
      </c>
      <c r="F662" t="s">
        <v>3174</v>
      </c>
      <c r="G662" t="s">
        <v>103</v>
      </c>
      <c r="H662" t="str">
        <f t="shared" si="150"/>
        <v>Arjun Bose</v>
      </c>
      <c r="I662" t="s">
        <v>85</v>
      </c>
      <c r="J662" t="str">
        <f t="shared" si="151"/>
        <v>Small Business</v>
      </c>
      <c r="K662" t="s">
        <v>7</v>
      </c>
      <c r="L662" t="str">
        <f t="shared" si="152"/>
        <v>East</v>
      </c>
      <c r="M662" t="s">
        <v>354</v>
      </c>
      <c r="N662" t="str">
        <f t="shared" si="153"/>
        <v>Jharkhand</v>
      </c>
      <c r="O662" t="s">
        <v>355</v>
      </c>
      <c r="P662" t="str">
        <f t="shared" si="154"/>
        <v>Ranchi</v>
      </c>
      <c r="Q662" t="s">
        <v>24</v>
      </c>
      <c r="R662" t="str">
        <f t="shared" si="155"/>
        <v>Technology</v>
      </c>
      <c r="S662" t="s">
        <v>265</v>
      </c>
      <c r="T662" t="str">
        <f t="shared" si="156"/>
        <v>Phones</v>
      </c>
      <c r="U662" t="s">
        <v>3175</v>
      </c>
      <c r="V662" t="str">
        <f t="shared" si="157"/>
        <v>Basic Phones 865</v>
      </c>
      <c r="W662" t="s">
        <v>90</v>
      </c>
      <c r="X662" t="str">
        <f t="shared" si="158"/>
        <v>Same Day</v>
      </c>
      <c r="Y662">
        <v>0</v>
      </c>
      <c r="Z662">
        <v>4</v>
      </c>
      <c r="AA662">
        <v>4442.91</v>
      </c>
      <c r="AB662">
        <v>0.1</v>
      </c>
      <c r="AC662">
        <f t="shared" si="159"/>
        <v>0.1</v>
      </c>
      <c r="AD662">
        <v>15994.48</v>
      </c>
      <c r="AE662">
        <f t="shared" si="160"/>
        <v>15994.476</v>
      </c>
      <c r="AF662">
        <v>9224.28</v>
      </c>
      <c r="AG662">
        <v>6770.2</v>
      </c>
      <c r="AH662">
        <f t="shared" si="161"/>
        <v>6770.196</v>
      </c>
      <c r="AI662">
        <f t="shared" si="162"/>
        <v>0.423283388589911</v>
      </c>
      <c r="AJ662" t="s">
        <v>77</v>
      </c>
      <c r="AK662" t="str">
        <f t="shared" si="163"/>
        <v>Paid</v>
      </c>
      <c r="AL662" t="s">
        <v>78</v>
      </c>
      <c r="AM662" t="str">
        <f t="shared" si="164"/>
        <v>Completed</v>
      </c>
      <c r="AN662">
        <v>7</v>
      </c>
      <c r="AO662">
        <v>2025</v>
      </c>
      <c r="AP662" t="s">
        <v>79</v>
      </c>
    </row>
    <row r="663" spans="1:42">
      <c r="A663" t="s">
        <v>3176</v>
      </c>
      <c r="B663" s="3" t="s">
        <v>3177</v>
      </c>
      <c r="C663" s="3">
        <v>45429</v>
      </c>
      <c r="D663" t="s">
        <v>3178</v>
      </c>
      <c r="E663" s="3">
        <v>45434</v>
      </c>
      <c r="F663" t="s">
        <v>3179</v>
      </c>
      <c r="G663" t="s">
        <v>208</v>
      </c>
      <c r="H663" t="str">
        <f t="shared" si="150"/>
        <v>Sneha Kapoor</v>
      </c>
      <c r="I663" t="s">
        <v>71</v>
      </c>
      <c r="J663" t="str">
        <f t="shared" si="151"/>
        <v>Consumer</v>
      </c>
      <c r="K663" t="s">
        <v>10</v>
      </c>
      <c r="L663" t="str">
        <f t="shared" si="152"/>
        <v>South</v>
      </c>
      <c r="M663" t="s">
        <v>139</v>
      </c>
      <c r="N663" t="str">
        <f t="shared" si="153"/>
        <v>Andhra Pradesh</v>
      </c>
      <c r="O663" t="s">
        <v>140</v>
      </c>
      <c r="P663" t="str">
        <f t="shared" si="154"/>
        <v>Vijayawada</v>
      </c>
      <c r="Q663" t="s">
        <v>24</v>
      </c>
      <c r="R663" t="str">
        <f t="shared" si="155"/>
        <v>Technology</v>
      </c>
      <c r="S663" t="s">
        <v>427</v>
      </c>
      <c r="T663" t="str">
        <f t="shared" si="156"/>
        <v>Machines</v>
      </c>
      <c r="U663" t="s">
        <v>3180</v>
      </c>
      <c r="V663" t="str">
        <f t="shared" si="157"/>
        <v>Max Machines 595</v>
      </c>
      <c r="W663" t="s">
        <v>76</v>
      </c>
      <c r="X663" t="str">
        <f t="shared" si="158"/>
        <v>Second Class</v>
      </c>
      <c r="Y663">
        <v>5</v>
      </c>
      <c r="Z663">
        <v>7</v>
      </c>
      <c r="AA663">
        <v>232.5</v>
      </c>
      <c r="AB663">
        <v>0</v>
      </c>
      <c r="AC663">
        <f t="shared" si="159"/>
        <v>0</v>
      </c>
      <c r="AD663">
        <v>1627.5</v>
      </c>
      <c r="AE663">
        <f t="shared" si="160"/>
        <v>1627.5</v>
      </c>
      <c r="AF663">
        <v>939.9</v>
      </c>
      <c r="AG663">
        <v>687.6</v>
      </c>
      <c r="AH663">
        <f t="shared" si="161"/>
        <v>687.6</v>
      </c>
      <c r="AI663">
        <f t="shared" si="162"/>
        <v>0.422488479262673</v>
      </c>
      <c r="AJ663" t="s">
        <v>77</v>
      </c>
      <c r="AK663" t="str">
        <f t="shared" si="163"/>
        <v>Paid</v>
      </c>
      <c r="AL663" t="s">
        <v>78</v>
      </c>
      <c r="AM663" t="str">
        <f t="shared" si="164"/>
        <v>Completed</v>
      </c>
      <c r="AN663">
        <v>5</v>
      </c>
      <c r="AO663">
        <v>2024</v>
      </c>
      <c r="AP663" t="s">
        <v>79</v>
      </c>
    </row>
    <row r="664" spans="1:42">
      <c r="A664" t="s">
        <v>3181</v>
      </c>
      <c r="B664" s="3" t="s">
        <v>3182</v>
      </c>
      <c r="C664" s="3">
        <v>45305</v>
      </c>
      <c r="D664" t="s">
        <v>3183</v>
      </c>
      <c r="E664" s="3">
        <v>45309</v>
      </c>
      <c r="F664" t="s">
        <v>3184</v>
      </c>
      <c r="G664" t="s">
        <v>84</v>
      </c>
      <c r="H664" t="str">
        <f t="shared" si="150"/>
        <v>Mira Das</v>
      </c>
      <c r="I664" t="s">
        <v>154</v>
      </c>
      <c r="J664" t="str">
        <f t="shared" si="151"/>
        <v>Home Office</v>
      </c>
      <c r="K664" t="s">
        <v>11</v>
      </c>
      <c r="L664" t="str">
        <f t="shared" si="152"/>
        <v>West</v>
      </c>
      <c r="M664" t="s">
        <v>72</v>
      </c>
      <c r="N664" t="str">
        <f t="shared" si="153"/>
        <v>Rajasthan</v>
      </c>
      <c r="O664" t="s">
        <v>175</v>
      </c>
      <c r="P664" t="str">
        <f t="shared" si="154"/>
        <v>Udaipur</v>
      </c>
      <c r="Q664" t="s">
        <v>24</v>
      </c>
      <c r="R664" t="str">
        <f t="shared" si="155"/>
        <v>Technology</v>
      </c>
      <c r="S664" t="s">
        <v>427</v>
      </c>
      <c r="T664" t="str">
        <f t="shared" si="156"/>
        <v>Machines</v>
      </c>
      <c r="U664" t="s">
        <v>3185</v>
      </c>
      <c r="V664" t="str">
        <f t="shared" si="157"/>
        <v>Elite Machines 367</v>
      </c>
      <c r="W664" t="s">
        <v>90</v>
      </c>
      <c r="X664" t="str">
        <f t="shared" si="158"/>
        <v>Same Day</v>
      </c>
      <c r="Y664">
        <v>4</v>
      </c>
      <c r="Z664">
        <v>6</v>
      </c>
      <c r="AA664">
        <v>1784.8</v>
      </c>
      <c r="AB664">
        <v>0.1</v>
      </c>
      <c r="AC664">
        <f t="shared" si="159"/>
        <v>0.1</v>
      </c>
      <c r="AD664">
        <v>9637.92</v>
      </c>
      <c r="AE664">
        <f t="shared" si="160"/>
        <v>9637.92</v>
      </c>
      <c r="AF664">
        <v>7329.29</v>
      </c>
      <c r="AG664">
        <v>2308.63</v>
      </c>
      <c r="AH664">
        <f t="shared" si="161"/>
        <v>2308.63</v>
      </c>
      <c r="AI664">
        <f t="shared" si="162"/>
        <v>0.239536123976958</v>
      </c>
      <c r="AJ664" t="s">
        <v>77</v>
      </c>
      <c r="AK664" t="str">
        <f t="shared" si="163"/>
        <v>Paid</v>
      </c>
      <c r="AL664" t="s">
        <v>78</v>
      </c>
      <c r="AM664" t="str">
        <f t="shared" si="164"/>
        <v>Completed</v>
      </c>
      <c r="AN664">
        <v>1</v>
      </c>
      <c r="AO664">
        <v>2024</v>
      </c>
      <c r="AP664" t="s">
        <v>79</v>
      </c>
    </row>
    <row r="665" spans="1:42">
      <c r="A665" t="s">
        <v>3186</v>
      </c>
      <c r="B665" s="3" t="s">
        <v>1278</v>
      </c>
      <c r="C665" s="3">
        <v>45414</v>
      </c>
      <c r="D665" t="s">
        <v>2739</v>
      </c>
      <c r="E665" s="3">
        <v>45420</v>
      </c>
      <c r="F665" t="s">
        <v>3187</v>
      </c>
      <c r="G665" t="s">
        <v>188</v>
      </c>
      <c r="H665" t="str">
        <f t="shared" si="150"/>
        <v>Rahul Verma</v>
      </c>
      <c r="I665" t="s">
        <v>154</v>
      </c>
      <c r="J665" t="str">
        <f t="shared" si="151"/>
        <v>Home Office</v>
      </c>
      <c r="K665" t="s">
        <v>7</v>
      </c>
      <c r="L665" t="str">
        <f t="shared" si="152"/>
        <v>East</v>
      </c>
      <c r="M665" t="s">
        <v>354</v>
      </c>
      <c r="N665" t="str">
        <f t="shared" si="153"/>
        <v>Jharkhand</v>
      </c>
      <c r="O665" t="s">
        <v>355</v>
      </c>
      <c r="P665" t="str">
        <f t="shared" si="154"/>
        <v>Ranchi</v>
      </c>
      <c r="Q665" t="s">
        <v>24</v>
      </c>
      <c r="R665" t="str">
        <f t="shared" si="155"/>
        <v>Technology</v>
      </c>
      <c r="S665" t="s">
        <v>133</v>
      </c>
      <c r="T665" t="str">
        <f t="shared" si="156"/>
        <v>Copiers</v>
      </c>
      <c r="U665" t="s">
        <v>3188</v>
      </c>
      <c r="V665" t="str">
        <f t="shared" si="157"/>
        <v>Basic Copiers 787</v>
      </c>
      <c r="W665" t="s">
        <v>76</v>
      </c>
      <c r="X665" t="str">
        <f t="shared" si="158"/>
        <v>Second Class</v>
      </c>
      <c r="Y665">
        <v>6</v>
      </c>
      <c r="Z665">
        <v>2</v>
      </c>
      <c r="AA665">
        <v>3185.01</v>
      </c>
      <c r="AB665">
        <v>-0.24</v>
      </c>
      <c r="AC665">
        <f t="shared" si="159"/>
        <v>0</v>
      </c>
      <c r="AD665">
        <v>4777.52</v>
      </c>
      <c r="AE665">
        <f t="shared" si="160"/>
        <v>6370.02</v>
      </c>
      <c r="AF665">
        <v>3152.98</v>
      </c>
      <c r="AG665">
        <v>1624.54</v>
      </c>
      <c r="AH665">
        <f t="shared" si="161"/>
        <v>3217.04</v>
      </c>
      <c r="AI665">
        <f t="shared" si="162"/>
        <v>0.505028241669571</v>
      </c>
      <c r="AJ665" t="s">
        <v>77</v>
      </c>
      <c r="AK665" t="str">
        <f t="shared" si="163"/>
        <v>Paid</v>
      </c>
      <c r="AL665" t="s">
        <v>78</v>
      </c>
      <c r="AM665" t="str">
        <f t="shared" si="164"/>
        <v>Completed</v>
      </c>
      <c r="AN665">
        <v>5</v>
      </c>
      <c r="AO665">
        <v>2024</v>
      </c>
      <c r="AP665" t="s">
        <v>222</v>
      </c>
    </row>
    <row r="666" spans="1:42">
      <c r="A666" t="s">
        <v>3189</v>
      </c>
      <c r="B666" s="3" t="s">
        <v>3190</v>
      </c>
      <c r="C666" s="3">
        <v>45633</v>
      </c>
      <c r="D666" t="s">
        <v>3191</v>
      </c>
      <c r="E666" s="3">
        <v>45636</v>
      </c>
      <c r="F666" t="s">
        <v>3192</v>
      </c>
      <c r="G666" t="s">
        <v>84</v>
      </c>
      <c r="H666" t="str">
        <f t="shared" si="150"/>
        <v>Mira Das</v>
      </c>
      <c r="I666" t="s">
        <v>154</v>
      </c>
      <c r="J666" t="str">
        <f t="shared" si="151"/>
        <v>Home Office</v>
      </c>
      <c r="K666" t="s">
        <v>10</v>
      </c>
      <c r="L666" t="str">
        <f t="shared" si="152"/>
        <v>South</v>
      </c>
      <c r="M666" t="s">
        <v>104</v>
      </c>
      <c r="N666" t="str">
        <f t="shared" si="153"/>
        <v>Telangana</v>
      </c>
      <c r="O666" t="s">
        <v>105</v>
      </c>
      <c r="P666" t="str">
        <f t="shared" si="154"/>
        <v>Hyderabad</v>
      </c>
      <c r="Q666" t="s">
        <v>24</v>
      </c>
      <c r="R666" t="str">
        <f t="shared" si="155"/>
        <v>Technology</v>
      </c>
      <c r="S666" t="s">
        <v>126</v>
      </c>
      <c r="T666" t="str">
        <f t="shared" si="156"/>
        <v>Accessories</v>
      </c>
      <c r="U666" t="s">
        <v>3193</v>
      </c>
      <c r="V666" t="str">
        <f t="shared" si="157"/>
        <v>Max Accessories 903</v>
      </c>
      <c r="W666" t="s">
        <v>108</v>
      </c>
      <c r="X666" t="str">
        <f t="shared" si="158"/>
        <v>Standard Class</v>
      </c>
      <c r="Y666">
        <v>3</v>
      </c>
      <c r="Z666">
        <v>1</v>
      </c>
      <c r="AA666">
        <v>1908.83</v>
      </c>
      <c r="AB666">
        <v>0.2</v>
      </c>
      <c r="AC666">
        <f t="shared" si="159"/>
        <v>0.2</v>
      </c>
      <c r="AD666">
        <v>1527.06</v>
      </c>
      <c r="AE666">
        <f t="shared" si="160"/>
        <v>1527.064</v>
      </c>
      <c r="AF666">
        <v>1055.89</v>
      </c>
      <c r="AG666">
        <v>471.17</v>
      </c>
      <c r="AH666">
        <f t="shared" si="161"/>
        <v>471.174</v>
      </c>
      <c r="AI666">
        <f t="shared" si="162"/>
        <v>0.308548954071342</v>
      </c>
      <c r="AJ666" t="s">
        <v>77</v>
      </c>
      <c r="AK666" t="str">
        <f t="shared" si="163"/>
        <v>Paid</v>
      </c>
      <c r="AL666" t="s">
        <v>78</v>
      </c>
      <c r="AM666" t="str">
        <f t="shared" si="164"/>
        <v>Completed</v>
      </c>
      <c r="AN666">
        <v>12</v>
      </c>
      <c r="AO666">
        <v>2024</v>
      </c>
      <c r="AP666" t="s">
        <v>79</v>
      </c>
    </row>
    <row r="667" spans="1:42">
      <c r="A667" t="s">
        <v>3194</v>
      </c>
      <c r="B667" s="3" t="s">
        <v>3195</v>
      </c>
      <c r="C667" s="3">
        <v>45670</v>
      </c>
      <c r="D667" t="s">
        <v>3196</v>
      </c>
      <c r="E667" s="3">
        <v>45670</v>
      </c>
      <c r="F667" t="s">
        <v>3197</v>
      </c>
      <c r="G667" t="s">
        <v>3198</v>
      </c>
      <c r="H667" t="str">
        <f t="shared" si="150"/>
        <v>Rahul Verma</v>
      </c>
      <c r="I667" t="s">
        <v>154</v>
      </c>
      <c r="J667" t="str">
        <f t="shared" si="151"/>
        <v>Home Office</v>
      </c>
      <c r="K667" t="s">
        <v>11</v>
      </c>
      <c r="L667" t="str">
        <f t="shared" si="152"/>
        <v>West</v>
      </c>
      <c r="M667" t="s">
        <v>278</v>
      </c>
      <c r="N667" t="str">
        <f t="shared" si="153"/>
        <v>Gujarat</v>
      </c>
      <c r="O667" t="s">
        <v>279</v>
      </c>
      <c r="P667" t="str">
        <f t="shared" si="154"/>
        <v>Ahmedabad</v>
      </c>
      <c r="Q667" t="s">
        <v>22</v>
      </c>
      <c r="R667" t="str">
        <f t="shared" si="155"/>
        <v>Office Supplies</v>
      </c>
      <c r="S667" t="s">
        <v>96</v>
      </c>
      <c r="T667" t="str">
        <f t="shared" si="156"/>
        <v>Art</v>
      </c>
      <c r="U667" t="s">
        <v>3199</v>
      </c>
      <c r="V667" t="str">
        <f t="shared" si="157"/>
        <v>Max Art 660</v>
      </c>
      <c r="W667" t="s">
        <v>108</v>
      </c>
      <c r="X667" t="str">
        <f t="shared" si="158"/>
        <v>Standard Class</v>
      </c>
      <c r="Y667">
        <v>0</v>
      </c>
      <c r="Z667">
        <v>3</v>
      </c>
      <c r="AA667">
        <v>2110.52</v>
      </c>
      <c r="AB667">
        <v>0.1</v>
      </c>
      <c r="AC667">
        <f t="shared" si="159"/>
        <v>0.1</v>
      </c>
      <c r="AD667">
        <v>5698.4</v>
      </c>
      <c r="AE667">
        <f t="shared" si="160"/>
        <v>5698.404</v>
      </c>
      <c r="AF667">
        <v>3640.89</v>
      </c>
      <c r="AG667">
        <v>2057.51</v>
      </c>
      <c r="AH667">
        <f t="shared" si="161"/>
        <v>2057.514</v>
      </c>
      <c r="AI667">
        <f t="shared" si="162"/>
        <v>0.361068467591978</v>
      </c>
      <c r="AJ667" t="s">
        <v>241</v>
      </c>
      <c r="AK667" t="str">
        <f t="shared" si="163"/>
        <v>Failed</v>
      </c>
      <c r="AL667" t="s">
        <v>118</v>
      </c>
      <c r="AM667" t="str">
        <f t="shared" si="164"/>
        <v>Cancelled</v>
      </c>
      <c r="AN667">
        <v>1</v>
      </c>
      <c r="AO667">
        <v>2025</v>
      </c>
      <c r="AP667" t="s">
        <v>79</v>
      </c>
    </row>
    <row r="668" spans="1:42">
      <c r="A668" t="s">
        <v>3200</v>
      </c>
      <c r="B668" s="3" t="s">
        <v>2207</v>
      </c>
      <c r="C668" s="3">
        <v>45464</v>
      </c>
      <c r="D668" t="s">
        <v>2149</v>
      </c>
      <c r="E668" s="3">
        <v>45469</v>
      </c>
      <c r="F668" t="s">
        <v>3201</v>
      </c>
      <c r="G668" t="s">
        <v>220</v>
      </c>
      <c r="H668" t="str">
        <f t="shared" si="150"/>
        <v>Rohan Mehta</v>
      </c>
      <c r="I668" t="s">
        <v>85</v>
      </c>
      <c r="J668" t="str">
        <f t="shared" si="151"/>
        <v>Small Business</v>
      </c>
      <c r="K668" t="s">
        <v>8</v>
      </c>
      <c r="L668" t="str">
        <f t="shared" si="152"/>
        <v>North</v>
      </c>
      <c r="M668" t="s">
        <v>194</v>
      </c>
      <c r="N668" t="str">
        <f t="shared" si="153"/>
        <v>Punjab</v>
      </c>
      <c r="O668" t="s">
        <v>195</v>
      </c>
      <c r="P668" t="str">
        <f t="shared" si="154"/>
        <v>Ludhiana</v>
      </c>
      <c r="Q668" t="s">
        <v>24</v>
      </c>
      <c r="R668" t="str">
        <f t="shared" si="155"/>
        <v>Technology</v>
      </c>
      <c r="S668" t="s">
        <v>133</v>
      </c>
      <c r="T668" t="str">
        <f t="shared" si="156"/>
        <v>Copiers</v>
      </c>
      <c r="U668" t="s">
        <v>3202</v>
      </c>
      <c r="V668" t="str">
        <f t="shared" si="157"/>
        <v>Classic Copiers 908</v>
      </c>
      <c r="W668" t="s">
        <v>90</v>
      </c>
      <c r="X668" t="str">
        <f t="shared" si="158"/>
        <v>Same Day</v>
      </c>
      <c r="Y668">
        <v>5</v>
      </c>
      <c r="Z668">
        <v>1</v>
      </c>
      <c r="AA668">
        <v>279.83</v>
      </c>
      <c r="AB668">
        <v>0.05</v>
      </c>
      <c r="AC668">
        <f t="shared" si="159"/>
        <v>0.05</v>
      </c>
      <c r="AD668">
        <v>265.84</v>
      </c>
      <c r="AE668">
        <f t="shared" si="160"/>
        <v>265.8385</v>
      </c>
      <c r="AF668">
        <v>223.49</v>
      </c>
      <c r="AG668">
        <v>42.35</v>
      </c>
      <c r="AH668">
        <f t="shared" si="161"/>
        <v>42.3484999999999</v>
      </c>
      <c r="AI668">
        <f t="shared" si="162"/>
        <v>0.15930160605029</v>
      </c>
      <c r="AJ668" t="s">
        <v>77</v>
      </c>
      <c r="AK668" t="str">
        <f t="shared" si="163"/>
        <v>Paid</v>
      </c>
      <c r="AL668" t="s">
        <v>78</v>
      </c>
      <c r="AM668" t="str">
        <f t="shared" si="164"/>
        <v>Completed</v>
      </c>
      <c r="AN668">
        <v>6</v>
      </c>
      <c r="AO668">
        <v>2024</v>
      </c>
      <c r="AP668" t="s">
        <v>79</v>
      </c>
    </row>
    <row r="669" spans="1:42">
      <c r="A669" t="s">
        <v>3203</v>
      </c>
      <c r="B669" s="3" t="s">
        <v>3204</v>
      </c>
      <c r="C669" s="3">
        <v>45797</v>
      </c>
      <c r="D669" t="s">
        <v>3205</v>
      </c>
      <c r="E669" s="3">
        <v>45804</v>
      </c>
      <c r="F669" t="s">
        <v>3206</v>
      </c>
      <c r="G669" t="s">
        <v>251</v>
      </c>
      <c r="H669" t="str">
        <f t="shared" si="150"/>
        <v>Diya Patel</v>
      </c>
      <c r="I669" t="s">
        <v>85</v>
      </c>
      <c r="J669" t="str">
        <f t="shared" si="151"/>
        <v>Small Business</v>
      </c>
      <c r="K669" t="s">
        <v>7</v>
      </c>
      <c r="L669" t="str">
        <f t="shared" si="152"/>
        <v>East</v>
      </c>
      <c r="M669" t="s">
        <v>227</v>
      </c>
      <c r="N669" t="str">
        <f t="shared" si="153"/>
        <v>Bihar</v>
      </c>
      <c r="O669" t="s">
        <v>228</v>
      </c>
      <c r="P669" t="str">
        <f t="shared" si="154"/>
        <v>Patna</v>
      </c>
      <c r="Q669" t="s">
        <v>24</v>
      </c>
      <c r="R669" t="str">
        <f t="shared" si="155"/>
        <v>Technology</v>
      </c>
      <c r="S669" t="s">
        <v>427</v>
      </c>
      <c r="T669" t="str">
        <f t="shared" si="156"/>
        <v>Machines</v>
      </c>
      <c r="U669" t="s">
        <v>3207</v>
      </c>
      <c r="V669" t="str">
        <f t="shared" si="157"/>
        <v>Pro Machines 706</v>
      </c>
      <c r="W669" t="s">
        <v>108</v>
      </c>
      <c r="X669" t="str">
        <f t="shared" si="158"/>
        <v>Standard Class</v>
      </c>
      <c r="Y669">
        <v>7</v>
      </c>
      <c r="Z669">
        <v>1</v>
      </c>
      <c r="AA669">
        <v>3959.14</v>
      </c>
      <c r="AB669">
        <v>0</v>
      </c>
      <c r="AC669">
        <f t="shared" si="159"/>
        <v>0</v>
      </c>
      <c r="AD669">
        <v>3959.14</v>
      </c>
      <c r="AE669">
        <f t="shared" si="160"/>
        <v>3959.14</v>
      </c>
      <c r="AF669">
        <v>3239.53</v>
      </c>
      <c r="AG669">
        <v>719.61</v>
      </c>
      <c r="AH669">
        <f t="shared" si="161"/>
        <v>719.61</v>
      </c>
      <c r="AI669">
        <f t="shared" si="162"/>
        <v>0.18175916992074</v>
      </c>
      <c r="AJ669" t="s">
        <v>177</v>
      </c>
      <c r="AK669" t="str">
        <f t="shared" si="163"/>
        <v>Pending</v>
      </c>
      <c r="AL669" t="s">
        <v>164</v>
      </c>
      <c r="AM669" t="str">
        <f t="shared" si="164"/>
        <v>Returned</v>
      </c>
      <c r="AN669">
        <v>5</v>
      </c>
      <c r="AO669">
        <v>2025</v>
      </c>
      <c r="AP669" t="s">
        <v>79</v>
      </c>
    </row>
    <row r="670" spans="1:42">
      <c r="A670" t="s">
        <v>3208</v>
      </c>
      <c r="B670" s="3" t="s">
        <v>3209</v>
      </c>
      <c r="C670" s="3">
        <v>45617</v>
      </c>
      <c r="D670" t="s">
        <v>263</v>
      </c>
      <c r="E670" s="3">
        <v>45619</v>
      </c>
      <c r="F670" t="s">
        <v>3210</v>
      </c>
      <c r="G670" t="s">
        <v>84</v>
      </c>
      <c r="H670" t="str">
        <f t="shared" si="150"/>
        <v>Mira Das</v>
      </c>
      <c r="I670" t="s">
        <v>147</v>
      </c>
      <c r="J670" t="str">
        <f t="shared" si="151"/>
        <v>Corporate</v>
      </c>
      <c r="K670" t="s">
        <v>11</v>
      </c>
      <c r="L670" t="str">
        <f t="shared" si="152"/>
        <v>West</v>
      </c>
      <c r="M670" t="s">
        <v>278</v>
      </c>
      <c r="N670" t="str">
        <f t="shared" si="153"/>
        <v>Gujarat</v>
      </c>
      <c r="O670" t="s">
        <v>279</v>
      </c>
      <c r="P670" t="str">
        <f t="shared" si="154"/>
        <v>Ahmedabad</v>
      </c>
      <c r="Q670" t="s">
        <v>22</v>
      </c>
      <c r="R670" t="str">
        <f t="shared" si="155"/>
        <v>Office Supplies</v>
      </c>
      <c r="S670" t="s">
        <v>74</v>
      </c>
      <c r="T670" t="str">
        <f t="shared" si="156"/>
        <v>Paper</v>
      </c>
      <c r="U670" t="s">
        <v>3211</v>
      </c>
      <c r="V670" t="str">
        <f t="shared" si="157"/>
        <v>Pro Paper 187</v>
      </c>
      <c r="W670" t="s">
        <v>76</v>
      </c>
      <c r="X670" t="str">
        <f t="shared" si="158"/>
        <v>Second Class</v>
      </c>
      <c r="Y670">
        <v>2</v>
      </c>
      <c r="Z670">
        <v>5</v>
      </c>
      <c r="AA670">
        <v>600.46</v>
      </c>
      <c r="AB670">
        <v>0.2</v>
      </c>
      <c r="AC670">
        <f t="shared" si="159"/>
        <v>0.2</v>
      </c>
      <c r="AD670">
        <v>2401.84</v>
      </c>
      <c r="AE670">
        <f t="shared" si="160"/>
        <v>2401.84</v>
      </c>
      <c r="AF670">
        <v>1873.11</v>
      </c>
      <c r="AG670">
        <v>528.73</v>
      </c>
      <c r="AH670">
        <f t="shared" si="161"/>
        <v>528.73</v>
      </c>
      <c r="AI670">
        <f t="shared" si="162"/>
        <v>0.22013539619625</v>
      </c>
      <c r="AJ670" t="s">
        <v>77</v>
      </c>
      <c r="AK670" t="str">
        <f t="shared" si="163"/>
        <v>Paid</v>
      </c>
      <c r="AL670" t="s">
        <v>78</v>
      </c>
      <c r="AM670" t="str">
        <f t="shared" si="164"/>
        <v>Completed</v>
      </c>
      <c r="AN670">
        <v>11</v>
      </c>
      <c r="AO670">
        <v>2024</v>
      </c>
      <c r="AP670" t="s">
        <v>79</v>
      </c>
    </row>
    <row r="671" spans="1:42">
      <c r="A671" t="s">
        <v>3212</v>
      </c>
      <c r="B671" s="3" t="s">
        <v>3213</v>
      </c>
      <c r="C671" s="3">
        <v>45375</v>
      </c>
      <c r="D671" t="s">
        <v>3214</v>
      </c>
      <c r="E671" s="3">
        <v>45383</v>
      </c>
      <c r="F671" t="s">
        <v>3215</v>
      </c>
      <c r="G671" t="s">
        <v>113</v>
      </c>
      <c r="H671" t="str">
        <f t="shared" si="150"/>
        <v>Ananya Rao</v>
      </c>
      <c r="I671" t="s">
        <v>154</v>
      </c>
      <c r="J671" t="str">
        <f t="shared" si="151"/>
        <v>Home Office</v>
      </c>
      <c r="K671" t="s">
        <v>11</v>
      </c>
      <c r="L671" t="str">
        <f t="shared" si="152"/>
        <v>West</v>
      </c>
      <c r="M671" t="s">
        <v>114</v>
      </c>
      <c r="N671" t="str">
        <f t="shared" si="153"/>
        <v>Maharashtra</v>
      </c>
      <c r="O671" t="s">
        <v>115</v>
      </c>
      <c r="P671" t="str">
        <f t="shared" si="154"/>
        <v>Mumbai</v>
      </c>
      <c r="Q671" t="s">
        <v>19</v>
      </c>
      <c r="R671" t="str">
        <f t="shared" si="155"/>
        <v>Furniture</v>
      </c>
      <c r="S671" t="s">
        <v>88</v>
      </c>
      <c r="T671" t="str">
        <f t="shared" si="156"/>
        <v>Tables</v>
      </c>
      <c r="U671" t="s">
        <v>3216</v>
      </c>
      <c r="V671" t="str">
        <f t="shared" si="157"/>
        <v>Classic Tables 606</v>
      </c>
      <c r="W671" t="s">
        <v>76</v>
      </c>
      <c r="X671" t="str">
        <f t="shared" si="158"/>
        <v>Second Class</v>
      </c>
      <c r="Y671">
        <v>8</v>
      </c>
      <c r="Z671">
        <v>4</v>
      </c>
      <c r="AA671">
        <v>1700.72</v>
      </c>
      <c r="AB671">
        <v>0.25</v>
      </c>
      <c r="AC671">
        <f t="shared" si="159"/>
        <v>0.25</v>
      </c>
      <c r="AD671">
        <v>5102.16</v>
      </c>
      <c r="AE671">
        <f t="shared" si="160"/>
        <v>5102.16</v>
      </c>
      <c r="AF671">
        <v>3226.45</v>
      </c>
      <c r="AG671">
        <v>1875.71</v>
      </c>
      <c r="AH671">
        <f t="shared" si="161"/>
        <v>1875.71</v>
      </c>
      <c r="AI671">
        <f t="shared" si="162"/>
        <v>0.367630572149835</v>
      </c>
      <c r="AJ671" t="s">
        <v>77</v>
      </c>
      <c r="AK671" t="str">
        <f t="shared" si="163"/>
        <v>Paid</v>
      </c>
      <c r="AL671" t="s">
        <v>78</v>
      </c>
      <c r="AM671" t="str">
        <f t="shared" si="164"/>
        <v>Completed</v>
      </c>
      <c r="AN671">
        <v>3</v>
      </c>
      <c r="AO671">
        <v>2024</v>
      </c>
      <c r="AP671" t="s">
        <v>79</v>
      </c>
    </row>
    <row r="672" spans="1:42">
      <c r="A672" t="s">
        <v>3217</v>
      </c>
      <c r="B672" s="3" t="s">
        <v>3218</v>
      </c>
      <c r="C672" s="3">
        <v>45690</v>
      </c>
      <c r="D672" t="s">
        <v>3015</v>
      </c>
      <c r="E672" s="3">
        <v>45694</v>
      </c>
      <c r="F672" t="s">
        <v>2487</v>
      </c>
      <c r="G672" t="s">
        <v>208</v>
      </c>
      <c r="H672" t="str">
        <f t="shared" si="150"/>
        <v>Sneha Kapoor</v>
      </c>
      <c r="I672" t="s">
        <v>174</v>
      </c>
      <c r="J672" t="str">
        <f t="shared" si="151"/>
        <v>Corporate</v>
      </c>
      <c r="K672" t="s">
        <v>8</v>
      </c>
      <c r="L672" t="str">
        <f t="shared" si="152"/>
        <v>North</v>
      </c>
      <c r="M672" t="s">
        <v>214</v>
      </c>
      <c r="N672" t="str">
        <f t="shared" si="153"/>
        <v>Uttar Pradesh</v>
      </c>
      <c r="O672" t="s">
        <v>215</v>
      </c>
      <c r="P672" t="str">
        <f t="shared" si="154"/>
        <v>Noida</v>
      </c>
      <c r="Q672" t="s">
        <v>19</v>
      </c>
      <c r="R672" t="str">
        <f t="shared" si="155"/>
        <v>Furniture</v>
      </c>
      <c r="S672" t="s">
        <v>88</v>
      </c>
      <c r="T672" t="str">
        <f t="shared" si="156"/>
        <v>Tables</v>
      </c>
      <c r="U672" t="s">
        <v>3219</v>
      </c>
      <c r="V672" t="str">
        <f t="shared" si="157"/>
        <v>Smart Tables 835</v>
      </c>
      <c r="W672" t="s">
        <v>108</v>
      </c>
      <c r="X672" t="str">
        <f t="shared" si="158"/>
        <v>Standard Class</v>
      </c>
      <c r="Y672">
        <v>4</v>
      </c>
      <c r="Z672">
        <v>8</v>
      </c>
      <c r="AA672">
        <v>857.86</v>
      </c>
      <c r="AB672">
        <v>0.1</v>
      </c>
      <c r="AC672">
        <f t="shared" si="159"/>
        <v>0.1</v>
      </c>
      <c r="AD672">
        <v>6176.59</v>
      </c>
      <c r="AE672">
        <f t="shared" si="160"/>
        <v>6176.592</v>
      </c>
      <c r="AF672">
        <v>3560.96</v>
      </c>
      <c r="AG672">
        <v>2615.63</v>
      </c>
      <c r="AH672">
        <f t="shared" si="161"/>
        <v>2615.632</v>
      </c>
      <c r="AI672">
        <f t="shared" si="162"/>
        <v>0.423474951882851</v>
      </c>
      <c r="AJ672" t="s">
        <v>77</v>
      </c>
      <c r="AK672" t="str">
        <f t="shared" si="163"/>
        <v>Paid</v>
      </c>
      <c r="AL672" t="s">
        <v>78</v>
      </c>
      <c r="AM672" t="str">
        <f t="shared" si="164"/>
        <v>Completed</v>
      </c>
      <c r="AN672">
        <v>2</v>
      </c>
      <c r="AO672">
        <v>2025</v>
      </c>
      <c r="AP672" t="s">
        <v>79</v>
      </c>
    </row>
    <row r="673" spans="1:42">
      <c r="A673" t="s">
        <v>3220</v>
      </c>
      <c r="B673" s="3" t="s">
        <v>3221</v>
      </c>
      <c r="C673" s="3">
        <v>45373</v>
      </c>
      <c r="D673" t="s">
        <v>3222</v>
      </c>
      <c r="E673" s="3">
        <v>45378</v>
      </c>
      <c r="F673" t="s">
        <v>3223</v>
      </c>
      <c r="G673" t="s">
        <v>146</v>
      </c>
      <c r="H673" t="str">
        <f t="shared" si="150"/>
        <v>Aditi Sen</v>
      </c>
      <c r="I673" t="s">
        <v>154</v>
      </c>
      <c r="J673" t="str">
        <f t="shared" si="151"/>
        <v>Home Office</v>
      </c>
      <c r="K673" t="s">
        <v>11</v>
      </c>
      <c r="L673" t="str">
        <f t="shared" si="152"/>
        <v>West</v>
      </c>
      <c r="M673" t="s">
        <v>292</v>
      </c>
      <c r="N673" t="str">
        <f t="shared" si="153"/>
        <v>Goa</v>
      </c>
      <c r="O673" t="s">
        <v>293</v>
      </c>
      <c r="P673" t="str">
        <f t="shared" si="154"/>
        <v>Panaji</v>
      </c>
      <c r="Q673" t="s">
        <v>24</v>
      </c>
      <c r="R673" t="str">
        <f t="shared" si="155"/>
        <v>Technology</v>
      </c>
      <c r="S673" t="s">
        <v>3224</v>
      </c>
      <c r="T673" t="str">
        <f t="shared" si="156"/>
        <v>Copiers</v>
      </c>
      <c r="U673" t="s">
        <v>3225</v>
      </c>
      <c r="V673" t="str">
        <f t="shared" si="157"/>
        <v>Classic Copiers 583</v>
      </c>
      <c r="W673" t="s">
        <v>76</v>
      </c>
      <c r="X673" t="str">
        <f t="shared" si="158"/>
        <v>Second Class</v>
      </c>
      <c r="Y673">
        <v>5</v>
      </c>
      <c r="Z673">
        <v>9</v>
      </c>
      <c r="AA673">
        <v>3649.51</v>
      </c>
      <c r="AB673">
        <v>0.05</v>
      </c>
      <c r="AC673">
        <f t="shared" si="159"/>
        <v>0.05</v>
      </c>
      <c r="AD673">
        <v>31203.31</v>
      </c>
      <c r="AE673">
        <f t="shared" si="160"/>
        <v>31203.3105</v>
      </c>
      <c r="AF673">
        <v>17738.13</v>
      </c>
      <c r="AG673">
        <v>13465.18</v>
      </c>
      <c r="AH673">
        <f t="shared" si="161"/>
        <v>13465.1805</v>
      </c>
      <c r="AI673">
        <f t="shared" si="162"/>
        <v>0.431530510200192</v>
      </c>
      <c r="AJ673" t="s">
        <v>77</v>
      </c>
      <c r="AK673" t="str">
        <f t="shared" si="163"/>
        <v>Paid</v>
      </c>
      <c r="AL673" t="s">
        <v>78</v>
      </c>
      <c r="AM673" t="str">
        <f t="shared" si="164"/>
        <v>Completed</v>
      </c>
      <c r="AN673">
        <v>3</v>
      </c>
      <c r="AO673">
        <v>2024</v>
      </c>
      <c r="AP673" t="s">
        <v>79</v>
      </c>
    </row>
    <row r="674" spans="1:42">
      <c r="A674" t="s">
        <v>3226</v>
      </c>
      <c r="B674" s="3" t="s">
        <v>3227</v>
      </c>
      <c r="C674" s="3">
        <v>45539</v>
      </c>
      <c r="D674" t="s">
        <v>3228</v>
      </c>
      <c r="E674" s="3">
        <v>45540</v>
      </c>
      <c r="F674" t="s">
        <v>3229</v>
      </c>
      <c r="G674" t="s">
        <v>146</v>
      </c>
      <c r="H674" t="str">
        <f t="shared" si="150"/>
        <v>Aditi Sen</v>
      </c>
      <c r="I674" t="s">
        <v>147</v>
      </c>
      <c r="J674" t="str">
        <f t="shared" si="151"/>
        <v>Corporate</v>
      </c>
      <c r="K674" t="s">
        <v>11</v>
      </c>
      <c r="L674" t="str">
        <f t="shared" si="152"/>
        <v>West</v>
      </c>
      <c r="M674" t="s">
        <v>124</v>
      </c>
      <c r="N674" t="str">
        <f t="shared" si="153"/>
        <v>Madhya Pradesh</v>
      </c>
      <c r="O674" t="s">
        <v>125</v>
      </c>
      <c r="P674" t="str">
        <f t="shared" si="154"/>
        <v>Indore</v>
      </c>
      <c r="Q674" t="s">
        <v>19</v>
      </c>
      <c r="R674" t="str">
        <f t="shared" si="155"/>
        <v>Furniture</v>
      </c>
      <c r="S674" t="s">
        <v>116</v>
      </c>
      <c r="T674" t="str">
        <f t="shared" si="156"/>
        <v>Chairs</v>
      </c>
      <c r="U674" t="s">
        <v>3230</v>
      </c>
      <c r="V674" t="str">
        <f t="shared" si="157"/>
        <v>Classic Chairs 460</v>
      </c>
      <c r="W674" t="s">
        <v>108</v>
      </c>
      <c r="X674" t="str">
        <f t="shared" si="158"/>
        <v>Standard Class</v>
      </c>
      <c r="Y674">
        <v>1</v>
      </c>
      <c r="Z674">
        <v>5</v>
      </c>
      <c r="AA674">
        <v>2528.53</v>
      </c>
      <c r="AB674">
        <v>0.05</v>
      </c>
      <c r="AC674">
        <f t="shared" si="159"/>
        <v>0.05</v>
      </c>
      <c r="AD674">
        <v>12010.52</v>
      </c>
      <c r="AE674">
        <f t="shared" si="160"/>
        <v>12010.5175</v>
      </c>
      <c r="AF674">
        <v>7864.61</v>
      </c>
      <c r="AG674">
        <v>4145.91</v>
      </c>
      <c r="AH674">
        <f t="shared" si="161"/>
        <v>4145.9075</v>
      </c>
      <c r="AI674">
        <f t="shared" si="162"/>
        <v>0.34518974723612</v>
      </c>
      <c r="AJ674" t="s">
        <v>77</v>
      </c>
      <c r="AK674" t="str">
        <f t="shared" si="163"/>
        <v>Paid</v>
      </c>
      <c r="AL674" t="s">
        <v>164</v>
      </c>
      <c r="AM674" t="str">
        <f t="shared" si="164"/>
        <v>Returned</v>
      </c>
      <c r="AN674">
        <v>9</v>
      </c>
      <c r="AO674">
        <v>2024</v>
      </c>
      <c r="AP674" t="s">
        <v>79</v>
      </c>
    </row>
    <row r="675" spans="1:42">
      <c r="A675" t="s">
        <v>3231</v>
      </c>
      <c r="B675" s="3" t="s">
        <v>2457</v>
      </c>
      <c r="C675" s="3">
        <v>45701</v>
      </c>
      <c r="D675" t="s">
        <v>3232</v>
      </c>
      <c r="E675" s="3">
        <v>45704</v>
      </c>
      <c r="F675" t="s">
        <v>3233</v>
      </c>
      <c r="G675" t="s">
        <v>103</v>
      </c>
      <c r="H675" t="str">
        <f t="shared" si="150"/>
        <v>Arjun Bose</v>
      </c>
      <c r="I675" t="s">
        <v>85</v>
      </c>
      <c r="J675" t="str">
        <f t="shared" si="151"/>
        <v>Small Business</v>
      </c>
      <c r="K675" t="s">
        <v>11</v>
      </c>
      <c r="L675" t="str">
        <f t="shared" si="152"/>
        <v>West</v>
      </c>
      <c r="M675" t="s">
        <v>72</v>
      </c>
      <c r="N675" t="str">
        <f t="shared" si="153"/>
        <v>Rajasthan</v>
      </c>
      <c r="O675" t="s">
        <v>175</v>
      </c>
      <c r="P675" t="str">
        <f t="shared" si="154"/>
        <v>Udaipur</v>
      </c>
      <c r="Q675" t="s">
        <v>19</v>
      </c>
      <c r="R675" t="str">
        <f t="shared" si="155"/>
        <v>Furniture</v>
      </c>
      <c r="S675" t="s">
        <v>245</v>
      </c>
      <c r="T675" t="str">
        <f t="shared" si="156"/>
        <v>Bookcases</v>
      </c>
      <c r="U675" t="s">
        <v>3234</v>
      </c>
      <c r="V675" t="str">
        <f t="shared" si="157"/>
        <v>Classic Bookcases 488</v>
      </c>
      <c r="W675" t="s">
        <v>76</v>
      </c>
      <c r="X675" t="str">
        <f t="shared" si="158"/>
        <v>Second Class</v>
      </c>
      <c r="Y675">
        <v>3</v>
      </c>
      <c r="Z675">
        <v>4</v>
      </c>
      <c r="AA675">
        <v>4072.9</v>
      </c>
      <c r="AB675">
        <v>0.15</v>
      </c>
      <c r="AC675">
        <f t="shared" si="159"/>
        <v>0.15</v>
      </c>
      <c r="AD675">
        <v>13847.86</v>
      </c>
      <c r="AE675">
        <f t="shared" si="160"/>
        <v>13847.86</v>
      </c>
      <c r="AF675">
        <v>8471.78</v>
      </c>
      <c r="AG675">
        <v>5376.08</v>
      </c>
      <c r="AH675">
        <f t="shared" si="161"/>
        <v>5376.08</v>
      </c>
      <c r="AI675">
        <f t="shared" si="162"/>
        <v>0.388224606545705</v>
      </c>
      <c r="AJ675" t="s">
        <v>77</v>
      </c>
      <c r="AK675" t="str">
        <f t="shared" si="163"/>
        <v>Paid</v>
      </c>
      <c r="AL675" t="s">
        <v>78</v>
      </c>
      <c r="AM675" t="str">
        <f t="shared" si="164"/>
        <v>Completed</v>
      </c>
      <c r="AN675">
        <v>2</v>
      </c>
      <c r="AO675">
        <v>2025</v>
      </c>
      <c r="AP675" t="s">
        <v>79</v>
      </c>
    </row>
    <row r="676" spans="1:42">
      <c r="A676" t="s">
        <v>3235</v>
      </c>
      <c r="B676" s="3" t="s">
        <v>3236</v>
      </c>
      <c r="C676" s="3">
        <v>45430</v>
      </c>
      <c r="D676" t="s">
        <v>3237</v>
      </c>
      <c r="E676" s="3">
        <v>45433</v>
      </c>
      <c r="F676" t="s">
        <v>3238</v>
      </c>
      <c r="G676" t="s">
        <v>123</v>
      </c>
      <c r="H676" t="str">
        <f t="shared" si="150"/>
        <v>Vikram Iyer</v>
      </c>
      <c r="I676" t="s">
        <v>147</v>
      </c>
      <c r="J676" t="str">
        <f t="shared" si="151"/>
        <v>Corporate</v>
      </c>
      <c r="K676" t="s">
        <v>7</v>
      </c>
      <c r="L676" t="str">
        <f t="shared" si="152"/>
        <v>East</v>
      </c>
      <c r="M676" t="s">
        <v>354</v>
      </c>
      <c r="N676" t="str">
        <f t="shared" si="153"/>
        <v>Jharkhand</v>
      </c>
      <c r="O676" t="s">
        <v>355</v>
      </c>
      <c r="P676" t="str">
        <f t="shared" si="154"/>
        <v>Ranchi</v>
      </c>
      <c r="Q676" t="s">
        <v>24</v>
      </c>
      <c r="R676" t="str">
        <f t="shared" si="155"/>
        <v>Technology</v>
      </c>
      <c r="S676" t="s">
        <v>126</v>
      </c>
      <c r="T676" t="str">
        <f t="shared" si="156"/>
        <v>Accessories</v>
      </c>
      <c r="U676" t="s">
        <v>3239</v>
      </c>
      <c r="V676" t="str">
        <f t="shared" si="157"/>
        <v>Basic Accessories 944</v>
      </c>
      <c r="W676" t="s">
        <v>76</v>
      </c>
      <c r="X676" t="str">
        <f t="shared" si="158"/>
        <v>Second Class</v>
      </c>
      <c r="Y676">
        <v>3</v>
      </c>
      <c r="Z676">
        <v>1</v>
      </c>
      <c r="AA676">
        <v>1033.71</v>
      </c>
      <c r="AB676">
        <v>0</v>
      </c>
      <c r="AC676">
        <f t="shared" si="159"/>
        <v>0</v>
      </c>
      <c r="AD676">
        <v>1033.71</v>
      </c>
      <c r="AE676">
        <f t="shared" si="160"/>
        <v>1033.71</v>
      </c>
      <c r="AF676">
        <v>630.82</v>
      </c>
      <c r="AG676">
        <v>402.89</v>
      </c>
      <c r="AH676">
        <f t="shared" si="161"/>
        <v>402.89</v>
      </c>
      <c r="AI676">
        <f t="shared" si="162"/>
        <v>0.389751477687166</v>
      </c>
      <c r="AJ676" t="s">
        <v>177</v>
      </c>
      <c r="AK676" t="str">
        <f t="shared" si="163"/>
        <v>Pending</v>
      </c>
      <c r="AL676" t="s">
        <v>164</v>
      </c>
      <c r="AM676" t="str">
        <f t="shared" si="164"/>
        <v>Returned</v>
      </c>
      <c r="AN676">
        <v>5</v>
      </c>
      <c r="AO676">
        <v>2024</v>
      </c>
      <c r="AP676" t="s">
        <v>79</v>
      </c>
    </row>
    <row r="677" spans="1:42">
      <c r="A677" t="s">
        <v>3240</v>
      </c>
      <c r="B677" s="3" t="s">
        <v>3241</v>
      </c>
      <c r="C677" s="3">
        <v>45815</v>
      </c>
      <c r="D677" t="s">
        <v>3242</v>
      </c>
      <c r="E677" s="3">
        <v>45818</v>
      </c>
      <c r="F677" t="s">
        <v>3092</v>
      </c>
      <c r="G677" t="s">
        <v>202</v>
      </c>
      <c r="H677" t="str">
        <f t="shared" si="150"/>
        <v>Aarav Sharma</v>
      </c>
      <c r="I677" t="s">
        <v>71</v>
      </c>
      <c r="J677" t="str">
        <f t="shared" si="151"/>
        <v>Consumer</v>
      </c>
      <c r="K677" t="s">
        <v>8</v>
      </c>
      <c r="L677" t="str">
        <f t="shared" si="152"/>
        <v>North</v>
      </c>
      <c r="M677" t="s">
        <v>72</v>
      </c>
      <c r="N677" t="str">
        <f t="shared" si="153"/>
        <v>Rajasthan</v>
      </c>
      <c r="O677" t="s">
        <v>73</v>
      </c>
      <c r="P677" t="str">
        <f t="shared" si="154"/>
        <v>Jaipur</v>
      </c>
      <c r="Q677" t="s">
        <v>19</v>
      </c>
      <c r="R677" t="str">
        <f t="shared" si="155"/>
        <v>Furniture</v>
      </c>
      <c r="S677" t="s">
        <v>106</v>
      </c>
      <c r="T677" t="str">
        <f t="shared" si="156"/>
        <v>Furnishings</v>
      </c>
      <c r="U677" t="s">
        <v>3243</v>
      </c>
      <c r="V677" t="str">
        <f t="shared" si="157"/>
        <v>Eco Furnishings 217</v>
      </c>
      <c r="W677" t="s">
        <v>90</v>
      </c>
      <c r="X677" t="str">
        <f t="shared" si="158"/>
        <v>Same Day</v>
      </c>
      <c r="Y677">
        <v>3</v>
      </c>
      <c r="Z677">
        <v>3</v>
      </c>
      <c r="AA677">
        <v>963.26</v>
      </c>
      <c r="AB677">
        <v>0</v>
      </c>
      <c r="AC677">
        <f t="shared" si="159"/>
        <v>0</v>
      </c>
      <c r="AD677">
        <v>2889.78</v>
      </c>
      <c r="AE677">
        <f t="shared" si="160"/>
        <v>2889.78</v>
      </c>
      <c r="AF677">
        <v>1811.23</v>
      </c>
      <c r="AG677">
        <v>1078.55</v>
      </c>
      <c r="AH677">
        <f t="shared" si="161"/>
        <v>1078.55</v>
      </c>
      <c r="AI677">
        <f t="shared" si="162"/>
        <v>0.373229103945629</v>
      </c>
      <c r="AJ677" t="s">
        <v>77</v>
      </c>
      <c r="AK677" t="str">
        <f t="shared" si="163"/>
        <v>Paid</v>
      </c>
      <c r="AL677" t="s">
        <v>78</v>
      </c>
      <c r="AM677" t="str">
        <f t="shared" si="164"/>
        <v>Completed</v>
      </c>
      <c r="AN677">
        <v>6</v>
      </c>
      <c r="AO677">
        <v>2025</v>
      </c>
      <c r="AP677" t="s">
        <v>79</v>
      </c>
    </row>
    <row r="678" spans="1:42">
      <c r="A678" t="s">
        <v>3244</v>
      </c>
      <c r="B678" s="3" t="s">
        <v>3245</v>
      </c>
      <c r="C678" s="3">
        <v>45911</v>
      </c>
      <c r="D678" t="s">
        <v>3246</v>
      </c>
      <c r="E678" s="3">
        <v>45918</v>
      </c>
      <c r="F678" t="s">
        <v>3247</v>
      </c>
      <c r="G678" t="s">
        <v>188</v>
      </c>
      <c r="H678" t="str">
        <f t="shared" si="150"/>
        <v>Rahul Verma</v>
      </c>
      <c r="I678" t="s">
        <v>85</v>
      </c>
      <c r="J678" t="str">
        <f t="shared" si="151"/>
        <v>Small Business</v>
      </c>
      <c r="K678" t="s">
        <v>8</v>
      </c>
      <c r="L678" t="str">
        <f t="shared" si="152"/>
        <v>North</v>
      </c>
      <c r="M678" t="s">
        <v>552</v>
      </c>
      <c r="N678" t="str">
        <f t="shared" si="153"/>
        <v>Delhi</v>
      </c>
      <c r="O678" t="s">
        <v>553</v>
      </c>
      <c r="P678" t="str">
        <f t="shared" si="154"/>
        <v>New Delhi</v>
      </c>
      <c r="Q678" t="s">
        <v>24</v>
      </c>
      <c r="R678" t="str">
        <f t="shared" si="155"/>
        <v>Technology</v>
      </c>
      <c r="S678" t="s">
        <v>265</v>
      </c>
      <c r="T678" t="str">
        <f t="shared" si="156"/>
        <v>Phones</v>
      </c>
      <c r="U678" t="s">
        <v>3248</v>
      </c>
      <c r="V678" t="str">
        <f t="shared" si="157"/>
        <v>Smart Phones 967</v>
      </c>
      <c r="W678" t="s">
        <v>90</v>
      </c>
      <c r="X678" t="str">
        <f t="shared" si="158"/>
        <v>Same Day</v>
      </c>
      <c r="Y678">
        <v>7</v>
      </c>
      <c r="Z678">
        <v>7</v>
      </c>
      <c r="AA678">
        <v>3411.21</v>
      </c>
      <c r="AB678">
        <v>0.15</v>
      </c>
      <c r="AC678">
        <f t="shared" si="159"/>
        <v>0.15</v>
      </c>
      <c r="AD678">
        <v>20296.7</v>
      </c>
      <c r="AE678">
        <f t="shared" si="160"/>
        <v>20296.6995</v>
      </c>
      <c r="AF678">
        <v>14920.87</v>
      </c>
      <c r="AG678">
        <v>5375.83</v>
      </c>
      <c r="AH678">
        <f t="shared" si="161"/>
        <v>5375.8295</v>
      </c>
      <c r="AI678">
        <f t="shared" si="162"/>
        <v>0.264862250140719</v>
      </c>
      <c r="AJ678" t="s">
        <v>77</v>
      </c>
      <c r="AK678" t="str">
        <f t="shared" si="163"/>
        <v>Paid</v>
      </c>
      <c r="AL678" t="s">
        <v>78</v>
      </c>
      <c r="AM678" t="str">
        <f t="shared" si="164"/>
        <v>Completed</v>
      </c>
      <c r="AN678">
        <v>9</v>
      </c>
      <c r="AO678">
        <v>2025</v>
      </c>
      <c r="AP678" t="s">
        <v>79</v>
      </c>
    </row>
    <row r="679" spans="1:42">
      <c r="A679" t="s">
        <v>3249</v>
      </c>
      <c r="B679" s="3" t="s">
        <v>3250</v>
      </c>
      <c r="C679" s="3">
        <v>45465</v>
      </c>
      <c r="D679" t="s">
        <v>3251</v>
      </c>
      <c r="E679" s="3">
        <v>45470</v>
      </c>
      <c r="F679" t="s">
        <v>69</v>
      </c>
      <c r="G679" t="s">
        <v>95</v>
      </c>
      <c r="H679" t="str">
        <f t="shared" si="150"/>
        <v>Isha Nair</v>
      </c>
      <c r="I679" t="s">
        <v>154</v>
      </c>
      <c r="J679" t="str">
        <f t="shared" si="151"/>
        <v>Home Office</v>
      </c>
      <c r="K679" t="s">
        <v>10</v>
      </c>
      <c r="L679" t="str">
        <f t="shared" si="152"/>
        <v>South</v>
      </c>
      <c r="M679" t="s">
        <v>272</v>
      </c>
      <c r="N679" t="str">
        <f t="shared" si="153"/>
        <v>Karnataka</v>
      </c>
      <c r="O679" t="s">
        <v>273</v>
      </c>
      <c r="P679" t="str">
        <f t="shared" si="154"/>
        <v>Bengaluru</v>
      </c>
      <c r="Q679" t="s">
        <v>19</v>
      </c>
      <c r="R679" t="str">
        <f t="shared" si="155"/>
        <v>Furniture</v>
      </c>
      <c r="S679" t="s">
        <v>116</v>
      </c>
      <c r="T679" t="str">
        <f t="shared" si="156"/>
        <v>Chairs</v>
      </c>
      <c r="U679" t="s">
        <v>3252</v>
      </c>
      <c r="V679" t="str">
        <f t="shared" si="157"/>
        <v>Smart Chairs 610</v>
      </c>
      <c r="W679" t="s">
        <v>90</v>
      </c>
      <c r="X679" t="str">
        <f t="shared" si="158"/>
        <v>Same Day</v>
      </c>
      <c r="Y679">
        <v>5</v>
      </c>
      <c r="Z679">
        <v>7</v>
      </c>
      <c r="AA679">
        <v>2623.48</v>
      </c>
      <c r="AB679">
        <v>0</v>
      </c>
      <c r="AC679">
        <f t="shared" si="159"/>
        <v>0</v>
      </c>
      <c r="AD679">
        <v>18364.36</v>
      </c>
      <c r="AE679">
        <f t="shared" si="160"/>
        <v>18364.36</v>
      </c>
      <c r="AF679">
        <v>15445.81</v>
      </c>
      <c r="AG679">
        <v>2918.55</v>
      </c>
      <c r="AH679">
        <f t="shared" si="161"/>
        <v>2918.55</v>
      </c>
      <c r="AI679">
        <f t="shared" si="162"/>
        <v>0.158924678017639</v>
      </c>
      <c r="AJ679" t="s">
        <v>77</v>
      </c>
      <c r="AK679" t="str">
        <f t="shared" si="163"/>
        <v>Paid</v>
      </c>
      <c r="AL679" t="s">
        <v>78</v>
      </c>
      <c r="AM679" t="str">
        <f t="shared" si="164"/>
        <v>Completed</v>
      </c>
      <c r="AN679">
        <v>6</v>
      </c>
      <c r="AO679">
        <v>2024</v>
      </c>
      <c r="AP679" t="s">
        <v>79</v>
      </c>
    </row>
    <row r="680" spans="1:42">
      <c r="A680" t="s">
        <v>3253</v>
      </c>
      <c r="B680" s="3" t="s">
        <v>3254</v>
      </c>
      <c r="C680" s="3">
        <v>45620</v>
      </c>
      <c r="D680" t="s">
        <v>3255</v>
      </c>
      <c r="E680" s="3">
        <v>45627</v>
      </c>
      <c r="F680" t="s">
        <v>3256</v>
      </c>
      <c r="G680" t="s">
        <v>411</v>
      </c>
      <c r="H680" t="str">
        <f t="shared" si="150"/>
        <v>Kabir Singh</v>
      </c>
      <c r="I680" t="s">
        <v>147</v>
      </c>
      <c r="J680" t="str">
        <f t="shared" si="151"/>
        <v>Corporate</v>
      </c>
      <c r="K680" t="s">
        <v>10</v>
      </c>
      <c r="L680" t="str">
        <f t="shared" si="152"/>
        <v>South</v>
      </c>
      <c r="M680" t="s">
        <v>272</v>
      </c>
      <c r="N680" t="str">
        <f t="shared" si="153"/>
        <v>Karnataka</v>
      </c>
      <c r="O680" t="s">
        <v>273</v>
      </c>
      <c r="P680" t="str">
        <f t="shared" si="154"/>
        <v>Bengaluru</v>
      </c>
      <c r="Q680" t="s">
        <v>19</v>
      </c>
      <c r="R680" t="str">
        <f t="shared" si="155"/>
        <v>Furniture</v>
      </c>
      <c r="S680" t="s">
        <v>88</v>
      </c>
      <c r="T680" t="str">
        <f t="shared" si="156"/>
        <v>Tables</v>
      </c>
      <c r="U680" t="s">
        <v>3257</v>
      </c>
      <c r="V680" t="str">
        <f t="shared" si="157"/>
        <v>Prime Tables 123</v>
      </c>
      <c r="W680" t="s">
        <v>76</v>
      </c>
      <c r="X680" t="str">
        <f t="shared" si="158"/>
        <v>Second Class</v>
      </c>
      <c r="Y680">
        <v>7</v>
      </c>
      <c r="Z680">
        <v>9</v>
      </c>
      <c r="AA680">
        <v>2763.61</v>
      </c>
      <c r="AB680">
        <v>0.15</v>
      </c>
      <c r="AC680">
        <f t="shared" si="159"/>
        <v>0.15</v>
      </c>
      <c r="AD680">
        <v>21141.62</v>
      </c>
      <c r="AE680">
        <f t="shared" si="160"/>
        <v>21141.6165</v>
      </c>
      <c r="AF680">
        <v>11676.33</v>
      </c>
      <c r="AG680">
        <v>9465.29</v>
      </c>
      <c r="AH680">
        <f t="shared" si="161"/>
        <v>9465.2865</v>
      </c>
      <c r="AI680">
        <f t="shared" si="162"/>
        <v>0.447708740719992</v>
      </c>
      <c r="AJ680" t="s">
        <v>77</v>
      </c>
      <c r="AK680" t="str">
        <f t="shared" si="163"/>
        <v>Paid</v>
      </c>
      <c r="AL680" t="s">
        <v>78</v>
      </c>
      <c r="AM680" t="str">
        <f t="shared" si="164"/>
        <v>Completed</v>
      </c>
      <c r="AN680">
        <v>11</v>
      </c>
      <c r="AO680">
        <v>2024</v>
      </c>
      <c r="AP680" t="s">
        <v>79</v>
      </c>
    </row>
    <row r="681" spans="1:42">
      <c r="A681" t="s">
        <v>3258</v>
      </c>
      <c r="B681" s="3" t="s">
        <v>3259</v>
      </c>
      <c r="C681" s="3">
        <v>45885</v>
      </c>
      <c r="D681" t="s">
        <v>687</v>
      </c>
      <c r="E681" s="3">
        <v>45892</v>
      </c>
      <c r="F681" t="s">
        <v>3260</v>
      </c>
      <c r="G681" t="s">
        <v>220</v>
      </c>
      <c r="H681" t="str">
        <f t="shared" si="150"/>
        <v>Rohan Mehta</v>
      </c>
      <c r="I681" t="s">
        <v>147</v>
      </c>
      <c r="J681" t="str">
        <f t="shared" si="151"/>
        <v>Corporate</v>
      </c>
      <c r="K681" t="s">
        <v>8</v>
      </c>
      <c r="L681" t="str">
        <f t="shared" si="152"/>
        <v>North</v>
      </c>
      <c r="M681" t="s">
        <v>194</v>
      </c>
      <c r="N681" t="str">
        <f t="shared" si="153"/>
        <v>Punjab</v>
      </c>
      <c r="O681" t="s">
        <v>195</v>
      </c>
      <c r="P681" t="str">
        <f t="shared" si="154"/>
        <v>Ludhiana</v>
      </c>
      <c r="Q681" t="s">
        <v>24</v>
      </c>
      <c r="R681" t="str">
        <f t="shared" si="155"/>
        <v>Technology</v>
      </c>
      <c r="S681" t="s">
        <v>133</v>
      </c>
      <c r="T681" t="str">
        <f t="shared" si="156"/>
        <v>Copiers</v>
      </c>
      <c r="U681" t="s">
        <v>3261</v>
      </c>
      <c r="V681" t="str">
        <f t="shared" si="157"/>
        <v>Smart Copiers 579</v>
      </c>
      <c r="W681" t="s">
        <v>90</v>
      </c>
      <c r="X681" t="str">
        <f t="shared" si="158"/>
        <v>Same Day</v>
      </c>
      <c r="Y681">
        <v>7</v>
      </c>
      <c r="Z681">
        <v>4</v>
      </c>
      <c r="AA681">
        <v>1410.57</v>
      </c>
      <c r="AB681" t="s">
        <v>729</v>
      </c>
      <c r="AC681" t="str">
        <f t="shared" si="159"/>
        <v>70%</v>
      </c>
      <c r="AD681">
        <v>5360.17</v>
      </c>
      <c r="AE681">
        <f t="shared" si="160"/>
        <v>1692.684</v>
      </c>
      <c r="AF681">
        <v>3881.51</v>
      </c>
      <c r="AG681">
        <v>1478.66</v>
      </c>
      <c r="AH681">
        <f t="shared" si="161"/>
        <v>-2188.826</v>
      </c>
      <c r="AI681">
        <f t="shared" si="162"/>
        <v>-1.29310964125614</v>
      </c>
      <c r="AJ681" t="s">
        <v>163</v>
      </c>
      <c r="AK681" t="str">
        <f t="shared" si="163"/>
        <v>Refunded</v>
      </c>
      <c r="AL681" t="s">
        <v>118</v>
      </c>
      <c r="AM681" t="str">
        <f t="shared" si="164"/>
        <v>Cancelled</v>
      </c>
      <c r="AN681">
        <v>8</v>
      </c>
      <c r="AO681">
        <v>2025</v>
      </c>
      <c r="AP681" t="s">
        <v>79</v>
      </c>
    </row>
    <row r="682" spans="1:42">
      <c r="A682" t="s">
        <v>3262</v>
      </c>
      <c r="B682" s="3" t="s">
        <v>317</v>
      </c>
      <c r="C682" s="3">
        <v>45441</v>
      </c>
      <c r="D682" t="s">
        <v>623</v>
      </c>
      <c r="E682" s="3">
        <v>45448</v>
      </c>
      <c r="F682" t="s">
        <v>3263</v>
      </c>
      <c r="G682" t="s">
        <v>411</v>
      </c>
      <c r="H682" t="str">
        <f t="shared" si="150"/>
        <v>Kabir Singh</v>
      </c>
      <c r="I682" t="s">
        <v>147</v>
      </c>
      <c r="J682" t="str">
        <f t="shared" si="151"/>
        <v>Corporate</v>
      </c>
      <c r="K682" t="s">
        <v>10</v>
      </c>
      <c r="L682" t="str">
        <f t="shared" si="152"/>
        <v>South</v>
      </c>
      <c r="M682" t="s">
        <v>382</v>
      </c>
      <c r="N682" t="str">
        <f t="shared" si="153"/>
        <v>Tamil Nadu</v>
      </c>
      <c r="O682" t="s">
        <v>383</v>
      </c>
      <c r="P682" t="str">
        <f t="shared" si="154"/>
        <v>Chennai</v>
      </c>
      <c r="Q682" t="s">
        <v>24</v>
      </c>
      <c r="R682" t="str">
        <f t="shared" si="155"/>
        <v>Technology</v>
      </c>
      <c r="S682" t="s">
        <v>126</v>
      </c>
      <c r="T682" t="str">
        <f t="shared" si="156"/>
        <v>Accessories</v>
      </c>
      <c r="U682" t="s">
        <v>3264</v>
      </c>
      <c r="V682" t="str">
        <f t="shared" si="157"/>
        <v>Eco Accessories 658</v>
      </c>
      <c r="W682" t="s">
        <v>98</v>
      </c>
      <c r="X682" t="str">
        <f t="shared" si="158"/>
        <v>First Class</v>
      </c>
      <c r="Y682">
        <v>7</v>
      </c>
      <c r="Z682">
        <v>4</v>
      </c>
      <c r="AA682">
        <v>3700.24</v>
      </c>
      <c r="AB682">
        <v>0</v>
      </c>
      <c r="AC682">
        <f t="shared" si="159"/>
        <v>0</v>
      </c>
      <c r="AD682">
        <v>14800.96</v>
      </c>
      <c r="AE682">
        <f t="shared" si="160"/>
        <v>14800.96</v>
      </c>
      <c r="AF682">
        <v>12048.39</v>
      </c>
      <c r="AG682">
        <v>2752.57</v>
      </c>
      <c r="AH682">
        <f t="shared" si="161"/>
        <v>2752.57</v>
      </c>
      <c r="AI682">
        <f t="shared" si="162"/>
        <v>0.185972396385099</v>
      </c>
      <c r="AJ682" t="s">
        <v>77</v>
      </c>
      <c r="AK682" t="str">
        <f t="shared" si="163"/>
        <v>Paid</v>
      </c>
      <c r="AL682" t="s">
        <v>78</v>
      </c>
      <c r="AM682" t="str">
        <f t="shared" si="164"/>
        <v>Completed</v>
      </c>
      <c r="AN682">
        <v>5</v>
      </c>
      <c r="AO682">
        <v>2024</v>
      </c>
      <c r="AP682" t="s">
        <v>79</v>
      </c>
    </row>
    <row r="683" spans="1:42">
      <c r="A683" t="s">
        <v>3265</v>
      </c>
      <c r="B683" s="3" t="s">
        <v>3266</v>
      </c>
      <c r="C683" s="3">
        <v>45477</v>
      </c>
      <c r="D683" t="s">
        <v>3267</v>
      </c>
      <c r="E683" s="3">
        <v>45483</v>
      </c>
      <c r="F683" t="s">
        <v>3268</v>
      </c>
      <c r="G683" t="s">
        <v>123</v>
      </c>
      <c r="H683" t="str">
        <f t="shared" si="150"/>
        <v>Vikram Iyer</v>
      </c>
      <c r="I683" t="s">
        <v>147</v>
      </c>
      <c r="J683" t="str">
        <f t="shared" si="151"/>
        <v>Corporate</v>
      </c>
      <c r="K683" t="s">
        <v>8</v>
      </c>
      <c r="L683" t="str">
        <f t="shared" si="152"/>
        <v>North</v>
      </c>
      <c r="M683" t="s">
        <v>552</v>
      </c>
      <c r="N683" t="str">
        <f t="shared" si="153"/>
        <v>Delhi</v>
      </c>
      <c r="O683" t="s">
        <v>553</v>
      </c>
      <c r="P683" t="str">
        <f t="shared" si="154"/>
        <v>New Delhi</v>
      </c>
      <c r="Q683" t="s">
        <v>19</v>
      </c>
      <c r="R683" t="str">
        <f t="shared" si="155"/>
        <v>Furniture</v>
      </c>
      <c r="S683" t="s">
        <v>88</v>
      </c>
      <c r="T683" t="str">
        <f t="shared" si="156"/>
        <v>Tables</v>
      </c>
      <c r="U683" t="s">
        <v>3269</v>
      </c>
      <c r="V683" t="str">
        <f t="shared" si="157"/>
        <v>Smart Tables 777</v>
      </c>
      <c r="W683" t="s">
        <v>76</v>
      </c>
      <c r="X683" t="str">
        <f t="shared" si="158"/>
        <v>Second Class</v>
      </c>
      <c r="Y683">
        <v>6</v>
      </c>
      <c r="Z683">
        <v>5</v>
      </c>
      <c r="AA683">
        <v>1200.27</v>
      </c>
      <c r="AB683">
        <v>0</v>
      </c>
      <c r="AC683">
        <f t="shared" si="159"/>
        <v>0</v>
      </c>
      <c r="AD683">
        <v>6001.35</v>
      </c>
      <c r="AE683">
        <f t="shared" si="160"/>
        <v>6001.35</v>
      </c>
      <c r="AF683">
        <v>4182.99</v>
      </c>
      <c r="AG683">
        <v>1818.36</v>
      </c>
      <c r="AH683">
        <f t="shared" si="161"/>
        <v>1818.36</v>
      </c>
      <c r="AI683">
        <f t="shared" si="162"/>
        <v>0.302991826838961</v>
      </c>
      <c r="AJ683" t="s">
        <v>77</v>
      </c>
      <c r="AK683" t="str">
        <f t="shared" si="163"/>
        <v>Paid</v>
      </c>
      <c r="AL683" t="s">
        <v>118</v>
      </c>
      <c r="AM683" t="str">
        <f t="shared" si="164"/>
        <v>Cancelled</v>
      </c>
      <c r="AN683">
        <v>7</v>
      </c>
      <c r="AO683">
        <v>2024</v>
      </c>
      <c r="AP683" t="s">
        <v>79</v>
      </c>
    </row>
    <row r="684" spans="1:42">
      <c r="A684" t="s">
        <v>3270</v>
      </c>
      <c r="B684" s="3" t="s">
        <v>387</v>
      </c>
      <c r="C684" s="3">
        <v>45693</v>
      </c>
      <c r="D684" t="s">
        <v>2942</v>
      </c>
      <c r="E684" s="3">
        <v>45693</v>
      </c>
      <c r="F684" t="s">
        <v>3271</v>
      </c>
      <c r="G684" t="s">
        <v>3272</v>
      </c>
      <c r="H684" t="str">
        <f t="shared" si="150"/>
        <v>Ananya Rao</v>
      </c>
      <c r="I684" t="s">
        <v>147</v>
      </c>
      <c r="J684" t="str">
        <f t="shared" si="151"/>
        <v>Corporate</v>
      </c>
      <c r="K684" t="s">
        <v>8</v>
      </c>
      <c r="L684" t="str">
        <f t="shared" si="152"/>
        <v>North</v>
      </c>
      <c r="M684" t="s">
        <v>366</v>
      </c>
      <c r="N684" t="str">
        <f t="shared" si="153"/>
        <v>Haryana</v>
      </c>
      <c r="O684" t="s">
        <v>367</v>
      </c>
      <c r="P684" t="str">
        <f t="shared" si="154"/>
        <v>Gurugram</v>
      </c>
      <c r="Q684" t="s">
        <v>22</v>
      </c>
      <c r="R684" t="str">
        <f t="shared" si="155"/>
        <v>Office Supplies</v>
      </c>
      <c r="S684" t="s">
        <v>196</v>
      </c>
      <c r="T684" t="str">
        <f t="shared" si="156"/>
        <v>Storage</v>
      </c>
      <c r="U684" t="s">
        <v>3273</v>
      </c>
      <c r="V684" t="str">
        <f t="shared" si="157"/>
        <v>Eco Storage 861</v>
      </c>
      <c r="W684" t="s">
        <v>90</v>
      </c>
      <c r="X684" t="str">
        <f t="shared" si="158"/>
        <v>Same Day</v>
      </c>
      <c r="Y684">
        <v>0</v>
      </c>
      <c r="Z684">
        <v>3</v>
      </c>
      <c r="AA684">
        <v>2590.78</v>
      </c>
      <c r="AC684">
        <f t="shared" si="159"/>
        <v>0</v>
      </c>
      <c r="AD684">
        <v>7383.72</v>
      </c>
      <c r="AE684">
        <f t="shared" si="160"/>
        <v>7772.34</v>
      </c>
      <c r="AF684">
        <v>4113.66</v>
      </c>
      <c r="AG684">
        <v>3270.06</v>
      </c>
      <c r="AH684">
        <f t="shared" si="161"/>
        <v>3658.68</v>
      </c>
      <c r="AI684">
        <f t="shared" si="162"/>
        <v>0.470730822377817</v>
      </c>
      <c r="AJ684" t="s">
        <v>77</v>
      </c>
      <c r="AK684" t="str">
        <f t="shared" si="163"/>
        <v>Paid</v>
      </c>
      <c r="AL684" t="s">
        <v>78</v>
      </c>
      <c r="AM684" t="str">
        <f t="shared" si="164"/>
        <v>Completed</v>
      </c>
      <c r="AN684">
        <v>2</v>
      </c>
      <c r="AO684">
        <v>2025</v>
      </c>
      <c r="AP684" t="s">
        <v>222</v>
      </c>
    </row>
    <row r="685" spans="1:42">
      <c r="A685" t="s">
        <v>3274</v>
      </c>
      <c r="B685" s="3" t="s">
        <v>3275</v>
      </c>
      <c r="C685" s="3">
        <v>45858</v>
      </c>
      <c r="D685" t="s">
        <v>1783</v>
      </c>
      <c r="E685" s="3">
        <v>45862</v>
      </c>
      <c r="F685" t="s">
        <v>3276</v>
      </c>
      <c r="G685" t="s">
        <v>103</v>
      </c>
      <c r="H685" t="str">
        <f t="shared" si="150"/>
        <v>Arjun Bose</v>
      </c>
      <c r="I685" t="s">
        <v>85</v>
      </c>
      <c r="J685" t="str">
        <f t="shared" si="151"/>
        <v>Small Business</v>
      </c>
      <c r="K685" t="s">
        <v>10</v>
      </c>
      <c r="L685" t="str">
        <f t="shared" si="152"/>
        <v>South</v>
      </c>
      <c r="M685" t="s">
        <v>104</v>
      </c>
      <c r="N685" t="str">
        <f t="shared" si="153"/>
        <v>Telangana</v>
      </c>
      <c r="O685" t="s">
        <v>105</v>
      </c>
      <c r="P685" t="str">
        <f t="shared" si="154"/>
        <v>Hyderabad</v>
      </c>
      <c r="Q685" t="s">
        <v>19</v>
      </c>
      <c r="R685" t="str">
        <f t="shared" si="155"/>
        <v>Furniture</v>
      </c>
      <c r="S685" t="s">
        <v>106</v>
      </c>
      <c r="T685" t="str">
        <f t="shared" si="156"/>
        <v>Furnishings</v>
      </c>
      <c r="U685" t="s">
        <v>3277</v>
      </c>
      <c r="V685" t="str">
        <f t="shared" si="157"/>
        <v>Eco Furnishings 875</v>
      </c>
      <c r="W685" t="s">
        <v>76</v>
      </c>
      <c r="X685" t="str">
        <f t="shared" si="158"/>
        <v>Second Class</v>
      </c>
      <c r="Y685">
        <v>4</v>
      </c>
      <c r="Z685">
        <v>6</v>
      </c>
      <c r="AA685">
        <v>1646.45</v>
      </c>
      <c r="AB685">
        <v>0.2</v>
      </c>
      <c r="AC685">
        <f t="shared" si="159"/>
        <v>0.2</v>
      </c>
      <c r="AD685">
        <v>7902.96</v>
      </c>
      <c r="AE685">
        <f t="shared" si="160"/>
        <v>7902.96</v>
      </c>
      <c r="AF685">
        <v>5512.03</v>
      </c>
      <c r="AG685">
        <v>2390.93</v>
      </c>
      <c r="AH685">
        <f t="shared" si="161"/>
        <v>2390.93</v>
      </c>
      <c r="AI685">
        <f t="shared" si="162"/>
        <v>0.302536011823418</v>
      </c>
      <c r="AJ685" t="s">
        <v>163</v>
      </c>
      <c r="AK685" t="str">
        <f t="shared" si="163"/>
        <v>Refunded</v>
      </c>
      <c r="AL685" t="s">
        <v>118</v>
      </c>
      <c r="AM685" t="str">
        <f t="shared" si="164"/>
        <v>Cancelled</v>
      </c>
      <c r="AN685">
        <v>7</v>
      </c>
      <c r="AO685">
        <v>2025</v>
      </c>
      <c r="AP685" t="s">
        <v>79</v>
      </c>
    </row>
    <row r="686" spans="1:42">
      <c r="A686" t="s">
        <v>3278</v>
      </c>
      <c r="B686" s="3" t="s">
        <v>3279</v>
      </c>
      <c r="C686" s="3">
        <v>45859</v>
      </c>
      <c r="D686" t="s">
        <v>540</v>
      </c>
      <c r="E686" s="3">
        <v>45859</v>
      </c>
      <c r="F686" t="s">
        <v>3280</v>
      </c>
      <c r="G686" t="s">
        <v>95</v>
      </c>
      <c r="H686" t="str">
        <f t="shared" si="150"/>
        <v>Isha Nair</v>
      </c>
      <c r="I686" t="s">
        <v>154</v>
      </c>
      <c r="J686" t="str">
        <f t="shared" si="151"/>
        <v>Home Office</v>
      </c>
      <c r="K686" t="s">
        <v>10</v>
      </c>
      <c r="L686" t="str">
        <f t="shared" si="152"/>
        <v>South</v>
      </c>
      <c r="M686" t="s">
        <v>382</v>
      </c>
      <c r="N686" t="str">
        <f t="shared" si="153"/>
        <v>Tamil Nadu</v>
      </c>
      <c r="O686" t="s">
        <v>383</v>
      </c>
      <c r="P686" t="str">
        <f t="shared" si="154"/>
        <v>Chennai</v>
      </c>
      <c r="Q686" t="s">
        <v>19</v>
      </c>
      <c r="R686" t="str">
        <f t="shared" si="155"/>
        <v>Furniture</v>
      </c>
      <c r="S686" t="s">
        <v>245</v>
      </c>
      <c r="T686" t="str">
        <f t="shared" si="156"/>
        <v>Bookcases</v>
      </c>
      <c r="U686" t="s">
        <v>3281</v>
      </c>
      <c r="V686" t="str">
        <f t="shared" si="157"/>
        <v>Prime Bookcases 784</v>
      </c>
      <c r="W686" t="s">
        <v>98</v>
      </c>
      <c r="X686" t="str">
        <f t="shared" si="158"/>
        <v>First Class</v>
      </c>
      <c r="Y686">
        <v>0</v>
      </c>
      <c r="Z686">
        <v>7</v>
      </c>
      <c r="AA686">
        <v>4396.65</v>
      </c>
      <c r="AB686">
        <v>0.2</v>
      </c>
      <c r="AC686">
        <f t="shared" si="159"/>
        <v>0.2</v>
      </c>
      <c r="AD686">
        <v>24621.24</v>
      </c>
      <c r="AE686">
        <f t="shared" si="160"/>
        <v>24621.24</v>
      </c>
      <c r="AF686">
        <v>17155.48</v>
      </c>
      <c r="AG686">
        <v>7465.76</v>
      </c>
      <c r="AH686">
        <f t="shared" si="161"/>
        <v>7465.76</v>
      </c>
      <c r="AI686">
        <f t="shared" si="162"/>
        <v>0.303224370502867</v>
      </c>
      <c r="AJ686" t="s">
        <v>163</v>
      </c>
      <c r="AK686" t="str">
        <f t="shared" si="163"/>
        <v>Refunded</v>
      </c>
      <c r="AL686" t="s">
        <v>118</v>
      </c>
      <c r="AM686" t="str">
        <f t="shared" si="164"/>
        <v>Cancelled</v>
      </c>
      <c r="AN686">
        <v>7</v>
      </c>
      <c r="AO686">
        <v>2025</v>
      </c>
      <c r="AP686" t="s">
        <v>79</v>
      </c>
    </row>
    <row r="687" spans="1:42">
      <c r="A687" t="s">
        <v>3282</v>
      </c>
      <c r="B687" s="3" t="s">
        <v>3283</v>
      </c>
      <c r="C687" s="3">
        <v>45931</v>
      </c>
      <c r="D687" t="s">
        <v>545</v>
      </c>
      <c r="E687" s="3">
        <v>45933</v>
      </c>
      <c r="F687" t="s">
        <v>2791</v>
      </c>
      <c r="G687" t="s">
        <v>132</v>
      </c>
      <c r="H687" t="str">
        <f t="shared" si="150"/>
        <v>Neha Gupta</v>
      </c>
      <c r="I687" t="s">
        <v>147</v>
      </c>
      <c r="J687" t="str">
        <f t="shared" si="151"/>
        <v>Corporate</v>
      </c>
      <c r="K687" t="s">
        <v>11</v>
      </c>
      <c r="L687" t="str">
        <f t="shared" si="152"/>
        <v>West</v>
      </c>
      <c r="M687" t="s">
        <v>292</v>
      </c>
      <c r="N687" t="str">
        <f t="shared" si="153"/>
        <v>Goa</v>
      </c>
      <c r="O687" t="s">
        <v>293</v>
      </c>
      <c r="P687" t="str">
        <f t="shared" si="154"/>
        <v>Panaji</v>
      </c>
      <c r="Q687" t="s">
        <v>22</v>
      </c>
      <c r="R687" t="str">
        <f t="shared" si="155"/>
        <v>Office Supplies</v>
      </c>
      <c r="S687" t="s">
        <v>96</v>
      </c>
      <c r="T687" t="str">
        <f t="shared" si="156"/>
        <v>Art</v>
      </c>
      <c r="U687" t="s">
        <v>3284</v>
      </c>
      <c r="V687" t="str">
        <f t="shared" si="157"/>
        <v>Classic Art 380</v>
      </c>
      <c r="W687" t="s">
        <v>108</v>
      </c>
      <c r="X687" t="str">
        <f t="shared" si="158"/>
        <v>Standard Class</v>
      </c>
      <c r="Y687">
        <v>2</v>
      </c>
      <c r="Z687">
        <v>9</v>
      </c>
      <c r="AA687">
        <v>818.15</v>
      </c>
      <c r="AB687">
        <v>0.55</v>
      </c>
      <c r="AC687">
        <f t="shared" si="159"/>
        <v>0.55</v>
      </c>
      <c r="AD687">
        <v>6627.01</v>
      </c>
      <c r="AE687">
        <f t="shared" si="160"/>
        <v>3313.5075</v>
      </c>
      <c r="AF687">
        <v>5606.79</v>
      </c>
      <c r="AG687">
        <v>1020.22</v>
      </c>
      <c r="AH687">
        <f t="shared" si="161"/>
        <v>-2293.2825</v>
      </c>
      <c r="AI687">
        <f t="shared" si="162"/>
        <v>-0.692101194881859</v>
      </c>
      <c r="AJ687" t="s">
        <v>241</v>
      </c>
      <c r="AK687" t="str">
        <f t="shared" si="163"/>
        <v>Failed</v>
      </c>
      <c r="AL687" t="s">
        <v>118</v>
      </c>
      <c r="AM687" t="str">
        <f t="shared" si="164"/>
        <v>Cancelled</v>
      </c>
      <c r="AN687">
        <v>10</v>
      </c>
      <c r="AO687">
        <v>2025</v>
      </c>
      <c r="AP687" t="s">
        <v>79</v>
      </c>
    </row>
    <row r="688" spans="1:42">
      <c r="A688" t="s">
        <v>3285</v>
      </c>
      <c r="B688" s="3" t="s">
        <v>3286</v>
      </c>
      <c r="C688" s="3">
        <v>45376</v>
      </c>
      <c r="D688" t="s">
        <v>2226</v>
      </c>
      <c r="E688" s="3">
        <v>45384</v>
      </c>
      <c r="F688" t="s">
        <v>3287</v>
      </c>
      <c r="G688" t="s">
        <v>208</v>
      </c>
      <c r="H688" t="str">
        <f t="shared" si="150"/>
        <v>Sneha Kapoor</v>
      </c>
      <c r="I688" t="s">
        <v>154</v>
      </c>
      <c r="J688" t="str">
        <f t="shared" si="151"/>
        <v>Home Office</v>
      </c>
      <c r="K688" t="s">
        <v>10</v>
      </c>
      <c r="L688" t="str">
        <f t="shared" si="152"/>
        <v>South</v>
      </c>
      <c r="M688" t="s">
        <v>382</v>
      </c>
      <c r="N688" t="str">
        <f t="shared" si="153"/>
        <v>Tamil Nadu</v>
      </c>
      <c r="O688" t="s">
        <v>383</v>
      </c>
      <c r="P688" t="str">
        <f t="shared" si="154"/>
        <v>Chennai</v>
      </c>
      <c r="Q688" t="s">
        <v>24</v>
      </c>
      <c r="R688" t="str">
        <f t="shared" si="155"/>
        <v>Technology</v>
      </c>
      <c r="S688" t="s">
        <v>133</v>
      </c>
      <c r="T688" t="str">
        <f t="shared" si="156"/>
        <v>Copiers</v>
      </c>
      <c r="U688" t="s">
        <v>3288</v>
      </c>
      <c r="V688" t="str">
        <f t="shared" si="157"/>
        <v>Pro Copiers 502</v>
      </c>
      <c r="W688" t="s">
        <v>108</v>
      </c>
      <c r="X688" t="str">
        <f t="shared" si="158"/>
        <v>Standard Class</v>
      </c>
      <c r="Y688">
        <v>8</v>
      </c>
      <c r="Z688">
        <v>2</v>
      </c>
      <c r="AA688">
        <v>2349.13</v>
      </c>
      <c r="AB688">
        <v>0</v>
      </c>
      <c r="AC688">
        <f t="shared" si="159"/>
        <v>0</v>
      </c>
      <c r="AD688">
        <v>4698.26</v>
      </c>
      <c r="AE688">
        <f t="shared" si="160"/>
        <v>4698.26</v>
      </c>
      <c r="AF688">
        <v>2654.92</v>
      </c>
      <c r="AG688">
        <v>2043.34</v>
      </c>
      <c r="AH688">
        <f t="shared" si="161"/>
        <v>2043.34</v>
      </c>
      <c r="AI688">
        <f t="shared" si="162"/>
        <v>0.434914202279142</v>
      </c>
      <c r="AJ688" t="s">
        <v>77</v>
      </c>
      <c r="AK688" t="str">
        <f t="shared" si="163"/>
        <v>Paid</v>
      </c>
      <c r="AL688" t="s">
        <v>78</v>
      </c>
      <c r="AM688" t="str">
        <f t="shared" si="164"/>
        <v>Completed</v>
      </c>
      <c r="AN688">
        <v>3</v>
      </c>
      <c r="AO688">
        <v>2024</v>
      </c>
      <c r="AP688" t="s">
        <v>79</v>
      </c>
    </row>
    <row r="689" spans="1:42">
      <c r="A689" t="s">
        <v>3289</v>
      </c>
      <c r="B689" s="3" t="s">
        <v>1244</v>
      </c>
      <c r="C689" s="3">
        <v>45938</v>
      </c>
      <c r="D689" t="s">
        <v>3290</v>
      </c>
      <c r="E689" s="3">
        <v>45943</v>
      </c>
      <c r="F689" t="s">
        <v>3291</v>
      </c>
      <c r="G689" t="s">
        <v>84</v>
      </c>
      <c r="H689" t="str">
        <f t="shared" si="150"/>
        <v>Mira Das</v>
      </c>
      <c r="I689" t="s">
        <v>154</v>
      </c>
      <c r="J689" t="str">
        <f t="shared" si="151"/>
        <v>Home Office</v>
      </c>
      <c r="K689" t="s">
        <v>8</v>
      </c>
      <c r="L689" t="str">
        <f t="shared" si="152"/>
        <v>North</v>
      </c>
      <c r="M689" t="s">
        <v>194</v>
      </c>
      <c r="N689" t="str">
        <f t="shared" si="153"/>
        <v>Punjab</v>
      </c>
      <c r="O689" t="s">
        <v>195</v>
      </c>
      <c r="P689" t="str">
        <f t="shared" si="154"/>
        <v>Ludhiana</v>
      </c>
      <c r="Q689" t="s">
        <v>19</v>
      </c>
      <c r="R689" t="str">
        <f t="shared" si="155"/>
        <v>Furniture</v>
      </c>
      <c r="S689" t="s">
        <v>88</v>
      </c>
      <c r="T689" t="str">
        <f t="shared" si="156"/>
        <v>Tables</v>
      </c>
      <c r="U689" t="s">
        <v>3292</v>
      </c>
      <c r="V689" t="str">
        <f t="shared" si="157"/>
        <v>Prime Tables 604</v>
      </c>
      <c r="W689" t="s">
        <v>98</v>
      </c>
      <c r="X689" t="str">
        <f t="shared" si="158"/>
        <v>First Class</v>
      </c>
      <c r="Y689">
        <v>5</v>
      </c>
      <c r="Z689">
        <v>4</v>
      </c>
      <c r="AA689">
        <v>172.05</v>
      </c>
      <c r="AB689">
        <v>0</v>
      </c>
      <c r="AC689">
        <f t="shared" si="159"/>
        <v>0</v>
      </c>
      <c r="AD689">
        <v>688.2</v>
      </c>
      <c r="AE689">
        <f t="shared" si="160"/>
        <v>688.2</v>
      </c>
      <c r="AF689">
        <v>497.68</v>
      </c>
      <c r="AG689">
        <v>190.52</v>
      </c>
      <c r="AH689">
        <f t="shared" si="161"/>
        <v>190.52</v>
      </c>
      <c r="AI689">
        <f t="shared" si="162"/>
        <v>0.276838128451032</v>
      </c>
      <c r="AJ689" t="s">
        <v>241</v>
      </c>
      <c r="AK689" t="str">
        <f t="shared" si="163"/>
        <v>Failed</v>
      </c>
      <c r="AL689" t="s">
        <v>118</v>
      </c>
      <c r="AM689" t="str">
        <f t="shared" si="164"/>
        <v>Cancelled</v>
      </c>
      <c r="AN689">
        <v>10</v>
      </c>
      <c r="AO689">
        <v>2025</v>
      </c>
      <c r="AP689" t="s">
        <v>79</v>
      </c>
    </row>
    <row r="690" spans="1:42">
      <c r="A690" t="s">
        <v>3293</v>
      </c>
      <c r="B690" s="3" t="s">
        <v>1215</v>
      </c>
      <c r="C690" s="3">
        <v>45714</v>
      </c>
      <c r="D690" t="s">
        <v>3294</v>
      </c>
      <c r="E690" s="3">
        <v>45715</v>
      </c>
      <c r="F690" t="s">
        <v>3295</v>
      </c>
      <c r="G690" t="s">
        <v>132</v>
      </c>
      <c r="H690" t="str">
        <f t="shared" si="150"/>
        <v>Neha Gupta</v>
      </c>
      <c r="I690" t="s">
        <v>154</v>
      </c>
      <c r="J690" t="str">
        <f t="shared" si="151"/>
        <v>Home Office</v>
      </c>
      <c r="K690" t="s">
        <v>8</v>
      </c>
      <c r="L690" t="str">
        <f t="shared" si="152"/>
        <v>North</v>
      </c>
      <c r="M690" t="s">
        <v>366</v>
      </c>
      <c r="N690" t="str">
        <f t="shared" si="153"/>
        <v>Haryana</v>
      </c>
      <c r="O690" t="s">
        <v>367</v>
      </c>
      <c r="P690" t="str">
        <f t="shared" si="154"/>
        <v>Gurugram</v>
      </c>
      <c r="Q690" t="s">
        <v>22</v>
      </c>
      <c r="R690" t="str">
        <f t="shared" si="155"/>
        <v>Office Supplies</v>
      </c>
      <c r="S690" t="s">
        <v>96</v>
      </c>
      <c r="T690" t="str">
        <f t="shared" si="156"/>
        <v>Art</v>
      </c>
      <c r="U690" t="s">
        <v>3296</v>
      </c>
      <c r="V690" t="str">
        <f t="shared" si="157"/>
        <v>Basic Art 798</v>
      </c>
      <c r="W690" t="s">
        <v>76</v>
      </c>
      <c r="X690" t="str">
        <f t="shared" si="158"/>
        <v>Second Class</v>
      </c>
      <c r="Y690">
        <v>1</v>
      </c>
      <c r="Z690">
        <v>6</v>
      </c>
      <c r="AA690">
        <v>3037.66</v>
      </c>
      <c r="AB690">
        <v>0.15</v>
      </c>
      <c r="AC690">
        <f t="shared" si="159"/>
        <v>0.15</v>
      </c>
      <c r="AD690">
        <v>15492.07</v>
      </c>
      <c r="AE690">
        <f t="shared" si="160"/>
        <v>15492.066</v>
      </c>
      <c r="AF690">
        <v>12581.23</v>
      </c>
      <c r="AG690">
        <v>2910.84</v>
      </c>
      <c r="AH690">
        <f t="shared" si="161"/>
        <v>2910.836</v>
      </c>
      <c r="AI690">
        <f t="shared" si="162"/>
        <v>0.187892047451902</v>
      </c>
      <c r="AJ690" t="s">
        <v>77</v>
      </c>
      <c r="AK690" t="str">
        <f t="shared" si="163"/>
        <v>Paid</v>
      </c>
      <c r="AL690" t="s">
        <v>78</v>
      </c>
      <c r="AM690" t="str">
        <f t="shared" si="164"/>
        <v>Completed</v>
      </c>
      <c r="AN690">
        <v>2</v>
      </c>
      <c r="AO690">
        <v>2025</v>
      </c>
      <c r="AP690" t="s">
        <v>79</v>
      </c>
    </row>
    <row r="691" spans="1:42">
      <c r="A691" t="s">
        <v>3297</v>
      </c>
      <c r="B691" s="3" t="s">
        <v>3298</v>
      </c>
      <c r="C691" s="3">
        <v>45570</v>
      </c>
      <c r="D691" t="s">
        <v>3299</v>
      </c>
      <c r="E691" s="3">
        <v>45571</v>
      </c>
      <c r="F691" t="s">
        <v>3300</v>
      </c>
      <c r="G691" t="s">
        <v>220</v>
      </c>
      <c r="H691" t="str">
        <f t="shared" si="150"/>
        <v>Rohan Mehta</v>
      </c>
      <c r="I691" t="s">
        <v>85</v>
      </c>
      <c r="J691" t="str">
        <f t="shared" si="151"/>
        <v>Small Business</v>
      </c>
      <c r="K691" t="s">
        <v>8</v>
      </c>
      <c r="L691" t="str">
        <f t="shared" si="152"/>
        <v>North</v>
      </c>
      <c r="M691" t="s">
        <v>194</v>
      </c>
      <c r="N691" t="str">
        <f t="shared" si="153"/>
        <v>Punjab</v>
      </c>
      <c r="O691" t="s">
        <v>195</v>
      </c>
      <c r="P691" t="str">
        <f t="shared" si="154"/>
        <v>Ludhiana</v>
      </c>
      <c r="Q691" t="s">
        <v>19</v>
      </c>
      <c r="R691" t="str">
        <f t="shared" si="155"/>
        <v>Furniture</v>
      </c>
      <c r="S691" t="s">
        <v>88</v>
      </c>
      <c r="T691" t="str">
        <f t="shared" si="156"/>
        <v>Tables</v>
      </c>
      <c r="U691" t="s">
        <v>3301</v>
      </c>
      <c r="V691" t="str">
        <f t="shared" si="157"/>
        <v>Elite Tables 717</v>
      </c>
      <c r="W691" t="s">
        <v>108</v>
      </c>
      <c r="X691" t="str">
        <f t="shared" si="158"/>
        <v>Standard Class</v>
      </c>
      <c r="Y691">
        <v>1</v>
      </c>
      <c r="Z691">
        <v>9</v>
      </c>
      <c r="AA691">
        <v>489.58</v>
      </c>
      <c r="AB691">
        <v>0.15</v>
      </c>
      <c r="AC691">
        <f t="shared" si="159"/>
        <v>0.15</v>
      </c>
      <c r="AD691">
        <v>3745.29</v>
      </c>
      <c r="AE691">
        <f t="shared" si="160"/>
        <v>3745.287</v>
      </c>
      <c r="AF691">
        <v>2302.65</v>
      </c>
      <c r="AG691">
        <v>1442.64</v>
      </c>
      <c r="AH691">
        <f t="shared" si="161"/>
        <v>1442.637</v>
      </c>
      <c r="AI691">
        <f t="shared" si="162"/>
        <v>0.385187303402917</v>
      </c>
      <c r="AJ691" t="s">
        <v>241</v>
      </c>
      <c r="AK691" t="str">
        <f t="shared" si="163"/>
        <v>Failed</v>
      </c>
      <c r="AL691" t="s">
        <v>118</v>
      </c>
      <c r="AM691" t="str">
        <f t="shared" si="164"/>
        <v>Cancelled</v>
      </c>
      <c r="AN691">
        <v>10</v>
      </c>
      <c r="AO691">
        <v>2024</v>
      </c>
      <c r="AP691" t="s">
        <v>79</v>
      </c>
    </row>
    <row r="692" spans="1:42">
      <c r="A692" t="s">
        <v>3302</v>
      </c>
      <c r="B692" s="3" t="s">
        <v>927</v>
      </c>
      <c r="C692" s="3">
        <v>45546</v>
      </c>
      <c r="D692" t="s">
        <v>3303</v>
      </c>
      <c r="E692" s="3">
        <v>45550</v>
      </c>
      <c r="F692" t="s">
        <v>3304</v>
      </c>
      <c r="G692" t="s">
        <v>208</v>
      </c>
      <c r="H692" t="str">
        <f t="shared" si="150"/>
        <v>Sneha Kapoor</v>
      </c>
      <c r="I692" t="s">
        <v>147</v>
      </c>
      <c r="J692" t="str">
        <f t="shared" si="151"/>
        <v>Corporate</v>
      </c>
      <c r="K692" t="s">
        <v>10</v>
      </c>
      <c r="L692" t="str">
        <f t="shared" si="152"/>
        <v>South</v>
      </c>
      <c r="M692" t="s">
        <v>382</v>
      </c>
      <c r="N692" t="str">
        <f t="shared" si="153"/>
        <v>Tamil Nadu</v>
      </c>
      <c r="O692" t="s">
        <v>383</v>
      </c>
      <c r="P692" t="str">
        <f t="shared" si="154"/>
        <v>Chennai</v>
      </c>
      <c r="Q692" t="s">
        <v>22</v>
      </c>
      <c r="R692" t="str">
        <f t="shared" si="155"/>
        <v>Office Supplies</v>
      </c>
      <c r="S692" t="s">
        <v>96</v>
      </c>
      <c r="T692" t="str">
        <f t="shared" si="156"/>
        <v>Art</v>
      </c>
      <c r="U692" t="s">
        <v>3305</v>
      </c>
      <c r="V692" t="str">
        <f t="shared" si="157"/>
        <v>Max Art 725</v>
      </c>
      <c r="W692" t="s">
        <v>108</v>
      </c>
      <c r="X692" t="str">
        <f t="shared" si="158"/>
        <v>Standard Class</v>
      </c>
      <c r="Y692">
        <v>4</v>
      </c>
      <c r="Z692">
        <v>4</v>
      </c>
      <c r="AA692">
        <v>865.63</v>
      </c>
      <c r="AB692">
        <v>0</v>
      </c>
      <c r="AC692">
        <f t="shared" si="159"/>
        <v>0</v>
      </c>
      <c r="AD692">
        <v>3462.52</v>
      </c>
      <c r="AE692">
        <f t="shared" si="160"/>
        <v>3462.52</v>
      </c>
      <c r="AF692">
        <v>2797.29</v>
      </c>
      <c r="AG692">
        <v>665.23</v>
      </c>
      <c r="AH692">
        <f t="shared" si="161"/>
        <v>665.23</v>
      </c>
      <c r="AI692">
        <f t="shared" si="162"/>
        <v>0.192123077989441</v>
      </c>
      <c r="AJ692" t="s">
        <v>241</v>
      </c>
      <c r="AK692" t="str">
        <f t="shared" si="163"/>
        <v>Failed</v>
      </c>
      <c r="AL692" t="s">
        <v>164</v>
      </c>
      <c r="AM692" t="str">
        <f t="shared" si="164"/>
        <v>Returned</v>
      </c>
      <c r="AN692">
        <v>9</v>
      </c>
      <c r="AO692">
        <v>2024</v>
      </c>
      <c r="AP692" t="s">
        <v>79</v>
      </c>
    </row>
    <row r="693" spans="1:42">
      <c r="A693" t="s">
        <v>3306</v>
      </c>
      <c r="B693" s="3" t="s">
        <v>2517</v>
      </c>
      <c r="C693" s="3">
        <v>45641</v>
      </c>
      <c r="D693" t="s">
        <v>3307</v>
      </c>
      <c r="E693" s="3">
        <v>45642</v>
      </c>
      <c r="F693" t="s">
        <v>3308</v>
      </c>
      <c r="G693" t="s">
        <v>220</v>
      </c>
      <c r="H693" t="str">
        <f t="shared" si="150"/>
        <v>Rohan Mehta</v>
      </c>
      <c r="I693" t="s">
        <v>71</v>
      </c>
      <c r="J693" t="str">
        <f t="shared" si="151"/>
        <v>Consumer</v>
      </c>
      <c r="K693" t="s">
        <v>7</v>
      </c>
      <c r="L693" t="str">
        <f t="shared" si="152"/>
        <v>East</v>
      </c>
      <c r="M693" t="s">
        <v>86</v>
      </c>
      <c r="N693" t="str">
        <f t="shared" si="153"/>
        <v>Odisha</v>
      </c>
      <c r="O693" t="s">
        <v>87</v>
      </c>
      <c r="P693" t="str">
        <f t="shared" si="154"/>
        <v>Bhubaneswar</v>
      </c>
      <c r="Q693" t="s">
        <v>24</v>
      </c>
      <c r="R693" t="str">
        <f t="shared" si="155"/>
        <v>Technology</v>
      </c>
      <c r="S693" t="s">
        <v>133</v>
      </c>
      <c r="T693" t="str">
        <f t="shared" si="156"/>
        <v>Copiers</v>
      </c>
      <c r="U693" t="s">
        <v>3309</v>
      </c>
      <c r="V693" t="str">
        <f t="shared" si="157"/>
        <v>Smart Copiers 456</v>
      </c>
      <c r="W693" t="s">
        <v>76</v>
      </c>
      <c r="X693" t="str">
        <f t="shared" si="158"/>
        <v>Second Class</v>
      </c>
      <c r="Y693">
        <v>1</v>
      </c>
      <c r="Z693">
        <v>6</v>
      </c>
      <c r="AA693">
        <v>1538.1</v>
      </c>
      <c r="AB693">
        <v>0.05</v>
      </c>
      <c r="AC693">
        <f t="shared" si="159"/>
        <v>0.05</v>
      </c>
      <c r="AD693">
        <v>8767.17</v>
      </c>
      <c r="AE693">
        <f t="shared" si="160"/>
        <v>8767.17</v>
      </c>
      <c r="AF693">
        <v>5098.2</v>
      </c>
      <c r="AG693">
        <v>3668.97</v>
      </c>
      <c r="AH693">
        <f t="shared" si="161"/>
        <v>3668.97</v>
      </c>
      <c r="AI693">
        <f t="shared" si="162"/>
        <v>0.418489660859776</v>
      </c>
      <c r="AJ693" t="s">
        <v>77</v>
      </c>
      <c r="AK693" t="str">
        <f t="shared" si="163"/>
        <v>Paid</v>
      </c>
      <c r="AL693" t="s">
        <v>78</v>
      </c>
      <c r="AM693" t="str">
        <f t="shared" si="164"/>
        <v>Completed</v>
      </c>
      <c r="AN693">
        <v>12</v>
      </c>
      <c r="AO693">
        <v>2024</v>
      </c>
      <c r="AP693" t="s">
        <v>79</v>
      </c>
    </row>
    <row r="694" spans="1:42">
      <c r="A694" t="s">
        <v>3310</v>
      </c>
      <c r="B694" s="3" t="s">
        <v>270</v>
      </c>
      <c r="C694" s="3">
        <v>45935</v>
      </c>
      <c r="D694" t="s">
        <v>3311</v>
      </c>
      <c r="E694" s="3">
        <v>45940</v>
      </c>
      <c r="F694" t="s">
        <v>3312</v>
      </c>
      <c r="G694" t="s">
        <v>95</v>
      </c>
      <c r="H694" t="str">
        <f t="shared" si="150"/>
        <v>Isha Nair</v>
      </c>
      <c r="I694" t="s">
        <v>1835</v>
      </c>
      <c r="J694" t="str">
        <f t="shared" si="151"/>
        <v>Corporate</v>
      </c>
      <c r="K694" t="s">
        <v>10</v>
      </c>
      <c r="L694" t="str">
        <f t="shared" si="152"/>
        <v>South</v>
      </c>
      <c r="M694" t="s">
        <v>272</v>
      </c>
      <c r="N694" t="str">
        <f t="shared" si="153"/>
        <v>Karnataka</v>
      </c>
      <c r="O694" t="s">
        <v>273</v>
      </c>
      <c r="P694" t="str">
        <f t="shared" si="154"/>
        <v>Bengaluru</v>
      </c>
      <c r="Q694" t="s">
        <v>19</v>
      </c>
      <c r="R694" t="str">
        <f t="shared" si="155"/>
        <v>Furniture</v>
      </c>
      <c r="S694" t="s">
        <v>106</v>
      </c>
      <c r="T694" t="str">
        <f t="shared" si="156"/>
        <v>Furnishings</v>
      </c>
      <c r="U694" t="s">
        <v>3313</v>
      </c>
      <c r="V694" t="str">
        <f t="shared" si="157"/>
        <v>Prime Furnishings 883</v>
      </c>
      <c r="W694" t="s">
        <v>76</v>
      </c>
      <c r="X694" t="str">
        <f t="shared" si="158"/>
        <v>Second Class</v>
      </c>
      <c r="Y694">
        <v>5</v>
      </c>
      <c r="Z694">
        <v>4</v>
      </c>
      <c r="AA694">
        <v>2365.68</v>
      </c>
      <c r="AB694">
        <v>0.1</v>
      </c>
      <c r="AC694">
        <f t="shared" si="159"/>
        <v>0.1</v>
      </c>
      <c r="AD694">
        <v>8516.45</v>
      </c>
      <c r="AE694">
        <f t="shared" si="160"/>
        <v>8516.448</v>
      </c>
      <c r="AF694">
        <v>5903.81</v>
      </c>
      <c r="AG694">
        <v>2612.64</v>
      </c>
      <c r="AH694">
        <f t="shared" si="161"/>
        <v>2612.638</v>
      </c>
      <c r="AI694">
        <f t="shared" si="162"/>
        <v>0.306775547740091</v>
      </c>
      <c r="AJ694" t="s">
        <v>77</v>
      </c>
      <c r="AK694" t="str">
        <f t="shared" si="163"/>
        <v>Paid</v>
      </c>
      <c r="AL694" t="s">
        <v>78</v>
      </c>
      <c r="AM694" t="str">
        <f t="shared" si="164"/>
        <v>Completed</v>
      </c>
      <c r="AN694">
        <v>10</v>
      </c>
      <c r="AO694">
        <v>2025</v>
      </c>
      <c r="AP694" t="s">
        <v>79</v>
      </c>
    </row>
    <row r="695" spans="1:42">
      <c r="A695" t="s">
        <v>3314</v>
      </c>
      <c r="B695" s="3" t="s">
        <v>3315</v>
      </c>
      <c r="C695" s="3">
        <v>45750</v>
      </c>
      <c r="D695" t="s">
        <v>2555</v>
      </c>
      <c r="E695" s="3">
        <v>45758</v>
      </c>
      <c r="F695" t="s">
        <v>3316</v>
      </c>
      <c r="G695" t="s">
        <v>103</v>
      </c>
      <c r="H695" t="str">
        <f t="shared" si="150"/>
        <v>Arjun Bose</v>
      </c>
      <c r="I695" t="s">
        <v>71</v>
      </c>
      <c r="J695" t="str">
        <f t="shared" si="151"/>
        <v>Consumer</v>
      </c>
      <c r="K695" t="s">
        <v>10</v>
      </c>
      <c r="L695" t="str">
        <f t="shared" si="152"/>
        <v>South</v>
      </c>
      <c r="M695" t="s">
        <v>382</v>
      </c>
      <c r="N695" t="str">
        <f t="shared" si="153"/>
        <v>Tamil Nadu</v>
      </c>
      <c r="O695" t="s">
        <v>383</v>
      </c>
      <c r="P695" t="str">
        <f t="shared" si="154"/>
        <v>Chennai</v>
      </c>
      <c r="Q695" t="s">
        <v>19</v>
      </c>
      <c r="R695" t="str">
        <f t="shared" si="155"/>
        <v>Furniture</v>
      </c>
      <c r="S695" t="s">
        <v>245</v>
      </c>
      <c r="T695" t="str">
        <f t="shared" si="156"/>
        <v>Bookcases</v>
      </c>
      <c r="U695" t="s">
        <v>3317</v>
      </c>
      <c r="V695" t="str">
        <f t="shared" si="157"/>
        <v>Smart Bookcases 828</v>
      </c>
      <c r="W695" t="s">
        <v>76</v>
      </c>
      <c r="X695" t="str">
        <f t="shared" si="158"/>
        <v>Second Class</v>
      </c>
      <c r="Y695">
        <v>8</v>
      </c>
      <c r="Z695">
        <v>3</v>
      </c>
      <c r="AA695">
        <v>4149.77</v>
      </c>
      <c r="AB695">
        <v>0.05</v>
      </c>
      <c r="AC695">
        <f t="shared" si="159"/>
        <v>0.05</v>
      </c>
      <c r="AD695">
        <v>11826.84</v>
      </c>
      <c r="AE695">
        <f t="shared" si="160"/>
        <v>11826.8445</v>
      </c>
      <c r="AF695">
        <v>8035.96</v>
      </c>
      <c r="AG695">
        <v>3790.88</v>
      </c>
      <c r="AH695">
        <f t="shared" si="161"/>
        <v>3790.8845</v>
      </c>
      <c r="AI695">
        <f t="shared" si="162"/>
        <v>0.320532201129388</v>
      </c>
      <c r="AJ695" t="s">
        <v>77</v>
      </c>
      <c r="AK695" t="str">
        <f t="shared" si="163"/>
        <v>Paid</v>
      </c>
      <c r="AL695" t="s">
        <v>78</v>
      </c>
      <c r="AM695" t="str">
        <f t="shared" si="164"/>
        <v>Completed</v>
      </c>
      <c r="AN695">
        <v>4</v>
      </c>
      <c r="AO695">
        <v>2025</v>
      </c>
      <c r="AP695" t="s">
        <v>79</v>
      </c>
    </row>
    <row r="696" spans="1:42">
      <c r="A696" t="s">
        <v>3318</v>
      </c>
      <c r="B696" s="3" t="s">
        <v>1784</v>
      </c>
      <c r="C696" s="3">
        <v>45870</v>
      </c>
      <c r="D696" t="s">
        <v>3138</v>
      </c>
      <c r="E696" s="3">
        <v>45878</v>
      </c>
      <c r="F696" t="s">
        <v>1792</v>
      </c>
      <c r="G696" t="s">
        <v>95</v>
      </c>
      <c r="H696" t="str">
        <f t="shared" si="150"/>
        <v>Isha Nair</v>
      </c>
      <c r="I696" t="s">
        <v>71</v>
      </c>
      <c r="J696" t="str">
        <f t="shared" si="151"/>
        <v>Consumer</v>
      </c>
      <c r="K696" t="s">
        <v>10</v>
      </c>
      <c r="L696" t="str">
        <f t="shared" si="152"/>
        <v>South</v>
      </c>
      <c r="M696" t="s">
        <v>139</v>
      </c>
      <c r="N696" t="str">
        <f t="shared" si="153"/>
        <v>Andhra Pradesh</v>
      </c>
      <c r="O696" t="s">
        <v>140</v>
      </c>
      <c r="P696" t="str">
        <f t="shared" si="154"/>
        <v>Vijayawada</v>
      </c>
      <c r="Q696" t="s">
        <v>22</v>
      </c>
      <c r="R696" t="str">
        <f t="shared" si="155"/>
        <v>Office Supplies</v>
      </c>
      <c r="S696" t="s">
        <v>196</v>
      </c>
      <c r="T696" t="str">
        <f t="shared" si="156"/>
        <v>Storage</v>
      </c>
      <c r="U696" t="s">
        <v>3319</v>
      </c>
      <c r="V696" t="str">
        <f t="shared" si="157"/>
        <v>Classic Storage 291</v>
      </c>
      <c r="W696" t="s">
        <v>98</v>
      </c>
      <c r="X696" t="str">
        <f t="shared" si="158"/>
        <v>First Class</v>
      </c>
      <c r="Y696">
        <v>8</v>
      </c>
      <c r="Z696">
        <v>5</v>
      </c>
      <c r="AA696">
        <v>2736.24</v>
      </c>
      <c r="AB696">
        <v>0.15</v>
      </c>
      <c r="AC696">
        <f t="shared" si="159"/>
        <v>0.15</v>
      </c>
      <c r="AD696">
        <v>11629.02</v>
      </c>
      <c r="AE696">
        <f t="shared" si="160"/>
        <v>11629.02</v>
      </c>
      <c r="AF696">
        <v>9627.21</v>
      </c>
      <c r="AG696">
        <v>2001.81</v>
      </c>
      <c r="AH696">
        <f t="shared" si="161"/>
        <v>2001.81</v>
      </c>
      <c r="AI696">
        <f t="shared" si="162"/>
        <v>0.172139182837419</v>
      </c>
      <c r="AJ696" t="s">
        <v>77</v>
      </c>
      <c r="AK696" t="str">
        <f t="shared" si="163"/>
        <v>Paid</v>
      </c>
      <c r="AL696" t="s">
        <v>78</v>
      </c>
      <c r="AM696" t="str">
        <f t="shared" si="164"/>
        <v>Completed</v>
      </c>
      <c r="AN696">
        <v>8</v>
      </c>
      <c r="AO696">
        <v>2025</v>
      </c>
      <c r="AP696" t="s">
        <v>79</v>
      </c>
    </row>
    <row r="697" spans="1:42">
      <c r="A697" t="s">
        <v>3320</v>
      </c>
      <c r="B697" s="3" t="s">
        <v>3321</v>
      </c>
      <c r="C697" s="3">
        <v>45474</v>
      </c>
      <c r="D697" t="s">
        <v>2160</v>
      </c>
      <c r="E697" s="3">
        <v>45474</v>
      </c>
      <c r="F697" t="s">
        <v>3322</v>
      </c>
      <c r="G697" t="s">
        <v>202</v>
      </c>
      <c r="H697" t="str">
        <f t="shared" si="150"/>
        <v>Aarav Sharma</v>
      </c>
      <c r="I697" t="s">
        <v>71</v>
      </c>
      <c r="J697" t="str">
        <f t="shared" si="151"/>
        <v>Consumer</v>
      </c>
      <c r="K697" t="s">
        <v>11</v>
      </c>
      <c r="L697" t="str">
        <f t="shared" si="152"/>
        <v>West</v>
      </c>
      <c r="M697" t="s">
        <v>124</v>
      </c>
      <c r="N697" t="str">
        <f t="shared" si="153"/>
        <v>Madhya Pradesh</v>
      </c>
      <c r="O697" t="s">
        <v>125</v>
      </c>
      <c r="P697" t="str">
        <f t="shared" si="154"/>
        <v>Indore</v>
      </c>
      <c r="Q697" t="s">
        <v>24</v>
      </c>
      <c r="R697" t="str">
        <f t="shared" si="155"/>
        <v>Technology</v>
      </c>
      <c r="S697" t="s">
        <v>3323</v>
      </c>
      <c r="T697" t="str">
        <f t="shared" si="156"/>
        <v>Machines</v>
      </c>
      <c r="U697" t="s">
        <v>3324</v>
      </c>
      <c r="V697" t="str">
        <f t="shared" si="157"/>
        <v>Prime Machines 102</v>
      </c>
      <c r="W697" t="s">
        <v>108</v>
      </c>
      <c r="X697" t="str">
        <f t="shared" si="158"/>
        <v>Standard Class</v>
      </c>
      <c r="Y697">
        <v>0</v>
      </c>
      <c r="Z697">
        <v>4</v>
      </c>
      <c r="AA697">
        <v>257.39</v>
      </c>
      <c r="AB697">
        <v>0</v>
      </c>
      <c r="AC697">
        <f t="shared" si="159"/>
        <v>0</v>
      </c>
      <c r="AD697">
        <v>1029.56</v>
      </c>
      <c r="AE697">
        <f t="shared" si="160"/>
        <v>1029.56</v>
      </c>
      <c r="AF697">
        <v>626.33</v>
      </c>
      <c r="AG697">
        <v>403.23</v>
      </c>
      <c r="AH697">
        <f t="shared" si="161"/>
        <v>403.23</v>
      </c>
      <c r="AI697">
        <f t="shared" si="162"/>
        <v>0.391652744861883</v>
      </c>
      <c r="AJ697" t="s">
        <v>77</v>
      </c>
      <c r="AK697" t="str">
        <f t="shared" si="163"/>
        <v>Paid</v>
      </c>
      <c r="AL697" t="s">
        <v>78</v>
      </c>
      <c r="AM697" t="str">
        <f t="shared" si="164"/>
        <v>Completed</v>
      </c>
      <c r="AN697">
        <v>7</v>
      </c>
      <c r="AO697">
        <v>2024</v>
      </c>
      <c r="AP697" t="s">
        <v>79</v>
      </c>
    </row>
    <row r="698" spans="1:42">
      <c r="A698" t="s">
        <v>3325</v>
      </c>
      <c r="B698" s="3" t="s">
        <v>3326</v>
      </c>
      <c r="C698" s="3">
        <v>45922</v>
      </c>
      <c r="D698" t="s">
        <v>3327</v>
      </c>
      <c r="E698" s="3">
        <v>45925</v>
      </c>
      <c r="F698" t="s">
        <v>3328</v>
      </c>
      <c r="G698" t="s">
        <v>95</v>
      </c>
      <c r="H698" t="str">
        <f t="shared" si="150"/>
        <v>Isha Nair</v>
      </c>
      <c r="I698" t="s">
        <v>85</v>
      </c>
      <c r="J698" t="str">
        <f t="shared" si="151"/>
        <v>Small Business</v>
      </c>
      <c r="K698" t="s">
        <v>10</v>
      </c>
      <c r="L698" t="str">
        <f t="shared" si="152"/>
        <v>South</v>
      </c>
      <c r="M698" t="s">
        <v>285</v>
      </c>
      <c r="N698" t="str">
        <f t="shared" si="153"/>
        <v>Kerala</v>
      </c>
      <c r="O698" t="s">
        <v>286</v>
      </c>
      <c r="P698" t="str">
        <f t="shared" si="154"/>
        <v>Kochi</v>
      </c>
      <c r="Q698" t="s">
        <v>24</v>
      </c>
      <c r="R698" t="str">
        <f t="shared" si="155"/>
        <v>Technology</v>
      </c>
      <c r="S698" t="s">
        <v>265</v>
      </c>
      <c r="T698" t="str">
        <f t="shared" si="156"/>
        <v>Phones</v>
      </c>
      <c r="U698" t="s">
        <v>3329</v>
      </c>
      <c r="V698" t="str">
        <f t="shared" si="157"/>
        <v>Classic Phones 842</v>
      </c>
      <c r="X698" t="str">
        <f t="shared" si="158"/>
        <v/>
      </c>
      <c r="Y698">
        <v>3</v>
      </c>
      <c r="Z698">
        <v>4</v>
      </c>
      <c r="AA698">
        <v>1178.84</v>
      </c>
      <c r="AB698">
        <v>0.25</v>
      </c>
      <c r="AC698">
        <f t="shared" si="159"/>
        <v>0.25</v>
      </c>
      <c r="AD698">
        <v>3536.52</v>
      </c>
      <c r="AE698">
        <f t="shared" si="160"/>
        <v>3536.52</v>
      </c>
      <c r="AF698">
        <v>2102.41</v>
      </c>
      <c r="AG698">
        <v>1363.28</v>
      </c>
      <c r="AH698">
        <f t="shared" si="161"/>
        <v>1434.11</v>
      </c>
      <c r="AI698">
        <f t="shared" si="162"/>
        <v>0.405514460543133</v>
      </c>
      <c r="AJ698" t="s">
        <v>77</v>
      </c>
      <c r="AK698" t="str">
        <f t="shared" si="163"/>
        <v>Paid</v>
      </c>
      <c r="AL698" t="s">
        <v>78</v>
      </c>
      <c r="AM698" t="str">
        <f t="shared" si="164"/>
        <v>Completed</v>
      </c>
      <c r="AN698">
        <v>9</v>
      </c>
      <c r="AO698">
        <v>2025</v>
      </c>
      <c r="AP698" t="s">
        <v>79</v>
      </c>
    </row>
    <row r="699" spans="1:42">
      <c r="A699" t="s">
        <v>3330</v>
      </c>
      <c r="B699" s="3" t="s">
        <v>2379</v>
      </c>
      <c r="C699" s="3">
        <v>45717</v>
      </c>
      <c r="D699" t="s">
        <v>837</v>
      </c>
      <c r="E699" s="3">
        <v>45723</v>
      </c>
      <c r="F699" t="s">
        <v>3331</v>
      </c>
      <c r="G699" t="s">
        <v>103</v>
      </c>
      <c r="H699" t="str">
        <f t="shared" si="150"/>
        <v>Arjun Bose</v>
      </c>
      <c r="I699" t="s">
        <v>147</v>
      </c>
      <c r="J699" t="str">
        <f t="shared" si="151"/>
        <v>Corporate</v>
      </c>
      <c r="K699" t="s">
        <v>10</v>
      </c>
      <c r="L699" t="str">
        <f t="shared" si="152"/>
        <v>South</v>
      </c>
      <c r="M699" t="s">
        <v>139</v>
      </c>
      <c r="N699" t="str">
        <f t="shared" si="153"/>
        <v>Andhra Pradesh</v>
      </c>
      <c r="O699" t="s">
        <v>140</v>
      </c>
      <c r="P699" t="str">
        <f t="shared" si="154"/>
        <v>Vijayawada</v>
      </c>
      <c r="Q699" t="s">
        <v>22</v>
      </c>
      <c r="R699" t="str">
        <f t="shared" si="155"/>
        <v>Office Supplies</v>
      </c>
      <c r="S699" t="s">
        <v>148</v>
      </c>
      <c r="T699" t="str">
        <f t="shared" si="156"/>
        <v>Labels</v>
      </c>
      <c r="U699" t="s">
        <v>3332</v>
      </c>
      <c r="V699" t="str">
        <f t="shared" si="157"/>
        <v>Max Labels 970</v>
      </c>
      <c r="W699" t="s">
        <v>98</v>
      </c>
      <c r="X699" t="str">
        <f t="shared" si="158"/>
        <v>First Class</v>
      </c>
      <c r="Y699">
        <v>6</v>
      </c>
      <c r="Z699">
        <v>7</v>
      </c>
      <c r="AA699">
        <v>567.15</v>
      </c>
      <c r="AC699">
        <f t="shared" si="159"/>
        <v>0</v>
      </c>
      <c r="AD699">
        <v>2977.54</v>
      </c>
      <c r="AE699">
        <f t="shared" si="160"/>
        <v>3970.05</v>
      </c>
      <c r="AF699">
        <v>1849.3</v>
      </c>
      <c r="AG699">
        <v>1128.24</v>
      </c>
      <c r="AH699">
        <f t="shared" si="161"/>
        <v>2120.75</v>
      </c>
      <c r="AI699">
        <f t="shared" si="162"/>
        <v>0.534187226861123</v>
      </c>
      <c r="AJ699" t="s">
        <v>163</v>
      </c>
      <c r="AK699" t="str">
        <f t="shared" si="163"/>
        <v>Refunded</v>
      </c>
      <c r="AL699" t="s">
        <v>164</v>
      </c>
      <c r="AM699" t="str">
        <f t="shared" si="164"/>
        <v>Returned</v>
      </c>
      <c r="AN699">
        <v>3</v>
      </c>
      <c r="AO699">
        <v>2025</v>
      </c>
      <c r="AP699" t="s">
        <v>222</v>
      </c>
    </row>
    <row r="700" spans="1:42">
      <c r="A700" t="s">
        <v>3333</v>
      </c>
      <c r="B700" s="3" t="s">
        <v>3334</v>
      </c>
      <c r="C700" s="3">
        <v>45549</v>
      </c>
      <c r="D700" t="s">
        <v>1795</v>
      </c>
      <c r="E700" s="3">
        <v>45549</v>
      </c>
      <c r="F700" t="s">
        <v>3335</v>
      </c>
      <c r="G700" t="s">
        <v>84</v>
      </c>
      <c r="H700" t="str">
        <f t="shared" si="150"/>
        <v>Mira Das</v>
      </c>
      <c r="I700" t="s">
        <v>147</v>
      </c>
      <c r="J700" t="str">
        <f t="shared" si="151"/>
        <v>Corporate</v>
      </c>
      <c r="K700" t="s">
        <v>8</v>
      </c>
      <c r="L700" t="str">
        <f t="shared" si="152"/>
        <v>North</v>
      </c>
      <c r="M700" t="s">
        <v>72</v>
      </c>
      <c r="N700" t="str">
        <f t="shared" si="153"/>
        <v>Rajasthan</v>
      </c>
      <c r="O700" t="s">
        <v>73</v>
      </c>
      <c r="P700" t="str">
        <f t="shared" si="154"/>
        <v>Jaipur</v>
      </c>
      <c r="Q700" t="s">
        <v>24</v>
      </c>
      <c r="R700" t="str">
        <f t="shared" si="155"/>
        <v>Technology</v>
      </c>
      <c r="S700" t="s">
        <v>427</v>
      </c>
      <c r="T700" t="str">
        <f t="shared" si="156"/>
        <v>Machines</v>
      </c>
      <c r="U700" t="s">
        <v>3336</v>
      </c>
      <c r="V700" t="str">
        <f t="shared" si="157"/>
        <v>Classic Machines 648</v>
      </c>
      <c r="W700" t="s">
        <v>108</v>
      </c>
      <c r="X700" t="str">
        <f t="shared" si="158"/>
        <v>Standard Class</v>
      </c>
      <c r="Y700">
        <v>0</v>
      </c>
      <c r="Z700">
        <v>8</v>
      </c>
      <c r="AA700">
        <v>4081.66</v>
      </c>
      <c r="AB700">
        <v>0.15</v>
      </c>
      <c r="AC700">
        <f t="shared" si="159"/>
        <v>0.15</v>
      </c>
      <c r="AD700">
        <v>28208.1</v>
      </c>
      <c r="AE700">
        <f t="shared" si="160"/>
        <v>27755.288</v>
      </c>
      <c r="AF700">
        <v>23751.91</v>
      </c>
      <c r="AG700">
        <v>4003.38</v>
      </c>
      <c r="AH700">
        <f t="shared" si="161"/>
        <v>4003.378</v>
      </c>
      <c r="AI700">
        <f t="shared" si="162"/>
        <v>0.144238388014565</v>
      </c>
      <c r="AJ700" t="s">
        <v>77</v>
      </c>
      <c r="AK700" t="str">
        <f t="shared" si="163"/>
        <v>Paid</v>
      </c>
      <c r="AL700" t="s">
        <v>164</v>
      </c>
      <c r="AM700" t="str">
        <f t="shared" si="164"/>
        <v>Returned</v>
      </c>
      <c r="AN700">
        <v>9</v>
      </c>
      <c r="AO700">
        <v>2024</v>
      </c>
      <c r="AP700" t="s">
        <v>79</v>
      </c>
    </row>
    <row r="701" spans="1:42">
      <c r="A701" t="s">
        <v>3337</v>
      </c>
      <c r="B701" s="3" t="s">
        <v>3338</v>
      </c>
      <c r="C701" s="3">
        <v>45454</v>
      </c>
      <c r="D701" t="s">
        <v>3339</v>
      </c>
      <c r="E701" s="3">
        <v>45454</v>
      </c>
      <c r="F701" t="s">
        <v>3340</v>
      </c>
      <c r="G701" t="s">
        <v>103</v>
      </c>
      <c r="H701" t="str">
        <f t="shared" si="150"/>
        <v>Arjun Bose</v>
      </c>
      <c r="I701" t="s">
        <v>85</v>
      </c>
      <c r="J701" t="str">
        <f t="shared" si="151"/>
        <v>Small Business</v>
      </c>
      <c r="K701" t="s">
        <v>10</v>
      </c>
      <c r="L701" t="str">
        <f t="shared" si="152"/>
        <v>South</v>
      </c>
      <c r="M701" t="s">
        <v>272</v>
      </c>
      <c r="N701" t="str">
        <f t="shared" si="153"/>
        <v>Karnataka</v>
      </c>
      <c r="O701" t="s">
        <v>273</v>
      </c>
      <c r="P701" t="str">
        <f t="shared" si="154"/>
        <v>Bengaluru</v>
      </c>
      <c r="Q701" t="s">
        <v>19</v>
      </c>
      <c r="R701" t="str">
        <f t="shared" si="155"/>
        <v>Furniture</v>
      </c>
      <c r="S701" t="s">
        <v>245</v>
      </c>
      <c r="T701" t="str">
        <f t="shared" si="156"/>
        <v>Bookcases</v>
      </c>
      <c r="U701" t="s">
        <v>3341</v>
      </c>
      <c r="V701" t="str">
        <f t="shared" si="157"/>
        <v>Max Bookcases 565</v>
      </c>
      <c r="W701" t="s">
        <v>108</v>
      </c>
      <c r="X701" t="str">
        <f t="shared" si="158"/>
        <v>Standard Class</v>
      </c>
      <c r="Y701">
        <v>0</v>
      </c>
      <c r="Z701">
        <v>9</v>
      </c>
      <c r="AA701">
        <v>1400.11</v>
      </c>
      <c r="AB701">
        <v>0.25</v>
      </c>
      <c r="AC701">
        <f t="shared" si="159"/>
        <v>0.25</v>
      </c>
      <c r="AD701">
        <v>9450.74</v>
      </c>
      <c r="AE701">
        <f t="shared" si="160"/>
        <v>9450.7425</v>
      </c>
      <c r="AF701">
        <v>7798.56</v>
      </c>
      <c r="AG701">
        <v>1652.18</v>
      </c>
      <c r="AH701">
        <f t="shared" si="161"/>
        <v>1652.1825</v>
      </c>
      <c r="AI701">
        <f t="shared" si="162"/>
        <v>0.174820391096255</v>
      </c>
      <c r="AJ701" t="s">
        <v>77</v>
      </c>
      <c r="AK701" t="str">
        <f t="shared" si="163"/>
        <v>Paid</v>
      </c>
      <c r="AL701" t="s">
        <v>78</v>
      </c>
      <c r="AM701" t="str">
        <f t="shared" si="164"/>
        <v>Completed</v>
      </c>
      <c r="AN701">
        <v>6</v>
      </c>
      <c r="AO701">
        <v>2024</v>
      </c>
      <c r="AP701" t="s">
        <v>79</v>
      </c>
    </row>
    <row r="702" spans="1:42">
      <c r="A702" t="s">
        <v>3342</v>
      </c>
      <c r="B702" s="3" t="s">
        <v>3343</v>
      </c>
      <c r="C702" s="3">
        <v>45553</v>
      </c>
      <c r="D702" t="s">
        <v>1185</v>
      </c>
      <c r="E702" s="3">
        <v>45556</v>
      </c>
      <c r="F702" t="s">
        <v>3344</v>
      </c>
      <c r="G702" t="s">
        <v>132</v>
      </c>
      <c r="H702" t="str">
        <f t="shared" si="150"/>
        <v>Neha Gupta</v>
      </c>
      <c r="I702" t="s">
        <v>147</v>
      </c>
      <c r="J702" t="str">
        <f t="shared" si="151"/>
        <v>Corporate</v>
      </c>
      <c r="K702" t="s">
        <v>7</v>
      </c>
      <c r="L702" t="str">
        <f t="shared" si="152"/>
        <v>East</v>
      </c>
      <c r="M702" t="s">
        <v>160</v>
      </c>
      <c r="N702" t="str">
        <f t="shared" si="153"/>
        <v>West Bengal</v>
      </c>
      <c r="O702" t="s">
        <v>161</v>
      </c>
      <c r="P702" t="str">
        <f t="shared" si="154"/>
        <v>Kolkata</v>
      </c>
      <c r="Q702" t="s">
        <v>24</v>
      </c>
      <c r="R702" t="str">
        <f t="shared" si="155"/>
        <v>Technology</v>
      </c>
      <c r="S702" t="s">
        <v>427</v>
      </c>
      <c r="T702" t="str">
        <f t="shared" si="156"/>
        <v>Machines</v>
      </c>
      <c r="U702" t="s">
        <v>3345</v>
      </c>
      <c r="V702" t="str">
        <f t="shared" si="157"/>
        <v>Basic Machines 220</v>
      </c>
      <c r="W702" t="s">
        <v>108</v>
      </c>
      <c r="X702" t="str">
        <f t="shared" si="158"/>
        <v>Standard Class</v>
      </c>
      <c r="Y702">
        <v>3</v>
      </c>
      <c r="Z702">
        <v>3</v>
      </c>
      <c r="AA702">
        <v>3055.9</v>
      </c>
      <c r="AB702">
        <v>0.15</v>
      </c>
      <c r="AC702">
        <f t="shared" si="159"/>
        <v>0.15</v>
      </c>
      <c r="AD702">
        <v>7792.55</v>
      </c>
      <c r="AE702">
        <f t="shared" si="160"/>
        <v>7792.545</v>
      </c>
      <c r="AF702">
        <v>4691.73</v>
      </c>
      <c r="AG702">
        <v>3100.82</v>
      </c>
      <c r="AH702">
        <f t="shared" si="161"/>
        <v>3100.815</v>
      </c>
      <c r="AI702">
        <f t="shared" si="162"/>
        <v>0.397920704981492</v>
      </c>
      <c r="AJ702" t="s">
        <v>77</v>
      </c>
      <c r="AK702" t="str">
        <f t="shared" si="163"/>
        <v>Paid</v>
      </c>
      <c r="AL702" t="s">
        <v>78</v>
      </c>
      <c r="AM702" t="str">
        <f t="shared" si="164"/>
        <v>Completed</v>
      </c>
      <c r="AN702">
        <v>9</v>
      </c>
      <c r="AO702">
        <v>2024</v>
      </c>
      <c r="AP702" t="s">
        <v>79</v>
      </c>
    </row>
    <row r="703" spans="1:42">
      <c r="A703" t="s">
        <v>3346</v>
      </c>
      <c r="B703" s="3" t="s">
        <v>1676</v>
      </c>
      <c r="C703" s="3">
        <v>45412</v>
      </c>
      <c r="D703" t="s">
        <v>1345</v>
      </c>
      <c r="E703" s="3">
        <v>45416</v>
      </c>
      <c r="F703" t="s">
        <v>3347</v>
      </c>
      <c r="G703" t="s">
        <v>220</v>
      </c>
      <c r="H703" t="str">
        <f t="shared" si="150"/>
        <v>Rohan Mehta</v>
      </c>
      <c r="I703" t="s">
        <v>85</v>
      </c>
      <c r="J703" t="str">
        <f t="shared" si="151"/>
        <v>Small Business</v>
      </c>
      <c r="K703" t="s">
        <v>11</v>
      </c>
      <c r="L703" t="str">
        <f t="shared" si="152"/>
        <v>West</v>
      </c>
      <c r="M703" t="s">
        <v>278</v>
      </c>
      <c r="N703" t="str">
        <f t="shared" si="153"/>
        <v>Gujarat</v>
      </c>
      <c r="O703" t="s">
        <v>279</v>
      </c>
      <c r="P703" t="str">
        <f t="shared" si="154"/>
        <v>Ahmedabad</v>
      </c>
      <c r="Q703" t="s">
        <v>22</v>
      </c>
      <c r="R703" t="str">
        <f t="shared" si="155"/>
        <v>Office Supplies</v>
      </c>
      <c r="S703" t="s">
        <v>96</v>
      </c>
      <c r="T703" t="str">
        <f t="shared" si="156"/>
        <v>Art</v>
      </c>
      <c r="U703" t="s">
        <v>3348</v>
      </c>
      <c r="V703" t="str">
        <f t="shared" si="157"/>
        <v>Pro Art 151</v>
      </c>
      <c r="W703" t="s">
        <v>90</v>
      </c>
      <c r="X703" t="str">
        <f t="shared" si="158"/>
        <v>Same Day</v>
      </c>
      <c r="Y703">
        <v>4</v>
      </c>
      <c r="Z703">
        <v>7</v>
      </c>
      <c r="AA703">
        <v>1224.94</v>
      </c>
      <c r="AB703">
        <v>0</v>
      </c>
      <c r="AC703">
        <f t="shared" si="159"/>
        <v>0</v>
      </c>
      <c r="AD703">
        <v>8574.58</v>
      </c>
      <c r="AE703">
        <f t="shared" si="160"/>
        <v>8574.58</v>
      </c>
      <c r="AF703">
        <v>6685.81</v>
      </c>
      <c r="AG703">
        <v>1888.77</v>
      </c>
      <c r="AH703">
        <f t="shared" si="161"/>
        <v>1888.77</v>
      </c>
      <c r="AI703">
        <f t="shared" si="162"/>
        <v>0.220275512036741</v>
      </c>
      <c r="AJ703" t="s">
        <v>77</v>
      </c>
      <c r="AK703" t="str">
        <f t="shared" si="163"/>
        <v>Paid</v>
      </c>
      <c r="AL703" t="s">
        <v>164</v>
      </c>
      <c r="AM703" t="str">
        <f t="shared" si="164"/>
        <v>Returned</v>
      </c>
      <c r="AN703">
        <v>4</v>
      </c>
      <c r="AO703">
        <v>2024</v>
      </c>
      <c r="AP703" t="s">
        <v>79</v>
      </c>
    </row>
    <row r="704" spans="1:42">
      <c r="A704" t="s">
        <v>3349</v>
      </c>
      <c r="B704" s="3" t="s">
        <v>3350</v>
      </c>
      <c r="C704" s="3">
        <v>45690</v>
      </c>
      <c r="D704" t="s">
        <v>2943</v>
      </c>
      <c r="E704" s="3">
        <v>45694</v>
      </c>
      <c r="F704" t="s">
        <v>3351</v>
      </c>
      <c r="G704" t="s">
        <v>70</v>
      </c>
      <c r="H704" t="str">
        <f t="shared" si="150"/>
        <v>Karan Malhotra</v>
      </c>
      <c r="I704" t="s">
        <v>85</v>
      </c>
      <c r="J704" t="str">
        <f t="shared" si="151"/>
        <v>Small Business</v>
      </c>
      <c r="K704" t="s">
        <v>11</v>
      </c>
      <c r="L704" t="str">
        <f t="shared" si="152"/>
        <v>West</v>
      </c>
      <c r="M704" t="s">
        <v>72</v>
      </c>
      <c r="N704" t="str">
        <f t="shared" si="153"/>
        <v>Rajasthan</v>
      </c>
      <c r="O704" t="s">
        <v>175</v>
      </c>
      <c r="P704" t="str">
        <f t="shared" si="154"/>
        <v>Udaipur</v>
      </c>
      <c r="Q704" t="s">
        <v>19</v>
      </c>
      <c r="R704" t="str">
        <f t="shared" si="155"/>
        <v>Furniture</v>
      </c>
      <c r="S704" t="s">
        <v>88</v>
      </c>
      <c r="T704" t="str">
        <f t="shared" si="156"/>
        <v>Tables</v>
      </c>
      <c r="U704" t="s">
        <v>3352</v>
      </c>
      <c r="V704" t="str">
        <f t="shared" si="157"/>
        <v>Pro Tables 980</v>
      </c>
      <c r="W704" t="s">
        <v>76</v>
      </c>
      <c r="X704" t="str">
        <f t="shared" si="158"/>
        <v>Second Class</v>
      </c>
      <c r="Y704">
        <v>4</v>
      </c>
      <c r="Z704">
        <v>3</v>
      </c>
      <c r="AA704">
        <v>997.34</v>
      </c>
      <c r="AB704">
        <v>0.1</v>
      </c>
      <c r="AC704">
        <f t="shared" si="159"/>
        <v>0.1</v>
      </c>
      <c r="AD704">
        <v>2692.82</v>
      </c>
      <c r="AE704">
        <f t="shared" si="160"/>
        <v>2692.818</v>
      </c>
      <c r="AF704">
        <v>1820.08</v>
      </c>
      <c r="AG704">
        <v>872.74</v>
      </c>
      <c r="AH704">
        <f t="shared" si="161"/>
        <v>872.738</v>
      </c>
      <c r="AI704">
        <f t="shared" si="162"/>
        <v>0.32409839803507</v>
      </c>
      <c r="AJ704" t="s">
        <v>77</v>
      </c>
      <c r="AK704" t="str">
        <f t="shared" si="163"/>
        <v>Paid</v>
      </c>
      <c r="AL704" t="s">
        <v>78</v>
      </c>
      <c r="AM704" t="str">
        <f t="shared" si="164"/>
        <v>Completed</v>
      </c>
      <c r="AN704">
        <v>2</v>
      </c>
      <c r="AO704">
        <v>2025</v>
      </c>
      <c r="AP704" t="s">
        <v>79</v>
      </c>
    </row>
    <row r="705" spans="1:42">
      <c r="A705" t="s">
        <v>3353</v>
      </c>
      <c r="B705" s="3" t="s">
        <v>3354</v>
      </c>
      <c r="C705" s="3">
        <v>45584</v>
      </c>
      <c r="D705" t="s">
        <v>2436</v>
      </c>
      <c r="E705" s="3">
        <v>45585</v>
      </c>
      <c r="F705" t="s">
        <v>3355</v>
      </c>
      <c r="G705" t="s">
        <v>146</v>
      </c>
      <c r="H705" t="str">
        <f t="shared" si="150"/>
        <v>Aditi Sen</v>
      </c>
      <c r="I705" t="s">
        <v>147</v>
      </c>
      <c r="J705" t="str">
        <f t="shared" si="151"/>
        <v>Corporate</v>
      </c>
      <c r="K705" t="s">
        <v>8</v>
      </c>
      <c r="L705" t="str">
        <f t="shared" si="152"/>
        <v>North</v>
      </c>
      <c r="M705" t="s">
        <v>72</v>
      </c>
      <c r="N705" t="str">
        <f t="shared" si="153"/>
        <v>Rajasthan</v>
      </c>
      <c r="O705" t="s">
        <v>73</v>
      </c>
      <c r="P705" t="str">
        <f t="shared" si="154"/>
        <v>Jaipur</v>
      </c>
      <c r="Q705" t="s">
        <v>19</v>
      </c>
      <c r="R705" t="str">
        <f t="shared" si="155"/>
        <v>Furniture</v>
      </c>
      <c r="S705" t="s">
        <v>88</v>
      </c>
      <c r="T705" t="str">
        <f t="shared" si="156"/>
        <v>Tables</v>
      </c>
      <c r="U705" t="s">
        <v>3356</v>
      </c>
      <c r="V705" t="str">
        <f t="shared" si="157"/>
        <v>Classic Tables 997</v>
      </c>
      <c r="W705" t="s">
        <v>98</v>
      </c>
      <c r="X705" t="str">
        <f t="shared" si="158"/>
        <v>First Class</v>
      </c>
      <c r="Y705">
        <v>1</v>
      </c>
      <c r="Z705">
        <v>1</v>
      </c>
      <c r="AA705">
        <v>1150.03</v>
      </c>
      <c r="AB705">
        <v>0.1</v>
      </c>
      <c r="AC705">
        <f t="shared" si="159"/>
        <v>0.1</v>
      </c>
      <c r="AD705">
        <v>1035.03</v>
      </c>
      <c r="AE705">
        <f t="shared" si="160"/>
        <v>1035.027</v>
      </c>
      <c r="AF705">
        <v>854.35</v>
      </c>
      <c r="AG705">
        <v>180.68</v>
      </c>
      <c r="AH705">
        <f t="shared" si="161"/>
        <v>180.677</v>
      </c>
      <c r="AI705">
        <f t="shared" si="162"/>
        <v>0.174562595951603</v>
      </c>
      <c r="AJ705" t="s">
        <v>77</v>
      </c>
      <c r="AK705" t="str">
        <f t="shared" si="163"/>
        <v>Paid</v>
      </c>
      <c r="AL705" t="s">
        <v>78</v>
      </c>
      <c r="AM705" t="str">
        <f t="shared" si="164"/>
        <v>Completed</v>
      </c>
      <c r="AN705">
        <v>10</v>
      </c>
      <c r="AO705">
        <v>2024</v>
      </c>
      <c r="AP705" t="s">
        <v>79</v>
      </c>
    </row>
    <row r="706" spans="1:42">
      <c r="A706" t="s">
        <v>3357</v>
      </c>
      <c r="B706" s="3" t="s">
        <v>1612</v>
      </c>
      <c r="C706" s="3">
        <v>45364</v>
      </c>
      <c r="D706" t="s">
        <v>3358</v>
      </c>
      <c r="E706" s="3">
        <v>45371</v>
      </c>
      <c r="F706" t="s">
        <v>3359</v>
      </c>
      <c r="G706" t="s">
        <v>182</v>
      </c>
      <c r="H706" t="str">
        <f t="shared" ref="H706:H769" si="165">PROPER(TRIM(G706))</f>
        <v>Priya Menon</v>
      </c>
      <c r="I706" t="s">
        <v>154</v>
      </c>
      <c r="J706" t="str">
        <f t="shared" ref="J706:J769" si="166">PROPER(TRIM(I706))</f>
        <v>Home Office</v>
      </c>
      <c r="K706" t="s">
        <v>10</v>
      </c>
      <c r="L706" t="str">
        <f t="shared" ref="L706:L769" si="167">PROPER(TRIM(K706))</f>
        <v>South</v>
      </c>
      <c r="M706" t="s">
        <v>382</v>
      </c>
      <c r="N706" t="str">
        <f t="shared" ref="N706:N769" si="168">PROPER(TRIM(M706))</f>
        <v>Tamil Nadu</v>
      </c>
      <c r="O706" t="s">
        <v>383</v>
      </c>
      <c r="P706" t="str">
        <f t="shared" ref="P706:P769" si="169">PROPER(TRIM(O706))</f>
        <v>Chennai</v>
      </c>
      <c r="Q706" t="s">
        <v>19</v>
      </c>
      <c r="R706" t="str">
        <f t="shared" ref="R706:R769" si="170">PROPER(TRIM(Q706))</f>
        <v>Furniture</v>
      </c>
      <c r="S706" t="s">
        <v>245</v>
      </c>
      <c r="T706" t="str">
        <f t="shared" ref="T706:T769" si="171">PROPER(TRIM(S706))</f>
        <v>Bookcases</v>
      </c>
      <c r="U706" t="s">
        <v>3360</v>
      </c>
      <c r="V706" t="str">
        <f t="shared" ref="V706:V769" si="172">PROPER(TRIM(U706))</f>
        <v>Max Bookcases 738</v>
      </c>
      <c r="X706" t="str">
        <f t="shared" ref="X706:X769" si="173">PROPER(TRIM(W706))</f>
        <v/>
      </c>
      <c r="Y706">
        <v>7</v>
      </c>
      <c r="Z706">
        <v>1</v>
      </c>
      <c r="AA706">
        <v>2825.63</v>
      </c>
      <c r="AB706">
        <v>0.15</v>
      </c>
      <c r="AC706">
        <f t="shared" ref="AC706:AC769" si="174">IF(OR(AB706="",AB706&lt;0),0,AB706)</f>
        <v>0.15</v>
      </c>
      <c r="AD706">
        <v>2401.79</v>
      </c>
      <c r="AE706">
        <f t="shared" ref="AE706:AE769" si="175">Z706*AA706*(1-AC706)</f>
        <v>2401.7855</v>
      </c>
      <c r="AF706">
        <v>1820.34</v>
      </c>
      <c r="AG706">
        <v>581.45</v>
      </c>
      <c r="AH706">
        <f t="shared" ref="AH706:AH769" si="176">AE706-AF706</f>
        <v>581.4455</v>
      </c>
      <c r="AI706">
        <f t="shared" ref="AI706:AI769" si="177">AH706/AE706</f>
        <v>0.24208885431276</v>
      </c>
      <c r="AJ706" t="s">
        <v>77</v>
      </c>
      <c r="AK706" t="str">
        <f t="shared" ref="AK706:AK769" si="178">PROPER(TRIM(AJ706))</f>
        <v>Paid</v>
      </c>
      <c r="AL706" t="s">
        <v>78</v>
      </c>
      <c r="AM706" t="str">
        <f t="shared" ref="AM706:AM769" si="179">PROPER(TRIM(AL706))</f>
        <v>Completed</v>
      </c>
      <c r="AN706">
        <v>3</v>
      </c>
      <c r="AO706">
        <v>2024</v>
      </c>
      <c r="AP706" t="s">
        <v>79</v>
      </c>
    </row>
    <row r="707" spans="1:42">
      <c r="A707" t="s">
        <v>3361</v>
      </c>
      <c r="B707" s="3" t="s">
        <v>3362</v>
      </c>
      <c r="C707" s="3">
        <v>45543</v>
      </c>
      <c r="D707" t="s">
        <v>3363</v>
      </c>
      <c r="E707" s="3">
        <v>45549</v>
      </c>
      <c r="F707" t="s">
        <v>3364</v>
      </c>
      <c r="G707" t="s">
        <v>220</v>
      </c>
      <c r="H707" t="str">
        <f t="shared" si="165"/>
        <v>Rohan Mehta</v>
      </c>
      <c r="I707" t="s">
        <v>71</v>
      </c>
      <c r="J707" t="str">
        <f t="shared" si="166"/>
        <v>Consumer</v>
      </c>
      <c r="K707" t="s">
        <v>8</v>
      </c>
      <c r="L707" t="str">
        <f t="shared" si="167"/>
        <v>North</v>
      </c>
      <c r="M707" t="s">
        <v>72</v>
      </c>
      <c r="N707" t="str">
        <f t="shared" si="168"/>
        <v>Rajasthan</v>
      </c>
      <c r="O707" t="s">
        <v>73</v>
      </c>
      <c r="P707" t="str">
        <f t="shared" si="169"/>
        <v>Jaipur</v>
      </c>
      <c r="Q707" t="s">
        <v>22</v>
      </c>
      <c r="R707" t="str">
        <f t="shared" si="170"/>
        <v>Office Supplies</v>
      </c>
      <c r="S707" t="s">
        <v>239</v>
      </c>
      <c r="T707" t="str">
        <f t="shared" si="171"/>
        <v>Binders</v>
      </c>
      <c r="U707" t="s">
        <v>3365</v>
      </c>
      <c r="V707" t="str">
        <f t="shared" si="172"/>
        <v>Max Binders 411</v>
      </c>
      <c r="W707" t="s">
        <v>108</v>
      </c>
      <c r="X707" t="str">
        <f t="shared" si="173"/>
        <v>Standard Class</v>
      </c>
      <c r="Y707">
        <v>6</v>
      </c>
      <c r="Z707">
        <v>5</v>
      </c>
      <c r="AA707">
        <v>3371.75</v>
      </c>
      <c r="AB707">
        <v>0.05</v>
      </c>
      <c r="AC707">
        <f t="shared" si="174"/>
        <v>0.05</v>
      </c>
      <c r="AD707">
        <v>16015.81</v>
      </c>
      <c r="AE707">
        <f t="shared" si="175"/>
        <v>16015.8125</v>
      </c>
      <c r="AF707">
        <v>11352.38</v>
      </c>
      <c r="AG707">
        <v>4663.43</v>
      </c>
      <c r="AH707">
        <f t="shared" si="176"/>
        <v>4663.4325</v>
      </c>
      <c r="AI707">
        <f t="shared" si="177"/>
        <v>0.291176766711024</v>
      </c>
      <c r="AJ707" t="s">
        <v>77</v>
      </c>
      <c r="AK707" t="str">
        <f t="shared" si="178"/>
        <v>Paid</v>
      </c>
      <c r="AL707" t="s">
        <v>78</v>
      </c>
      <c r="AM707" t="str">
        <f t="shared" si="179"/>
        <v>Completed</v>
      </c>
      <c r="AN707">
        <v>9</v>
      </c>
      <c r="AO707">
        <v>2024</v>
      </c>
      <c r="AP707" t="s">
        <v>79</v>
      </c>
    </row>
    <row r="708" spans="1:42">
      <c r="A708" t="s">
        <v>3366</v>
      </c>
      <c r="B708" s="3" t="s">
        <v>3367</v>
      </c>
      <c r="C708" s="3">
        <v>45467</v>
      </c>
      <c r="D708" t="s">
        <v>1094</v>
      </c>
      <c r="E708" s="3">
        <v>45471</v>
      </c>
      <c r="F708" t="s">
        <v>3368</v>
      </c>
      <c r="G708" t="s">
        <v>95</v>
      </c>
      <c r="H708" t="str">
        <f t="shared" si="165"/>
        <v>Isha Nair</v>
      </c>
      <c r="I708" t="s">
        <v>85</v>
      </c>
      <c r="J708" t="str">
        <f t="shared" si="166"/>
        <v>Small Business</v>
      </c>
      <c r="K708" t="s">
        <v>7</v>
      </c>
      <c r="L708" t="str">
        <f t="shared" si="167"/>
        <v>East</v>
      </c>
      <c r="M708" t="s">
        <v>86</v>
      </c>
      <c r="N708" t="str">
        <f t="shared" si="168"/>
        <v>Odisha</v>
      </c>
      <c r="O708" t="s">
        <v>87</v>
      </c>
      <c r="P708" t="str">
        <f t="shared" si="169"/>
        <v>Bhubaneswar</v>
      </c>
      <c r="Q708" t="s">
        <v>22</v>
      </c>
      <c r="R708" t="str">
        <f t="shared" si="170"/>
        <v>Office Supplies</v>
      </c>
      <c r="S708" t="s">
        <v>74</v>
      </c>
      <c r="T708" t="str">
        <f t="shared" si="171"/>
        <v>Paper</v>
      </c>
      <c r="U708" t="s">
        <v>3369</v>
      </c>
      <c r="V708" t="str">
        <f t="shared" si="172"/>
        <v>Max Paper 343</v>
      </c>
      <c r="W708" t="s">
        <v>90</v>
      </c>
      <c r="X708" t="str">
        <f t="shared" si="173"/>
        <v>Same Day</v>
      </c>
      <c r="Y708">
        <v>4</v>
      </c>
      <c r="Z708">
        <v>1</v>
      </c>
      <c r="AA708">
        <v>2112.75</v>
      </c>
      <c r="AB708">
        <v>0.1</v>
      </c>
      <c r="AC708">
        <f t="shared" si="174"/>
        <v>0.1</v>
      </c>
      <c r="AD708">
        <v>1901.48</v>
      </c>
      <c r="AE708">
        <f t="shared" si="175"/>
        <v>1901.475</v>
      </c>
      <c r="AF708">
        <v>1354.28</v>
      </c>
      <c r="AG708">
        <v>547.2</v>
      </c>
      <c r="AH708">
        <f t="shared" si="176"/>
        <v>547.195</v>
      </c>
      <c r="AI708">
        <f t="shared" si="177"/>
        <v>0.287773964948264</v>
      </c>
      <c r="AJ708" t="s">
        <v>77</v>
      </c>
      <c r="AK708" t="str">
        <f t="shared" si="178"/>
        <v>Paid</v>
      </c>
      <c r="AL708" t="s">
        <v>78</v>
      </c>
      <c r="AM708" t="str">
        <f t="shared" si="179"/>
        <v>Completed</v>
      </c>
      <c r="AN708">
        <v>6</v>
      </c>
      <c r="AO708">
        <v>2024</v>
      </c>
      <c r="AP708" t="s">
        <v>79</v>
      </c>
    </row>
    <row r="709" spans="1:42">
      <c r="A709" t="s">
        <v>3370</v>
      </c>
      <c r="B709" s="3" t="s">
        <v>3371</v>
      </c>
      <c r="C709" s="3">
        <v>45832</v>
      </c>
      <c r="D709" t="s">
        <v>2427</v>
      </c>
      <c r="E709" s="3">
        <v>45834</v>
      </c>
      <c r="F709" t="s">
        <v>3372</v>
      </c>
      <c r="G709" t="s">
        <v>123</v>
      </c>
      <c r="H709" t="str">
        <f t="shared" si="165"/>
        <v>Vikram Iyer</v>
      </c>
      <c r="I709" t="s">
        <v>71</v>
      </c>
      <c r="J709" t="str">
        <f t="shared" si="166"/>
        <v>Consumer</v>
      </c>
      <c r="K709" t="s">
        <v>8</v>
      </c>
      <c r="L709" t="str">
        <f t="shared" si="167"/>
        <v>North</v>
      </c>
      <c r="M709" t="s">
        <v>72</v>
      </c>
      <c r="N709" t="str">
        <f t="shared" si="168"/>
        <v>Rajasthan</v>
      </c>
      <c r="O709" t="s">
        <v>73</v>
      </c>
      <c r="P709" t="str">
        <f t="shared" si="169"/>
        <v>Jaipur</v>
      </c>
      <c r="Q709" t="s">
        <v>24</v>
      </c>
      <c r="R709" t="str">
        <f t="shared" si="170"/>
        <v>Technology</v>
      </c>
      <c r="S709" t="s">
        <v>2214</v>
      </c>
      <c r="T709" t="str">
        <f t="shared" si="171"/>
        <v>Accessories</v>
      </c>
      <c r="U709" t="s">
        <v>3373</v>
      </c>
      <c r="V709" t="str">
        <f t="shared" si="172"/>
        <v>Pro Accessories 485</v>
      </c>
      <c r="W709" t="s">
        <v>90</v>
      </c>
      <c r="X709" t="str">
        <f t="shared" si="173"/>
        <v>Same Day</v>
      </c>
      <c r="Y709">
        <v>2</v>
      </c>
      <c r="Z709">
        <v>5</v>
      </c>
      <c r="AA709">
        <v>3722.66</v>
      </c>
      <c r="AB709">
        <v>0.55</v>
      </c>
      <c r="AC709">
        <f t="shared" si="174"/>
        <v>0.55</v>
      </c>
      <c r="AD709">
        <v>16751.97</v>
      </c>
      <c r="AE709">
        <f t="shared" si="175"/>
        <v>8375.985</v>
      </c>
      <c r="AF709">
        <v>11678.32</v>
      </c>
      <c r="AG709">
        <v>5073.65</v>
      </c>
      <c r="AH709">
        <f t="shared" si="176"/>
        <v>-3302.335</v>
      </c>
      <c r="AI709">
        <f t="shared" si="177"/>
        <v>-0.394262286763885</v>
      </c>
      <c r="AJ709" t="s">
        <v>77</v>
      </c>
      <c r="AK709" t="str">
        <f t="shared" si="178"/>
        <v>Paid</v>
      </c>
      <c r="AL709" t="s">
        <v>78</v>
      </c>
      <c r="AM709" t="str">
        <f t="shared" si="179"/>
        <v>Completed</v>
      </c>
      <c r="AN709">
        <v>6</v>
      </c>
      <c r="AO709">
        <v>2025</v>
      </c>
      <c r="AP709" t="s">
        <v>79</v>
      </c>
    </row>
    <row r="710" spans="1:42">
      <c r="A710" t="s">
        <v>3374</v>
      </c>
      <c r="B710" s="3" t="s">
        <v>3375</v>
      </c>
      <c r="C710" s="3">
        <v>45736</v>
      </c>
      <c r="D710" t="s">
        <v>3376</v>
      </c>
      <c r="E710" s="3">
        <v>45742</v>
      </c>
      <c r="F710" t="s">
        <v>3377</v>
      </c>
      <c r="G710" t="s">
        <v>208</v>
      </c>
      <c r="H710" t="str">
        <f t="shared" si="165"/>
        <v>Sneha Kapoor</v>
      </c>
      <c r="I710" t="s">
        <v>71</v>
      </c>
      <c r="J710" t="str">
        <f t="shared" si="166"/>
        <v>Consumer</v>
      </c>
      <c r="K710" t="s">
        <v>7</v>
      </c>
      <c r="L710" t="str">
        <f t="shared" si="167"/>
        <v>East</v>
      </c>
      <c r="M710" t="s">
        <v>258</v>
      </c>
      <c r="N710" t="str">
        <f t="shared" si="168"/>
        <v>Assam</v>
      </c>
      <c r="O710" t="s">
        <v>259</v>
      </c>
      <c r="P710" t="str">
        <f t="shared" si="169"/>
        <v>Guwahati</v>
      </c>
      <c r="Q710" t="s">
        <v>19</v>
      </c>
      <c r="R710" t="str">
        <f t="shared" si="170"/>
        <v>Furniture</v>
      </c>
      <c r="S710" t="s">
        <v>245</v>
      </c>
      <c r="T710" t="str">
        <f t="shared" si="171"/>
        <v>Bookcases</v>
      </c>
      <c r="U710" t="s">
        <v>3378</v>
      </c>
      <c r="V710" t="str">
        <f t="shared" si="172"/>
        <v>Elite Bookcases 113</v>
      </c>
      <c r="W710" t="s">
        <v>98</v>
      </c>
      <c r="X710" t="str">
        <f t="shared" si="173"/>
        <v>First Class</v>
      </c>
      <c r="Y710">
        <v>6</v>
      </c>
      <c r="Z710">
        <v>4</v>
      </c>
      <c r="AA710">
        <v>4357.66</v>
      </c>
      <c r="AB710">
        <v>0.05</v>
      </c>
      <c r="AC710">
        <f t="shared" si="174"/>
        <v>0.05</v>
      </c>
      <c r="AD710">
        <v>16559.11</v>
      </c>
      <c r="AE710">
        <f t="shared" si="175"/>
        <v>16559.108</v>
      </c>
      <c r="AF710">
        <v>13233.79</v>
      </c>
      <c r="AG710">
        <v>3325.32</v>
      </c>
      <c r="AH710">
        <f t="shared" si="176"/>
        <v>3325.318</v>
      </c>
      <c r="AI710">
        <f t="shared" si="177"/>
        <v>0.200815043902123</v>
      </c>
      <c r="AJ710" t="s">
        <v>77</v>
      </c>
      <c r="AK710" t="str">
        <f t="shared" si="178"/>
        <v>Paid</v>
      </c>
      <c r="AL710" t="s">
        <v>78</v>
      </c>
      <c r="AM710" t="str">
        <f t="shared" si="179"/>
        <v>Completed</v>
      </c>
      <c r="AN710">
        <v>3</v>
      </c>
      <c r="AO710">
        <v>2025</v>
      </c>
      <c r="AP710" t="s">
        <v>79</v>
      </c>
    </row>
    <row r="711" spans="1:42">
      <c r="A711" t="s">
        <v>3379</v>
      </c>
      <c r="B711" s="3" t="s">
        <v>236</v>
      </c>
      <c r="C711" s="3">
        <v>45676</v>
      </c>
      <c r="D711" t="s">
        <v>225</v>
      </c>
      <c r="E711" s="3">
        <v>45680</v>
      </c>
      <c r="F711" t="s">
        <v>3380</v>
      </c>
      <c r="G711" t="s">
        <v>411</v>
      </c>
      <c r="H711" t="str">
        <f t="shared" si="165"/>
        <v>Kabir Singh</v>
      </c>
      <c r="I711" t="s">
        <v>154</v>
      </c>
      <c r="J711" t="str">
        <f t="shared" si="166"/>
        <v>Home Office</v>
      </c>
      <c r="K711" t="s">
        <v>8</v>
      </c>
      <c r="L711" t="str">
        <f t="shared" si="167"/>
        <v>North</v>
      </c>
      <c r="M711" t="s">
        <v>194</v>
      </c>
      <c r="N711" t="str">
        <f t="shared" si="168"/>
        <v>Punjab</v>
      </c>
      <c r="O711" t="s">
        <v>195</v>
      </c>
      <c r="P711" t="str">
        <f t="shared" si="169"/>
        <v>Ludhiana</v>
      </c>
      <c r="Q711" t="s">
        <v>24</v>
      </c>
      <c r="R711" t="str">
        <f t="shared" si="170"/>
        <v>Technology</v>
      </c>
      <c r="S711" t="s">
        <v>265</v>
      </c>
      <c r="T711" t="str">
        <f t="shared" si="171"/>
        <v>Phones</v>
      </c>
      <c r="U711" t="s">
        <v>3381</v>
      </c>
      <c r="V711" t="str">
        <f t="shared" si="172"/>
        <v>Eco Phones 787</v>
      </c>
      <c r="W711" t="s">
        <v>90</v>
      </c>
      <c r="X711" t="str">
        <f t="shared" si="173"/>
        <v>Same Day</v>
      </c>
      <c r="Y711">
        <v>4</v>
      </c>
      <c r="Z711">
        <v>7</v>
      </c>
      <c r="AA711">
        <v>1363.04</v>
      </c>
      <c r="AB711">
        <v>0.15</v>
      </c>
      <c r="AC711">
        <f t="shared" si="174"/>
        <v>0.15</v>
      </c>
      <c r="AD711">
        <v>8110.09</v>
      </c>
      <c r="AE711">
        <f t="shared" si="175"/>
        <v>8110.088</v>
      </c>
      <c r="AF711">
        <v>6417.32</v>
      </c>
      <c r="AG711">
        <v>1692.77</v>
      </c>
      <c r="AH711">
        <f t="shared" si="176"/>
        <v>1692.768</v>
      </c>
      <c r="AI711">
        <f t="shared" si="177"/>
        <v>0.208723752442637</v>
      </c>
      <c r="AJ711" t="s">
        <v>77</v>
      </c>
      <c r="AK711" t="str">
        <f t="shared" si="178"/>
        <v>Paid</v>
      </c>
      <c r="AL711" t="s">
        <v>118</v>
      </c>
      <c r="AM711" t="str">
        <f t="shared" si="179"/>
        <v>Cancelled</v>
      </c>
      <c r="AN711">
        <v>1</v>
      </c>
      <c r="AO711">
        <v>2025</v>
      </c>
      <c r="AP711" t="s">
        <v>79</v>
      </c>
    </row>
    <row r="712" spans="1:42">
      <c r="A712" t="s">
        <v>3382</v>
      </c>
      <c r="B712" s="3" t="s">
        <v>3383</v>
      </c>
      <c r="C712" s="3">
        <v>45485</v>
      </c>
      <c r="D712" t="s">
        <v>3384</v>
      </c>
      <c r="E712" s="3">
        <v>45492</v>
      </c>
      <c r="F712" t="s">
        <v>3385</v>
      </c>
      <c r="G712" t="s">
        <v>123</v>
      </c>
      <c r="H712" t="str">
        <f t="shared" si="165"/>
        <v>Vikram Iyer</v>
      </c>
      <c r="I712" t="s">
        <v>147</v>
      </c>
      <c r="J712" t="str">
        <f t="shared" si="166"/>
        <v>Corporate</v>
      </c>
      <c r="K712" t="s">
        <v>8</v>
      </c>
      <c r="L712" t="str">
        <f t="shared" si="167"/>
        <v>North</v>
      </c>
      <c r="M712" t="s">
        <v>194</v>
      </c>
      <c r="N712" t="str">
        <f t="shared" si="168"/>
        <v>Punjab</v>
      </c>
      <c r="O712" t="s">
        <v>195</v>
      </c>
      <c r="P712" t="str">
        <f t="shared" si="169"/>
        <v>Ludhiana</v>
      </c>
      <c r="Q712" t="s">
        <v>22</v>
      </c>
      <c r="R712" t="str">
        <f t="shared" si="170"/>
        <v>Office Supplies</v>
      </c>
      <c r="S712" t="s">
        <v>96</v>
      </c>
      <c r="T712" t="str">
        <f t="shared" si="171"/>
        <v>Art</v>
      </c>
      <c r="U712" t="s">
        <v>3386</v>
      </c>
      <c r="V712" t="str">
        <f t="shared" si="172"/>
        <v>Smart Art 279</v>
      </c>
      <c r="W712" t="s">
        <v>76</v>
      </c>
      <c r="X712" t="str">
        <f t="shared" si="173"/>
        <v>Second Class</v>
      </c>
      <c r="Y712">
        <v>7</v>
      </c>
      <c r="Z712">
        <v>5</v>
      </c>
      <c r="AA712">
        <v>1559.16</v>
      </c>
      <c r="AB712">
        <v>0.05</v>
      </c>
      <c r="AC712">
        <f t="shared" si="174"/>
        <v>0.05</v>
      </c>
      <c r="AD712">
        <v>7406.01</v>
      </c>
      <c r="AE712">
        <f t="shared" si="175"/>
        <v>7406.01</v>
      </c>
      <c r="AF712">
        <v>5941.74</v>
      </c>
      <c r="AG712">
        <v>1464.27</v>
      </c>
      <c r="AH712">
        <f t="shared" si="176"/>
        <v>1464.27</v>
      </c>
      <c r="AI712">
        <f t="shared" si="177"/>
        <v>0.197713748698692</v>
      </c>
      <c r="AJ712" t="s">
        <v>77</v>
      </c>
      <c r="AK712" t="str">
        <f t="shared" si="178"/>
        <v>Paid</v>
      </c>
      <c r="AL712" t="s">
        <v>78</v>
      </c>
      <c r="AM712" t="str">
        <f t="shared" si="179"/>
        <v>Completed</v>
      </c>
      <c r="AN712">
        <v>7</v>
      </c>
      <c r="AO712">
        <v>2024</v>
      </c>
      <c r="AP712" t="s">
        <v>79</v>
      </c>
    </row>
    <row r="713" spans="1:42">
      <c r="A713" t="s">
        <v>3387</v>
      </c>
      <c r="B713" s="3" t="s">
        <v>3388</v>
      </c>
      <c r="C713" s="3">
        <v>45690</v>
      </c>
      <c r="D713" t="s">
        <v>3350</v>
      </c>
      <c r="E713" s="3">
        <v>45690</v>
      </c>
      <c r="F713" t="s">
        <v>3389</v>
      </c>
      <c r="G713" t="s">
        <v>411</v>
      </c>
      <c r="H713" t="str">
        <f t="shared" si="165"/>
        <v>Kabir Singh</v>
      </c>
      <c r="I713" t="s">
        <v>147</v>
      </c>
      <c r="J713" t="str">
        <f t="shared" si="166"/>
        <v>Corporate</v>
      </c>
      <c r="K713" t="s">
        <v>7</v>
      </c>
      <c r="L713" t="str">
        <f t="shared" si="167"/>
        <v>East</v>
      </c>
      <c r="M713" t="s">
        <v>160</v>
      </c>
      <c r="N713" t="str">
        <f t="shared" si="168"/>
        <v>West Bengal</v>
      </c>
      <c r="O713" t="s">
        <v>161</v>
      </c>
      <c r="P713" t="str">
        <f t="shared" si="169"/>
        <v>Kolkata</v>
      </c>
      <c r="Q713" t="s">
        <v>24</v>
      </c>
      <c r="R713" t="str">
        <f t="shared" si="170"/>
        <v>Technology</v>
      </c>
      <c r="S713" t="s">
        <v>427</v>
      </c>
      <c r="T713" t="str">
        <f t="shared" si="171"/>
        <v>Machines</v>
      </c>
      <c r="U713" t="s">
        <v>3390</v>
      </c>
      <c r="V713" t="str">
        <f t="shared" si="172"/>
        <v>Basic Machines 172</v>
      </c>
      <c r="W713" t="s">
        <v>98</v>
      </c>
      <c r="X713" t="str">
        <f t="shared" si="173"/>
        <v>First Class</v>
      </c>
      <c r="Y713">
        <v>0</v>
      </c>
      <c r="Z713">
        <v>1</v>
      </c>
      <c r="AA713">
        <v>4326.75</v>
      </c>
      <c r="AB713">
        <v>0.05</v>
      </c>
      <c r="AC713">
        <f t="shared" si="174"/>
        <v>0.05</v>
      </c>
      <c r="AD713">
        <v>4110.41</v>
      </c>
      <c r="AE713">
        <f t="shared" si="175"/>
        <v>4110.4125</v>
      </c>
      <c r="AF713">
        <v>2394.14</v>
      </c>
      <c r="AG713">
        <v>1716.27</v>
      </c>
      <c r="AH713">
        <f t="shared" si="176"/>
        <v>1716.2725</v>
      </c>
      <c r="AI713">
        <f t="shared" si="177"/>
        <v>0.417542643226197</v>
      </c>
      <c r="AJ713" t="s">
        <v>177</v>
      </c>
      <c r="AK713" t="str">
        <f t="shared" si="178"/>
        <v>Pending</v>
      </c>
      <c r="AL713" t="s">
        <v>164</v>
      </c>
      <c r="AM713" t="str">
        <f t="shared" si="179"/>
        <v>Returned</v>
      </c>
      <c r="AN713">
        <v>2</v>
      </c>
      <c r="AO713">
        <v>2025</v>
      </c>
      <c r="AP713" t="s">
        <v>79</v>
      </c>
    </row>
    <row r="714" spans="1:42">
      <c r="A714" t="s">
        <v>3391</v>
      </c>
      <c r="B714" s="3" t="s">
        <v>2184</v>
      </c>
      <c r="C714" s="3">
        <v>45332</v>
      </c>
      <c r="D714" t="s">
        <v>3392</v>
      </c>
      <c r="E714" s="3">
        <v>45340</v>
      </c>
      <c r="F714" t="s">
        <v>3393</v>
      </c>
      <c r="G714" t="s">
        <v>95</v>
      </c>
      <c r="H714" t="str">
        <f t="shared" si="165"/>
        <v>Isha Nair</v>
      </c>
      <c r="I714" t="s">
        <v>154</v>
      </c>
      <c r="J714" t="str">
        <f t="shared" si="166"/>
        <v>Home Office</v>
      </c>
      <c r="K714" t="s">
        <v>11</v>
      </c>
      <c r="L714" t="str">
        <f t="shared" si="167"/>
        <v>West</v>
      </c>
      <c r="M714" t="s">
        <v>124</v>
      </c>
      <c r="N714" t="str">
        <f t="shared" si="168"/>
        <v>Madhya Pradesh</v>
      </c>
      <c r="O714" t="s">
        <v>125</v>
      </c>
      <c r="P714" t="str">
        <f t="shared" si="169"/>
        <v>Indore</v>
      </c>
      <c r="Q714" t="s">
        <v>19</v>
      </c>
      <c r="R714" t="str">
        <f t="shared" si="170"/>
        <v>Furniture</v>
      </c>
      <c r="S714" t="s">
        <v>116</v>
      </c>
      <c r="T714" t="str">
        <f t="shared" si="171"/>
        <v>Chairs</v>
      </c>
      <c r="U714" t="s">
        <v>3394</v>
      </c>
      <c r="V714" t="str">
        <f t="shared" si="172"/>
        <v>Smart Chairs 259</v>
      </c>
      <c r="W714" t="s">
        <v>98</v>
      </c>
      <c r="X714" t="str">
        <f t="shared" si="173"/>
        <v>First Class</v>
      </c>
      <c r="Y714">
        <v>8</v>
      </c>
      <c r="Z714">
        <v>7</v>
      </c>
      <c r="AA714">
        <v>1382.86</v>
      </c>
      <c r="AB714">
        <v>0</v>
      </c>
      <c r="AC714">
        <f t="shared" si="174"/>
        <v>0</v>
      </c>
      <c r="AD714">
        <v>9680.02</v>
      </c>
      <c r="AE714">
        <f t="shared" si="175"/>
        <v>9680.02</v>
      </c>
      <c r="AF714">
        <v>6876.66</v>
      </c>
      <c r="AG714">
        <v>2803.36</v>
      </c>
      <c r="AH714">
        <f t="shared" si="176"/>
        <v>2803.36</v>
      </c>
      <c r="AI714">
        <f t="shared" si="177"/>
        <v>0.289602707432423</v>
      </c>
      <c r="AJ714" t="s">
        <v>77</v>
      </c>
      <c r="AK714" t="str">
        <f t="shared" si="178"/>
        <v>Paid</v>
      </c>
      <c r="AL714" t="s">
        <v>78</v>
      </c>
      <c r="AM714" t="str">
        <f t="shared" si="179"/>
        <v>Completed</v>
      </c>
      <c r="AN714">
        <v>2</v>
      </c>
      <c r="AO714">
        <v>2024</v>
      </c>
      <c r="AP714" t="s">
        <v>79</v>
      </c>
    </row>
    <row r="715" spans="1:42">
      <c r="A715" t="s">
        <v>3395</v>
      </c>
      <c r="B715" s="3" t="s">
        <v>3396</v>
      </c>
      <c r="C715" s="3">
        <v>45814</v>
      </c>
      <c r="D715" t="s">
        <v>3242</v>
      </c>
      <c r="E715" s="3">
        <v>45818</v>
      </c>
      <c r="F715" t="s">
        <v>953</v>
      </c>
      <c r="G715" t="s">
        <v>84</v>
      </c>
      <c r="H715" t="str">
        <f t="shared" si="165"/>
        <v>Mira Das</v>
      </c>
      <c r="I715" t="s">
        <v>71</v>
      </c>
      <c r="J715" t="str">
        <f t="shared" si="166"/>
        <v>Consumer</v>
      </c>
      <c r="K715" t="s">
        <v>11</v>
      </c>
      <c r="L715" t="str">
        <f t="shared" si="167"/>
        <v>West</v>
      </c>
      <c r="M715" t="s">
        <v>72</v>
      </c>
      <c r="N715" t="str">
        <f t="shared" si="168"/>
        <v>Rajasthan</v>
      </c>
      <c r="O715" t="s">
        <v>175</v>
      </c>
      <c r="P715" t="str">
        <f t="shared" si="169"/>
        <v>Udaipur</v>
      </c>
      <c r="Q715" t="s">
        <v>24</v>
      </c>
      <c r="R715" t="str">
        <f t="shared" si="170"/>
        <v>Technology</v>
      </c>
      <c r="S715" t="s">
        <v>427</v>
      </c>
      <c r="T715" t="str">
        <f t="shared" si="171"/>
        <v>Machines</v>
      </c>
      <c r="U715" t="s">
        <v>3397</v>
      </c>
      <c r="V715" t="str">
        <f t="shared" si="172"/>
        <v>Pro Machines 987</v>
      </c>
      <c r="W715" t="s">
        <v>76</v>
      </c>
      <c r="X715" t="str">
        <f t="shared" si="173"/>
        <v>Second Class</v>
      </c>
      <c r="Y715">
        <v>4</v>
      </c>
      <c r="Z715">
        <v>1</v>
      </c>
      <c r="AA715">
        <v>289.97</v>
      </c>
      <c r="AB715">
        <v>0.25</v>
      </c>
      <c r="AC715">
        <f t="shared" si="174"/>
        <v>0.25</v>
      </c>
      <c r="AD715">
        <v>217.48</v>
      </c>
      <c r="AE715">
        <f t="shared" si="175"/>
        <v>217.4775</v>
      </c>
      <c r="AF715">
        <v>132.13</v>
      </c>
      <c r="AG715">
        <v>85.35</v>
      </c>
      <c r="AH715">
        <f t="shared" si="176"/>
        <v>85.3475</v>
      </c>
      <c r="AI715">
        <f t="shared" si="177"/>
        <v>0.392442896391581</v>
      </c>
      <c r="AJ715" t="s">
        <v>77</v>
      </c>
      <c r="AK715" t="str">
        <f t="shared" si="178"/>
        <v>Paid</v>
      </c>
      <c r="AL715" t="s">
        <v>78</v>
      </c>
      <c r="AM715" t="str">
        <f t="shared" si="179"/>
        <v>Completed</v>
      </c>
      <c r="AN715">
        <v>6</v>
      </c>
      <c r="AO715">
        <v>2025</v>
      </c>
      <c r="AP715" t="s">
        <v>79</v>
      </c>
    </row>
    <row r="716" spans="1:42">
      <c r="A716" t="s">
        <v>3398</v>
      </c>
      <c r="B716" s="3" t="s">
        <v>2170</v>
      </c>
      <c r="C716" s="3">
        <v>45738</v>
      </c>
      <c r="D716" t="s">
        <v>2287</v>
      </c>
      <c r="E716" s="3">
        <v>45739</v>
      </c>
      <c r="F716" t="s">
        <v>3399</v>
      </c>
      <c r="G716" t="s">
        <v>70</v>
      </c>
      <c r="H716" t="str">
        <f t="shared" si="165"/>
        <v>Karan Malhotra</v>
      </c>
      <c r="I716" t="s">
        <v>154</v>
      </c>
      <c r="J716" t="str">
        <f t="shared" si="166"/>
        <v>Home Office</v>
      </c>
      <c r="K716" t="s">
        <v>8</v>
      </c>
      <c r="L716" t="str">
        <f t="shared" si="167"/>
        <v>North</v>
      </c>
      <c r="M716" t="s">
        <v>552</v>
      </c>
      <c r="N716" t="str">
        <f t="shared" si="168"/>
        <v>Delhi</v>
      </c>
      <c r="O716" t="s">
        <v>553</v>
      </c>
      <c r="P716" t="str">
        <f t="shared" si="169"/>
        <v>New Delhi</v>
      </c>
      <c r="Q716" t="s">
        <v>24</v>
      </c>
      <c r="R716" t="str">
        <f t="shared" si="170"/>
        <v>Technology</v>
      </c>
      <c r="S716" t="s">
        <v>133</v>
      </c>
      <c r="T716" t="str">
        <f t="shared" si="171"/>
        <v>Copiers</v>
      </c>
      <c r="U716" t="s">
        <v>3400</v>
      </c>
      <c r="V716" t="str">
        <f t="shared" si="172"/>
        <v>Pro Copiers 206</v>
      </c>
      <c r="W716" t="s">
        <v>108</v>
      </c>
      <c r="X716" t="str">
        <f t="shared" si="173"/>
        <v>Standard Class</v>
      </c>
      <c r="Y716">
        <v>1</v>
      </c>
      <c r="Z716">
        <v>9</v>
      </c>
      <c r="AA716">
        <v>2075.02</v>
      </c>
      <c r="AB716">
        <v>0</v>
      </c>
      <c r="AC716">
        <f t="shared" si="174"/>
        <v>0</v>
      </c>
      <c r="AD716">
        <v>18675.18</v>
      </c>
      <c r="AE716">
        <f t="shared" si="175"/>
        <v>18675.18</v>
      </c>
      <c r="AF716">
        <v>13974.7</v>
      </c>
      <c r="AG716">
        <v>4700.48</v>
      </c>
      <c r="AH716">
        <f t="shared" si="176"/>
        <v>4700.48</v>
      </c>
      <c r="AI716">
        <f t="shared" si="177"/>
        <v>0.251696636926659</v>
      </c>
      <c r="AJ716" t="s">
        <v>77</v>
      </c>
      <c r="AK716" t="str">
        <f t="shared" si="178"/>
        <v>Paid</v>
      </c>
      <c r="AL716" t="s">
        <v>78</v>
      </c>
      <c r="AM716" t="str">
        <f t="shared" si="179"/>
        <v>Completed</v>
      </c>
      <c r="AN716">
        <v>3</v>
      </c>
      <c r="AO716">
        <v>2025</v>
      </c>
      <c r="AP716" t="s">
        <v>79</v>
      </c>
    </row>
    <row r="717" spans="1:42">
      <c r="A717" t="s">
        <v>3401</v>
      </c>
      <c r="B717" s="3" t="s">
        <v>499</v>
      </c>
      <c r="C717" s="3">
        <v>45891</v>
      </c>
      <c r="D717" t="s">
        <v>500</v>
      </c>
      <c r="E717" s="3">
        <v>45896</v>
      </c>
      <c r="F717" t="s">
        <v>3402</v>
      </c>
      <c r="G717" t="s">
        <v>182</v>
      </c>
      <c r="H717" t="str">
        <f t="shared" si="165"/>
        <v>Priya Menon</v>
      </c>
      <c r="I717" t="s">
        <v>71</v>
      </c>
      <c r="J717" t="str">
        <f t="shared" si="166"/>
        <v>Consumer</v>
      </c>
      <c r="K717" t="s">
        <v>8</v>
      </c>
      <c r="L717" t="str">
        <f t="shared" si="167"/>
        <v>North</v>
      </c>
      <c r="M717" t="s">
        <v>366</v>
      </c>
      <c r="N717" t="str">
        <f t="shared" si="168"/>
        <v>Haryana</v>
      </c>
      <c r="O717" t="s">
        <v>367</v>
      </c>
      <c r="P717" t="str">
        <f t="shared" si="169"/>
        <v>Gurugram</v>
      </c>
      <c r="Q717" t="s">
        <v>19</v>
      </c>
      <c r="R717" t="str">
        <f t="shared" si="170"/>
        <v>Furniture</v>
      </c>
      <c r="S717" t="s">
        <v>116</v>
      </c>
      <c r="T717" t="str">
        <f t="shared" si="171"/>
        <v>Chairs</v>
      </c>
      <c r="U717" t="s">
        <v>3403</v>
      </c>
      <c r="V717" t="str">
        <f t="shared" si="172"/>
        <v>Max Chairs 372</v>
      </c>
      <c r="W717" t="s">
        <v>76</v>
      </c>
      <c r="X717" t="str">
        <f t="shared" si="173"/>
        <v>Second Class</v>
      </c>
      <c r="Y717">
        <v>5</v>
      </c>
      <c r="Z717">
        <v>7</v>
      </c>
      <c r="AA717">
        <v>2843.09</v>
      </c>
      <c r="AB717">
        <v>0</v>
      </c>
      <c r="AC717">
        <f t="shared" si="174"/>
        <v>0</v>
      </c>
      <c r="AD717">
        <v>19901.63</v>
      </c>
      <c r="AE717">
        <f t="shared" si="175"/>
        <v>19901.63</v>
      </c>
      <c r="AF717">
        <v>15492.03</v>
      </c>
      <c r="AG717">
        <v>4409.6</v>
      </c>
      <c r="AH717">
        <f t="shared" si="176"/>
        <v>4409.6</v>
      </c>
      <c r="AI717">
        <f t="shared" si="177"/>
        <v>0.221569791017118</v>
      </c>
      <c r="AJ717" t="s">
        <v>163</v>
      </c>
      <c r="AK717" t="str">
        <f t="shared" si="178"/>
        <v>Refunded</v>
      </c>
      <c r="AL717" t="s">
        <v>118</v>
      </c>
      <c r="AM717" t="str">
        <f t="shared" si="179"/>
        <v>Cancelled</v>
      </c>
      <c r="AN717">
        <v>8</v>
      </c>
      <c r="AO717">
        <v>2025</v>
      </c>
      <c r="AP717" t="s">
        <v>79</v>
      </c>
    </row>
    <row r="718" spans="1:42">
      <c r="A718" t="s">
        <v>3404</v>
      </c>
      <c r="B718" s="3" t="s">
        <v>3405</v>
      </c>
      <c r="C718" s="3">
        <v>45895</v>
      </c>
      <c r="D718" t="s">
        <v>243</v>
      </c>
      <c r="E718" s="3">
        <v>45900</v>
      </c>
      <c r="F718" t="s">
        <v>3406</v>
      </c>
      <c r="G718" t="s">
        <v>251</v>
      </c>
      <c r="H718" t="str">
        <f t="shared" si="165"/>
        <v>Diya Patel</v>
      </c>
      <c r="I718" t="s">
        <v>85</v>
      </c>
      <c r="J718" t="str">
        <f t="shared" si="166"/>
        <v>Small Business</v>
      </c>
      <c r="K718" t="s">
        <v>8</v>
      </c>
      <c r="L718" t="str">
        <f t="shared" si="167"/>
        <v>North</v>
      </c>
      <c r="M718" t="s">
        <v>366</v>
      </c>
      <c r="N718" t="str">
        <f t="shared" si="168"/>
        <v>Haryana</v>
      </c>
      <c r="O718" t="s">
        <v>367</v>
      </c>
      <c r="P718" t="str">
        <f t="shared" si="169"/>
        <v>Gurugram</v>
      </c>
      <c r="Q718" t="s">
        <v>24</v>
      </c>
      <c r="R718" t="str">
        <f t="shared" si="170"/>
        <v>Technology</v>
      </c>
      <c r="S718" t="s">
        <v>265</v>
      </c>
      <c r="T718" t="str">
        <f t="shared" si="171"/>
        <v>Phones</v>
      </c>
      <c r="U718" t="s">
        <v>3407</v>
      </c>
      <c r="V718" t="str">
        <f t="shared" si="172"/>
        <v>Basic Phones 496</v>
      </c>
      <c r="W718" t="s">
        <v>98</v>
      </c>
      <c r="X718" t="str">
        <f t="shared" si="173"/>
        <v>First Class</v>
      </c>
      <c r="Y718">
        <v>5</v>
      </c>
      <c r="Z718">
        <v>1</v>
      </c>
      <c r="AA718">
        <v>3388.02</v>
      </c>
      <c r="AB718">
        <v>0.15</v>
      </c>
      <c r="AC718">
        <f t="shared" si="174"/>
        <v>0.15</v>
      </c>
      <c r="AD718">
        <v>2879.82</v>
      </c>
      <c r="AE718">
        <f t="shared" si="175"/>
        <v>2879.817</v>
      </c>
      <c r="AF718">
        <v>1824.88</v>
      </c>
      <c r="AG718">
        <v>1054.94</v>
      </c>
      <c r="AH718">
        <f t="shared" si="176"/>
        <v>1054.937</v>
      </c>
      <c r="AI718">
        <f t="shared" si="177"/>
        <v>0.366320846081539</v>
      </c>
      <c r="AJ718" t="s">
        <v>77</v>
      </c>
      <c r="AK718" t="str">
        <f t="shared" si="178"/>
        <v>Paid</v>
      </c>
      <c r="AL718" t="s">
        <v>78</v>
      </c>
      <c r="AM718" t="str">
        <f t="shared" si="179"/>
        <v>Completed</v>
      </c>
      <c r="AN718">
        <v>8</v>
      </c>
      <c r="AO718">
        <v>2025</v>
      </c>
      <c r="AP718" t="s">
        <v>79</v>
      </c>
    </row>
    <row r="719" spans="1:42">
      <c r="A719" t="s">
        <v>3408</v>
      </c>
      <c r="B719" s="3" t="s">
        <v>3409</v>
      </c>
      <c r="C719" s="3">
        <v>45942</v>
      </c>
      <c r="D719" t="s">
        <v>352</v>
      </c>
      <c r="E719" s="3">
        <v>45945</v>
      </c>
      <c r="F719" t="s">
        <v>3410</v>
      </c>
      <c r="G719" t="s">
        <v>411</v>
      </c>
      <c r="H719" t="str">
        <f t="shared" si="165"/>
        <v>Kabir Singh</v>
      </c>
      <c r="I719" t="s">
        <v>85</v>
      </c>
      <c r="J719" t="str">
        <f t="shared" si="166"/>
        <v>Small Business</v>
      </c>
      <c r="K719" t="s">
        <v>8</v>
      </c>
      <c r="L719" t="str">
        <f t="shared" si="167"/>
        <v>North</v>
      </c>
      <c r="M719" t="s">
        <v>366</v>
      </c>
      <c r="N719" t="str">
        <f t="shared" si="168"/>
        <v>Haryana</v>
      </c>
      <c r="O719" t="s">
        <v>367</v>
      </c>
      <c r="P719" t="str">
        <f t="shared" si="169"/>
        <v>Gurugram</v>
      </c>
      <c r="Q719" t="s">
        <v>24</v>
      </c>
      <c r="R719" t="str">
        <f t="shared" si="170"/>
        <v>Technology</v>
      </c>
      <c r="S719" t="s">
        <v>427</v>
      </c>
      <c r="T719" t="str">
        <f t="shared" si="171"/>
        <v>Machines</v>
      </c>
      <c r="U719" t="s">
        <v>3411</v>
      </c>
      <c r="V719" t="str">
        <f t="shared" si="172"/>
        <v>Prime Machines 612</v>
      </c>
      <c r="W719" t="s">
        <v>108</v>
      </c>
      <c r="X719" t="str">
        <f t="shared" si="173"/>
        <v>Standard Class</v>
      </c>
      <c r="Y719">
        <v>3</v>
      </c>
      <c r="Z719">
        <v>9</v>
      </c>
      <c r="AA719">
        <v>2598.92</v>
      </c>
      <c r="AB719">
        <v>0.2</v>
      </c>
      <c r="AC719">
        <f t="shared" si="174"/>
        <v>0.2</v>
      </c>
      <c r="AD719">
        <v>18712.22</v>
      </c>
      <c r="AE719">
        <f t="shared" si="175"/>
        <v>18712.224</v>
      </c>
      <c r="AF719">
        <v>11852.22</v>
      </c>
      <c r="AG719">
        <v>6860</v>
      </c>
      <c r="AH719">
        <f t="shared" si="176"/>
        <v>6860.004</v>
      </c>
      <c r="AI719">
        <f t="shared" si="177"/>
        <v>0.36660548740759</v>
      </c>
      <c r="AJ719" t="s">
        <v>177</v>
      </c>
      <c r="AK719" t="str">
        <f t="shared" si="178"/>
        <v>Pending</v>
      </c>
      <c r="AL719" t="s">
        <v>118</v>
      </c>
      <c r="AM719" t="str">
        <f t="shared" si="179"/>
        <v>Cancelled</v>
      </c>
      <c r="AN719">
        <v>10</v>
      </c>
      <c r="AO719">
        <v>2025</v>
      </c>
      <c r="AP719" t="s">
        <v>79</v>
      </c>
    </row>
    <row r="720" spans="1:42">
      <c r="A720" t="s">
        <v>3412</v>
      </c>
      <c r="B720" s="3" t="s">
        <v>3413</v>
      </c>
      <c r="C720" s="3">
        <v>45541</v>
      </c>
      <c r="D720" t="s">
        <v>926</v>
      </c>
      <c r="E720" s="3">
        <v>45544</v>
      </c>
      <c r="F720" t="s">
        <v>3414</v>
      </c>
      <c r="G720" t="s">
        <v>84</v>
      </c>
      <c r="H720" t="str">
        <f t="shared" si="165"/>
        <v>Mira Das</v>
      </c>
      <c r="I720" t="s">
        <v>71</v>
      </c>
      <c r="J720" t="str">
        <f t="shared" si="166"/>
        <v>Consumer</v>
      </c>
      <c r="K720" t="s">
        <v>11</v>
      </c>
      <c r="L720" t="str">
        <f t="shared" si="167"/>
        <v>West</v>
      </c>
      <c r="M720" t="s">
        <v>114</v>
      </c>
      <c r="N720" t="str">
        <f t="shared" si="168"/>
        <v>Maharashtra</v>
      </c>
      <c r="O720" t="s">
        <v>115</v>
      </c>
      <c r="P720" t="str">
        <f t="shared" si="169"/>
        <v>Mumbai</v>
      </c>
      <c r="Q720" t="s">
        <v>22</v>
      </c>
      <c r="R720" t="str">
        <f t="shared" si="170"/>
        <v>Office Supplies</v>
      </c>
      <c r="S720" t="s">
        <v>96</v>
      </c>
      <c r="T720" t="str">
        <f t="shared" si="171"/>
        <v>Art</v>
      </c>
      <c r="U720" t="s">
        <v>3415</v>
      </c>
      <c r="V720" t="str">
        <f t="shared" si="172"/>
        <v>Smart Art 866</v>
      </c>
      <c r="W720" t="s">
        <v>90</v>
      </c>
      <c r="X720" t="str">
        <f t="shared" si="173"/>
        <v>Same Day</v>
      </c>
      <c r="Y720">
        <v>3</v>
      </c>
      <c r="Z720">
        <v>3</v>
      </c>
      <c r="AA720">
        <v>1972.27</v>
      </c>
      <c r="AB720">
        <v>0.2</v>
      </c>
      <c r="AC720">
        <f t="shared" si="174"/>
        <v>0.2</v>
      </c>
      <c r="AD720">
        <v>4733.45</v>
      </c>
      <c r="AE720">
        <f t="shared" si="175"/>
        <v>4733.448</v>
      </c>
      <c r="AF720">
        <v>3672.32</v>
      </c>
      <c r="AG720">
        <v>1061.13</v>
      </c>
      <c r="AH720">
        <f t="shared" si="176"/>
        <v>1061.128</v>
      </c>
      <c r="AI720">
        <f t="shared" si="177"/>
        <v>0.224176541075343</v>
      </c>
      <c r="AJ720" t="s">
        <v>77</v>
      </c>
      <c r="AK720" t="str">
        <f t="shared" si="178"/>
        <v>Paid</v>
      </c>
      <c r="AL720" t="s">
        <v>78</v>
      </c>
      <c r="AM720" t="str">
        <f t="shared" si="179"/>
        <v>Completed</v>
      </c>
      <c r="AN720">
        <v>9</v>
      </c>
      <c r="AO720">
        <v>2024</v>
      </c>
      <c r="AP720" t="s">
        <v>79</v>
      </c>
    </row>
    <row r="721" spans="1:42">
      <c r="A721" t="s">
        <v>3416</v>
      </c>
      <c r="B721" s="3" t="s">
        <v>1778</v>
      </c>
      <c r="C721" s="3">
        <v>45908</v>
      </c>
      <c r="D721" t="s">
        <v>1779</v>
      </c>
      <c r="E721" s="3">
        <v>45909</v>
      </c>
      <c r="F721" t="s">
        <v>226</v>
      </c>
      <c r="G721" t="s">
        <v>411</v>
      </c>
      <c r="H721" t="str">
        <f t="shared" si="165"/>
        <v>Kabir Singh</v>
      </c>
      <c r="I721" t="s">
        <v>147</v>
      </c>
      <c r="J721" t="str">
        <f t="shared" si="166"/>
        <v>Corporate</v>
      </c>
      <c r="K721" t="s">
        <v>11</v>
      </c>
      <c r="L721" t="str">
        <f t="shared" si="167"/>
        <v>West</v>
      </c>
      <c r="M721" t="s">
        <v>278</v>
      </c>
      <c r="N721" t="str">
        <f t="shared" si="168"/>
        <v>Gujarat</v>
      </c>
      <c r="O721" t="s">
        <v>279</v>
      </c>
      <c r="P721" t="str">
        <f t="shared" si="169"/>
        <v>Ahmedabad</v>
      </c>
      <c r="Q721" t="s">
        <v>22</v>
      </c>
      <c r="R721" t="str">
        <f t="shared" si="170"/>
        <v>Office Supplies</v>
      </c>
      <c r="S721" t="s">
        <v>96</v>
      </c>
      <c r="T721" t="str">
        <f t="shared" si="171"/>
        <v>Art</v>
      </c>
      <c r="U721" t="s">
        <v>3417</v>
      </c>
      <c r="V721" t="str">
        <f t="shared" si="172"/>
        <v>Pro Art 447</v>
      </c>
      <c r="W721" t="s">
        <v>90</v>
      </c>
      <c r="X721" t="str">
        <f t="shared" si="173"/>
        <v>Same Day</v>
      </c>
      <c r="Y721">
        <v>1</v>
      </c>
      <c r="Z721">
        <v>2</v>
      </c>
      <c r="AA721">
        <v>2372.41</v>
      </c>
      <c r="AB721">
        <v>0.2</v>
      </c>
      <c r="AC721">
        <f t="shared" si="174"/>
        <v>0.2</v>
      </c>
      <c r="AD721">
        <v>3795.86</v>
      </c>
      <c r="AE721">
        <f t="shared" si="175"/>
        <v>3795.856</v>
      </c>
      <c r="AF721">
        <v>2264.92</v>
      </c>
      <c r="AG721">
        <v>1530.94</v>
      </c>
      <c r="AH721">
        <f t="shared" si="176"/>
        <v>1530.936</v>
      </c>
      <c r="AI721">
        <f t="shared" si="177"/>
        <v>0.403317723327755</v>
      </c>
      <c r="AJ721" t="s">
        <v>77</v>
      </c>
      <c r="AK721" t="str">
        <f t="shared" si="178"/>
        <v>Paid</v>
      </c>
      <c r="AL721" t="s">
        <v>78</v>
      </c>
      <c r="AM721" t="str">
        <f t="shared" si="179"/>
        <v>Completed</v>
      </c>
      <c r="AN721">
        <v>9</v>
      </c>
      <c r="AO721">
        <v>2025</v>
      </c>
      <c r="AP721" t="s">
        <v>79</v>
      </c>
    </row>
    <row r="722" spans="1:42">
      <c r="A722" t="s">
        <v>3418</v>
      </c>
      <c r="B722" s="3" t="s">
        <v>1160</v>
      </c>
      <c r="C722" s="3">
        <v>45489</v>
      </c>
      <c r="D722" t="s">
        <v>3419</v>
      </c>
      <c r="E722" s="3">
        <v>45489</v>
      </c>
      <c r="F722" t="s">
        <v>3420</v>
      </c>
      <c r="G722" t="s">
        <v>146</v>
      </c>
      <c r="H722" t="str">
        <f t="shared" si="165"/>
        <v>Aditi Sen</v>
      </c>
      <c r="I722" t="s">
        <v>154</v>
      </c>
      <c r="J722" t="str">
        <f t="shared" si="166"/>
        <v>Home Office</v>
      </c>
      <c r="K722" t="s">
        <v>11</v>
      </c>
      <c r="L722" t="str">
        <f t="shared" si="167"/>
        <v>West</v>
      </c>
      <c r="M722" t="s">
        <v>124</v>
      </c>
      <c r="N722" t="str">
        <f t="shared" si="168"/>
        <v>Madhya Pradesh</v>
      </c>
      <c r="O722" t="s">
        <v>125</v>
      </c>
      <c r="P722" t="str">
        <f t="shared" si="169"/>
        <v>Indore</v>
      </c>
      <c r="Q722" t="s">
        <v>24</v>
      </c>
      <c r="R722" t="str">
        <f t="shared" si="170"/>
        <v>Technology</v>
      </c>
      <c r="S722" t="s">
        <v>133</v>
      </c>
      <c r="T722" t="str">
        <f t="shared" si="171"/>
        <v>Copiers</v>
      </c>
      <c r="U722" t="s">
        <v>3421</v>
      </c>
      <c r="V722" t="str">
        <f t="shared" si="172"/>
        <v>Smart Copiers 196</v>
      </c>
      <c r="W722" t="s">
        <v>90</v>
      </c>
      <c r="X722" t="str">
        <f t="shared" si="173"/>
        <v>Same Day</v>
      </c>
      <c r="Y722">
        <v>0</v>
      </c>
      <c r="Z722">
        <v>4</v>
      </c>
      <c r="AA722">
        <v>4479.92</v>
      </c>
      <c r="AB722">
        <v>0.15</v>
      </c>
      <c r="AC722">
        <f t="shared" si="174"/>
        <v>0.15</v>
      </c>
      <c r="AD722">
        <v>15231.73</v>
      </c>
      <c r="AE722">
        <f t="shared" si="175"/>
        <v>15231.728</v>
      </c>
      <c r="AF722">
        <v>12451.46</v>
      </c>
      <c r="AG722">
        <v>2780.27</v>
      </c>
      <c r="AH722">
        <f t="shared" si="176"/>
        <v>2780.268</v>
      </c>
      <c r="AI722">
        <f t="shared" si="177"/>
        <v>0.182531358228036</v>
      </c>
      <c r="AJ722" t="s">
        <v>77</v>
      </c>
      <c r="AK722" t="str">
        <f t="shared" si="178"/>
        <v>Paid</v>
      </c>
      <c r="AL722" t="s">
        <v>78</v>
      </c>
      <c r="AM722" t="str">
        <f t="shared" si="179"/>
        <v>Completed</v>
      </c>
      <c r="AN722">
        <v>7</v>
      </c>
      <c r="AO722">
        <v>2024</v>
      </c>
      <c r="AP722" t="s">
        <v>79</v>
      </c>
    </row>
    <row r="723" spans="1:42">
      <c r="A723" t="s">
        <v>3422</v>
      </c>
      <c r="B723" s="3" t="s">
        <v>297</v>
      </c>
      <c r="C723" s="3">
        <v>45827</v>
      </c>
      <c r="D723" t="s">
        <v>3423</v>
      </c>
      <c r="E723" s="3">
        <v>45831</v>
      </c>
      <c r="F723" t="s">
        <v>3424</v>
      </c>
      <c r="G723" t="s">
        <v>208</v>
      </c>
      <c r="H723" t="str">
        <f t="shared" si="165"/>
        <v>Sneha Kapoor</v>
      </c>
      <c r="I723" t="s">
        <v>71</v>
      </c>
      <c r="J723" t="str">
        <f t="shared" si="166"/>
        <v>Consumer</v>
      </c>
      <c r="K723" t="s">
        <v>10</v>
      </c>
      <c r="L723" t="str">
        <f t="shared" si="167"/>
        <v>South</v>
      </c>
      <c r="M723" t="s">
        <v>272</v>
      </c>
      <c r="N723" t="str">
        <f t="shared" si="168"/>
        <v>Karnataka</v>
      </c>
      <c r="O723" t="s">
        <v>273</v>
      </c>
      <c r="P723" t="str">
        <f t="shared" si="169"/>
        <v>Bengaluru</v>
      </c>
      <c r="Q723" t="s">
        <v>24</v>
      </c>
      <c r="R723" t="str">
        <f t="shared" si="170"/>
        <v>Technology</v>
      </c>
      <c r="S723" t="s">
        <v>133</v>
      </c>
      <c r="T723" t="str">
        <f t="shared" si="171"/>
        <v>Copiers</v>
      </c>
      <c r="U723" t="s">
        <v>3425</v>
      </c>
      <c r="V723" t="str">
        <f t="shared" si="172"/>
        <v>Pro Copiers 532</v>
      </c>
      <c r="W723" t="s">
        <v>98</v>
      </c>
      <c r="X723" t="str">
        <f t="shared" si="173"/>
        <v>First Class</v>
      </c>
      <c r="Y723">
        <v>4</v>
      </c>
      <c r="Z723">
        <v>5</v>
      </c>
      <c r="AA723">
        <v>2729.95</v>
      </c>
      <c r="AB723">
        <v>0</v>
      </c>
      <c r="AC723">
        <f t="shared" si="174"/>
        <v>0</v>
      </c>
      <c r="AD723">
        <v>13649.75</v>
      </c>
      <c r="AE723">
        <f t="shared" si="175"/>
        <v>13649.75</v>
      </c>
      <c r="AF723">
        <v>10288.03</v>
      </c>
      <c r="AG723">
        <v>3361.72</v>
      </c>
      <c r="AH723">
        <f t="shared" si="176"/>
        <v>3361.72</v>
      </c>
      <c r="AI723">
        <f t="shared" si="177"/>
        <v>0.246284364182494</v>
      </c>
      <c r="AJ723" t="s">
        <v>77</v>
      </c>
      <c r="AK723" t="str">
        <f t="shared" si="178"/>
        <v>Paid</v>
      </c>
      <c r="AL723" t="s">
        <v>78</v>
      </c>
      <c r="AM723" t="str">
        <f t="shared" si="179"/>
        <v>Completed</v>
      </c>
      <c r="AN723">
        <v>6</v>
      </c>
      <c r="AO723">
        <v>2025</v>
      </c>
      <c r="AP723" t="s">
        <v>79</v>
      </c>
    </row>
    <row r="724" spans="1:42">
      <c r="A724" t="s">
        <v>3426</v>
      </c>
      <c r="B724" s="3" t="s">
        <v>2614</v>
      </c>
      <c r="C724" s="3">
        <v>45572</v>
      </c>
      <c r="D724" t="s">
        <v>3427</v>
      </c>
      <c r="E724" s="3">
        <v>45575</v>
      </c>
      <c r="F724" t="s">
        <v>3428</v>
      </c>
      <c r="G724" t="s">
        <v>123</v>
      </c>
      <c r="H724" t="str">
        <f t="shared" si="165"/>
        <v>Vikram Iyer</v>
      </c>
      <c r="I724" t="s">
        <v>71</v>
      </c>
      <c r="J724" t="str">
        <f t="shared" si="166"/>
        <v>Consumer</v>
      </c>
      <c r="K724" t="s">
        <v>7</v>
      </c>
      <c r="L724" t="str">
        <f t="shared" si="167"/>
        <v>East</v>
      </c>
      <c r="M724" t="s">
        <v>160</v>
      </c>
      <c r="N724" t="str">
        <f t="shared" si="168"/>
        <v>West Bengal</v>
      </c>
      <c r="O724" t="s">
        <v>161</v>
      </c>
      <c r="P724" t="str">
        <f t="shared" si="169"/>
        <v>Kolkata</v>
      </c>
      <c r="Q724" t="s">
        <v>19</v>
      </c>
      <c r="R724" t="str">
        <f t="shared" si="170"/>
        <v>Furniture</v>
      </c>
      <c r="S724" t="s">
        <v>116</v>
      </c>
      <c r="T724" t="str">
        <f t="shared" si="171"/>
        <v>Chairs</v>
      </c>
      <c r="U724" t="s">
        <v>3429</v>
      </c>
      <c r="V724" t="str">
        <f t="shared" si="172"/>
        <v>Eco Chairs 442</v>
      </c>
      <c r="W724" t="s">
        <v>76</v>
      </c>
      <c r="X724" t="str">
        <f t="shared" si="173"/>
        <v>Second Class</v>
      </c>
      <c r="Y724">
        <v>3</v>
      </c>
      <c r="Z724">
        <v>9</v>
      </c>
      <c r="AA724">
        <v>481.51</v>
      </c>
      <c r="AC724">
        <f t="shared" si="174"/>
        <v>0</v>
      </c>
      <c r="AD724">
        <v>4333.59</v>
      </c>
      <c r="AE724">
        <f t="shared" si="175"/>
        <v>4333.59</v>
      </c>
      <c r="AF724">
        <v>2533.59</v>
      </c>
      <c r="AG724">
        <v>1800</v>
      </c>
      <c r="AH724">
        <f t="shared" si="176"/>
        <v>1800</v>
      </c>
      <c r="AI724">
        <f t="shared" si="177"/>
        <v>0.41536001329152</v>
      </c>
      <c r="AJ724" t="s">
        <v>163</v>
      </c>
      <c r="AK724" t="str">
        <f t="shared" si="178"/>
        <v>Refunded</v>
      </c>
      <c r="AL724" t="s">
        <v>118</v>
      </c>
      <c r="AM724" t="str">
        <f t="shared" si="179"/>
        <v>Cancelled</v>
      </c>
      <c r="AN724">
        <v>10</v>
      </c>
      <c r="AO724">
        <v>2024</v>
      </c>
      <c r="AP724" t="s">
        <v>222</v>
      </c>
    </row>
    <row r="725" spans="1:42">
      <c r="A725" t="s">
        <v>3430</v>
      </c>
      <c r="B725" s="3" t="s">
        <v>937</v>
      </c>
      <c r="C725" s="3">
        <v>45936</v>
      </c>
      <c r="D725" t="s">
        <v>3431</v>
      </c>
      <c r="E725" s="3">
        <v>45943</v>
      </c>
      <c r="F725" t="s">
        <v>3432</v>
      </c>
      <c r="G725" t="s">
        <v>411</v>
      </c>
      <c r="H725" t="str">
        <f t="shared" si="165"/>
        <v>Kabir Singh</v>
      </c>
      <c r="I725" t="s">
        <v>154</v>
      </c>
      <c r="J725" t="str">
        <f t="shared" si="166"/>
        <v>Home Office</v>
      </c>
      <c r="K725" t="s">
        <v>7</v>
      </c>
      <c r="L725" t="str">
        <f t="shared" si="167"/>
        <v>East</v>
      </c>
      <c r="M725" t="s">
        <v>354</v>
      </c>
      <c r="N725" t="str">
        <f t="shared" si="168"/>
        <v>Jharkhand</v>
      </c>
      <c r="O725" t="s">
        <v>355</v>
      </c>
      <c r="P725" t="str">
        <f t="shared" si="169"/>
        <v>Ranchi</v>
      </c>
      <c r="Q725" t="s">
        <v>24</v>
      </c>
      <c r="R725" t="str">
        <f t="shared" si="170"/>
        <v>Technology</v>
      </c>
      <c r="S725" t="s">
        <v>126</v>
      </c>
      <c r="T725" t="str">
        <f t="shared" si="171"/>
        <v>Accessories</v>
      </c>
      <c r="U725" t="s">
        <v>3433</v>
      </c>
      <c r="V725" t="str">
        <f t="shared" si="172"/>
        <v>Eco Accessories 364</v>
      </c>
      <c r="W725" t="s">
        <v>108</v>
      </c>
      <c r="X725" t="str">
        <f t="shared" si="173"/>
        <v>Standard Class</v>
      </c>
      <c r="Y725">
        <v>7</v>
      </c>
      <c r="Z725">
        <v>6</v>
      </c>
      <c r="AA725">
        <v>2391.93</v>
      </c>
      <c r="AB725">
        <v>0.05</v>
      </c>
      <c r="AC725">
        <f t="shared" si="174"/>
        <v>0.05</v>
      </c>
      <c r="AD725">
        <v>13634</v>
      </c>
      <c r="AE725">
        <f t="shared" si="175"/>
        <v>13634.001</v>
      </c>
      <c r="AF725">
        <v>9589.81</v>
      </c>
      <c r="AG725">
        <v>4044.19</v>
      </c>
      <c r="AH725">
        <f t="shared" si="176"/>
        <v>4044.191</v>
      </c>
      <c r="AI725">
        <f t="shared" si="177"/>
        <v>0.296625399983468</v>
      </c>
      <c r="AJ725" t="s">
        <v>241</v>
      </c>
      <c r="AK725" t="str">
        <f t="shared" si="178"/>
        <v>Failed</v>
      </c>
      <c r="AL725" t="s">
        <v>164</v>
      </c>
      <c r="AM725" t="str">
        <f t="shared" si="179"/>
        <v>Returned</v>
      </c>
      <c r="AN725">
        <v>10</v>
      </c>
      <c r="AO725">
        <v>2025</v>
      </c>
      <c r="AP725" t="s">
        <v>79</v>
      </c>
    </row>
    <row r="726" spans="1:42">
      <c r="A726" t="s">
        <v>3434</v>
      </c>
      <c r="B726" s="3" t="s">
        <v>3435</v>
      </c>
      <c r="C726" s="3">
        <v>45332</v>
      </c>
      <c r="D726" t="s">
        <v>1665</v>
      </c>
      <c r="E726" s="3">
        <v>45338</v>
      </c>
      <c r="F726" t="s">
        <v>3436</v>
      </c>
      <c r="G726" t="s">
        <v>70</v>
      </c>
      <c r="H726" t="str">
        <f t="shared" si="165"/>
        <v>Karan Malhotra</v>
      </c>
      <c r="I726" t="s">
        <v>71</v>
      </c>
      <c r="J726" t="str">
        <f t="shared" si="166"/>
        <v>Consumer</v>
      </c>
      <c r="K726" t="s">
        <v>11</v>
      </c>
      <c r="L726" t="str">
        <f t="shared" si="167"/>
        <v>West</v>
      </c>
      <c r="M726" t="s">
        <v>292</v>
      </c>
      <c r="N726" t="str">
        <f t="shared" si="168"/>
        <v>Goa</v>
      </c>
      <c r="O726" t="s">
        <v>293</v>
      </c>
      <c r="P726" t="str">
        <f t="shared" si="169"/>
        <v>Panaji</v>
      </c>
      <c r="Q726" t="s">
        <v>19</v>
      </c>
      <c r="R726" t="str">
        <f t="shared" si="170"/>
        <v>Furniture</v>
      </c>
      <c r="S726" t="s">
        <v>106</v>
      </c>
      <c r="T726" t="str">
        <f t="shared" si="171"/>
        <v>Furnishings</v>
      </c>
      <c r="U726" t="s">
        <v>3437</v>
      </c>
      <c r="V726" t="str">
        <f t="shared" si="172"/>
        <v>Elite Furnishings 921</v>
      </c>
      <c r="W726" t="s">
        <v>76</v>
      </c>
      <c r="X726" t="str">
        <f t="shared" si="173"/>
        <v>Second Class</v>
      </c>
      <c r="Y726">
        <v>6</v>
      </c>
      <c r="Z726">
        <v>3</v>
      </c>
      <c r="AA726">
        <v>253.43</v>
      </c>
      <c r="AB726">
        <v>0</v>
      </c>
      <c r="AC726">
        <f t="shared" si="174"/>
        <v>0</v>
      </c>
      <c r="AD726">
        <v>760.29</v>
      </c>
      <c r="AE726">
        <f t="shared" si="175"/>
        <v>760.29</v>
      </c>
      <c r="AF726">
        <v>497.77</v>
      </c>
      <c r="AG726">
        <v>262.52</v>
      </c>
      <c r="AH726">
        <f t="shared" si="176"/>
        <v>262.52</v>
      </c>
      <c r="AI726">
        <f t="shared" si="177"/>
        <v>0.345289297504899</v>
      </c>
      <c r="AJ726" t="s">
        <v>77</v>
      </c>
      <c r="AK726" t="str">
        <f t="shared" si="178"/>
        <v>Paid</v>
      </c>
      <c r="AL726" t="s">
        <v>78</v>
      </c>
      <c r="AM726" t="str">
        <f t="shared" si="179"/>
        <v>Completed</v>
      </c>
      <c r="AN726">
        <v>2</v>
      </c>
      <c r="AO726">
        <v>2024</v>
      </c>
      <c r="AP726" t="s">
        <v>79</v>
      </c>
    </row>
    <row r="727" spans="1:42">
      <c r="A727" t="s">
        <v>3438</v>
      </c>
      <c r="B727" s="3" t="s">
        <v>3439</v>
      </c>
      <c r="C727" s="3">
        <v>45935</v>
      </c>
      <c r="D727" t="s">
        <v>179</v>
      </c>
      <c r="E727" s="3">
        <v>45942</v>
      </c>
      <c r="F727" t="s">
        <v>3440</v>
      </c>
      <c r="G727" t="s">
        <v>182</v>
      </c>
      <c r="H727" t="str">
        <f t="shared" si="165"/>
        <v>Priya Menon</v>
      </c>
      <c r="I727" t="s">
        <v>147</v>
      </c>
      <c r="J727" t="str">
        <f t="shared" si="166"/>
        <v>Corporate</v>
      </c>
      <c r="K727" t="s">
        <v>10</v>
      </c>
      <c r="L727" t="str">
        <f t="shared" si="167"/>
        <v>South</v>
      </c>
      <c r="M727" t="s">
        <v>272</v>
      </c>
      <c r="N727" t="str">
        <f t="shared" si="168"/>
        <v>Karnataka</v>
      </c>
      <c r="O727" t="s">
        <v>273</v>
      </c>
      <c r="P727" t="str">
        <f t="shared" si="169"/>
        <v>Bengaluru</v>
      </c>
      <c r="Q727" t="s">
        <v>19</v>
      </c>
      <c r="R727" t="str">
        <f t="shared" si="170"/>
        <v>Furniture</v>
      </c>
      <c r="S727" t="s">
        <v>88</v>
      </c>
      <c r="T727" t="str">
        <f t="shared" si="171"/>
        <v>Tables</v>
      </c>
      <c r="U727" t="s">
        <v>3441</v>
      </c>
      <c r="V727" t="str">
        <f t="shared" si="172"/>
        <v>Max Tables 309</v>
      </c>
      <c r="W727" t="s">
        <v>76</v>
      </c>
      <c r="X727" t="str">
        <f t="shared" si="173"/>
        <v>Second Class</v>
      </c>
      <c r="Y727">
        <v>7</v>
      </c>
      <c r="Z727">
        <v>7</v>
      </c>
      <c r="AA727">
        <v>2134.73</v>
      </c>
      <c r="AB727">
        <v>0</v>
      </c>
      <c r="AC727">
        <f t="shared" si="174"/>
        <v>0</v>
      </c>
      <c r="AD727">
        <v>14943.11</v>
      </c>
      <c r="AE727">
        <f t="shared" si="175"/>
        <v>14943.11</v>
      </c>
      <c r="AF727">
        <v>8521.5</v>
      </c>
      <c r="AG727">
        <v>6421.61</v>
      </c>
      <c r="AH727">
        <f t="shared" si="176"/>
        <v>6421.61</v>
      </c>
      <c r="AI727">
        <f t="shared" si="177"/>
        <v>0.429737183223573</v>
      </c>
      <c r="AJ727" t="s">
        <v>77</v>
      </c>
      <c r="AK727" t="str">
        <f t="shared" si="178"/>
        <v>Paid</v>
      </c>
      <c r="AL727" t="s">
        <v>78</v>
      </c>
      <c r="AM727" t="str">
        <f t="shared" si="179"/>
        <v>Completed</v>
      </c>
      <c r="AN727">
        <v>10</v>
      </c>
      <c r="AO727">
        <v>2025</v>
      </c>
      <c r="AP727" t="s">
        <v>79</v>
      </c>
    </row>
    <row r="728" spans="1:42">
      <c r="A728" t="s">
        <v>3442</v>
      </c>
      <c r="B728" s="3" t="s">
        <v>3443</v>
      </c>
      <c r="C728" s="3">
        <v>45308</v>
      </c>
      <c r="D728" t="s">
        <v>3444</v>
      </c>
      <c r="E728" s="3">
        <v>45314</v>
      </c>
      <c r="F728" t="s">
        <v>3445</v>
      </c>
      <c r="G728" t="s">
        <v>411</v>
      </c>
      <c r="H728" t="str">
        <f t="shared" si="165"/>
        <v>Kabir Singh</v>
      </c>
      <c r="I728" t="s">
        <v>154</v>
      </c>
      <c r="J728" t="str">
        <f t="shared" si="166"/>
        <v>Home Office</v>
      </c>
      <c r="K728" t="s">
        <v>11</v>
      </c>
      <c r="L728" t="str">
        <f t="shared" si="167"/>
        <v>West</v>
      </c>
      <c r="M728" t="s">
        <v>278</v>
      </c>
      <c r="N728" t="str">
        <f t="shared" si="168"/>
        <v>Gujarat</v>
      </c>
      <c r="O728" t="s">
        <v>279</v>
      </c>
      <c r="P728" t="str">
        <f t="shared" si="169"/>
        <v>Ahmedabad</v>
      </c>
      <c r="Q728" t="s">
        <v>24</v>
      </c>
      <c r="R728" t="str">
        <f t="shared" si="170"/>
        <v>Technology</v>
      </c>
      <c r="S728" t="s">
        <v>265</v>
      </c>
      <c r="T728" t="str">
        <f t="shared" si="171"/>
        <v>Phones</v>
      </c>
      <c r="U728" t="s">
        <v>3446</v>
      </c>
      <c r="V728" t="str">
        <f t="shared" si="172"/>
        <v>Pro Phones 857</v>
      </c>
      <c r="W728" t="s">
        <v>108</v>
      </c>
      <c r="X728" t="str">
        <f t="shared" si="173"/>
        <v>Standard Class</v>
      </c>
      <c r="Y728">
        <v>6</v>
      </c>
      <c r="Z728">
        <v>5</v>
      </c>
      <c r="AA728">
        <v>2018</v>
      </c>
      <c r="AB728">
        <v>0.2</v>
      </c>
      <c r="AC728">
        <f t="shared" si="174"/>
        <v>0.2</v>
      </c>
      <c r="AD728">
        <v>8072</v>
      </c>
      <c r="AE728">
        <f t="shared" si="175"/>
        <v>8072</v>
      </c>
      <c r="AF728">
        <v>5379.22</v>
      </c>
      <c r="AG728">
        <v>2692.78</v>
      </c>
      <c r="AH728">
        <f t="shared" si="176"/>
        <v>2692.78</v>
      </c>
      <c r="AI728">
        <f t="shared" si="177"/>
        <v>0.33359514370664</v>
      </c>
      <c r="AJ728" t="s">
        <v>177</v>
      </c>
      <c r="AK728" t="str">
        <f t="shared" si="178"/>
        <v>Pending</v>
      </c>
      <c r="AL728" t="s">
        <v>164</v>
      </c>
      <c r="AM728" t="str">
        <f t="shared" si="179"/>
        <v>Returned</v>
      </c>
      <c r="AN728">
        <v>1</v>
      </c>
      <c r="AO728">
        <v>2024</v>
      </c>
      <c r="AP728" t="s">
        <v>79</v>
      </c>
    </row>
    <row r="729" spans="1:42">
      <c r="A729" t="s">
        <v>3447</v>
      </c>
      <c r="B729" s="3" t="s">
        <v>3448</v>
      </c>
      <c r="C729" s="3">
        <v>45578</v>
      </c>
      <c r="D729" t="s">
        <v>3448</v>
      </c>
      <c r="E729" s="3">
        <v>45578</v>
      </c>
      <c r="F729" t="s">
        <v>3449</v>
      </c>
      <c r="G729" t="s">
        <v>202</v>
      </c>
      <c r="H729" t="str">
        <f t="shared" si="165"/>
        <v>Aarav Sharma</v>
      </c>
      <c r="I729" t="s">
        <v>85</v>
      </c>
      <c r="J729" t="str">
        <f t="shared" si="166"/>
        <v>Small Business</v>
      </c>
      <c r="K729" t="s">
        <v>7</v>
      </c>
      <c r="L729" t="str">
        <f t="shared" si="167"/>
        <v>East</v>
      </c>
      <c r="M729" t="s">
        <v>258</v>
      </c>
      <c r="N729" t="str">
        <f t="shared" si="168"/>
        <v>Assam</v>
      </c>
      <c r="O729" t="s">
        <v>259</v>
      </c>
      <c r="P729" t="str">
        <f t="shared" si="169"/>
        <v>Guwahati</v>
      </c>
      <c r="Q729" t="s">
        <v>24</v>
      </c>
      <c r="R729" t="str">
        <f t="shared" si="170"/>
        <v>Technology</v>
      </c>
      <c r="S729" t="s">
        <v>126</v>
      </c>
      <c r="T729" t="str">
        <f t="shared" si="171"/>
        <v>Accessories</v>
      </c>
      <c r="U729" t="s">
        <v>3450</v>
      </c>
      <c r="V729" t="str">
        <f t="shared" si="172"/>
        <v>Max Accessories 567</v>
      </c>
      <c r="W729" t="s">
        <v>76</v>
      </c>
      <c r="X729" t="str">
        <f t="shared" si="173"/>
        <v>Second Class</v>
      </c>
      <c r="Y729">
        <v>0</v>
      </c>
      <c r="Z729">
        <v>8</v>
      </c>
      <c r="AA729">
        <v>3730.66</v>
      </c>
      <c r="AB729">
        <v>0.05</v>
      </c>
      <c r="AC729">
        <f t="shared" si="174"/>
        <v>0.05</v>
      </c>
      <c r="AD729">
        <v>28353.02</v>
      </c>
      <c r="AE729">
        <f t="shared" si="175"/>
        <v>28353.016</v>
      </c>
      <c r="AF729">
        <v>19257.85</v>
      </c>
      <c r="AG729">
        <v>9095.17</v>
      </c>
      <c r="AH729">
        <f t="shared" si="176"/>
        <v>9095.166</v>
      </c>
      <c r="AI729">
        <f t="shared" si="177"/>
        <v>0.320783016522828</v>
      </c>
      <c r="AJ729" t="s">
        <v>77</v>
      </c>
      <c r="AK729" t="str">
        <f t="shared" si="178"/>
        <v>Paid</v>
      </c>
      <c r="AL729" t="s">
        <v>78</v>
      </c>
      <c r="AM729" t="str">
        <f t="shared" si="179"/>
        <v>Completed</v>
      </c>
      <c r="AN729">
        <v>10</v>
      </c>
      <c r="AO729">
        <v>2024</v>
      </c>
      <c r="AP729" t="s">
        <v>79</v>
      </c>
    </row>
    <row r="730" spans="1:42">
      <c r="A730" t="s">
        <v>3451</v>
      </c>
      <c r="B730" s="3" t="s">
        <v>3111</v>
      </c>
      <c r="C730" s="3">
        <v>45295</v>
      </c>
      <c r="D730" t="s">
        <v>1816</v>
      </c>
      <c r="E730" s="3">
        <v>45298</v>
      </c>
      <c r="F730" t="s">
        <v>3452</v>
      </c>
      <c r="G730" t="s">
        <v>208</v>
      </c>
      <c r="H730" t="str">
        <f t="shared" si="165"/>
        <v>Sneha Kapoor</v>
      </c>
      <c r="I730" t="s">
        <v>85</v>
      </c>
      <c r="J730" t="str">
        <f t="shared" si="166"/>
        <v>Small Business</v>
      </c>
      <c r="K730" t="s">
        <v>10</v>
      </c>
      <c r="L730" t="str">
        <f t="shared" si="167"/>
        <v>South</v>
      </c>
      <c r="M730" t="s">
        <v>272</v>
      </c>
      <c r="N730" t="str">
        <f t="shared" si="168"/>
        <v>Karnataka</v>
      </c>
      <c r="O730" t="s">
        <v>273</v>
      </c>
      <c r="P730" t="str">
        <f t="shared" si="169"/>
        <v>Bengaluru</v>
      </c>
      <c r="Q730" t="s">
        <v>24</v>
      </c>
      <c r="R730" t="str">
        <f t="shared" si="170"/>
        <v>Technology</v>
      </c>
      <c r="S730" t="s">
        <v>427</v>
      </c>
      <c r="T730" t="str">
        <f t="shared" si="171"/>
        <v>Machines</v>
      </c>
      <c r="U730" t="s">
        <v>3453</v>
      </c>
      <c r="V730" t="str">
        <f t="shared" si="172"/>
        <v>Max Machines 200</v>
      </c>
      <c r="W730" t="s">
        <v>98</v>
      </c>
      <c r="X730" t="str">
        <f t="shared" si="173"/>
        <v>First Class</v>
      </c>
      <c r="Y730">
        <v>3</v>
      </c>
      <c r="Z730">
        <v>1</v>
      </c>
      <c r="AA730">
        <v>2363.02</v>
      </c>
      <c r="AB730">
        <v>0.15</v>
      </c>
      <c r="AC730">
        <f t="shared" si="174"/>
        <v>0.15</v>
      </c>
      <c r="AD730">
        <v>2008.57</v>
      </c>
      <c r="AE730">
        <f t="shared" si="175"/>
        <v>2008.567</v>
      </c>
      <c r="AF730">
        <v>1194.83</v>
      </c>
      <c r="AG730">
        <v>813.74</v>
      </c>
      <c r="AH730">
        <f t="shared" si="176"/>
        <v>813.737</v>
      </c>
      <c r="AI730">
        <f t="shared" si="177"/>
        <v>0.405133112313406</v>
      </c>
      <c r="AJ730" t="s">
        <v>77</v>
      </c>
      <c r="AK730" t="str">
        <f t="shared" si="178"/>
        <v>Paid</v>
      </c>
      <c r="AL730" t="s">
        <v>78</v>
      </c>
      <c r="AM730" t="str">
        <f t="shared" si="179"/>
        <v>Completed</v>
      </c>
      <c r="AN730">
        <v>1</v>
      </c>
      <c r="AO730">
        <v>2024</v>
      </c>
      <c r="AP730" t="s">
        <v>79</v>
      </c>
    </row>
    <row r="731" spans="1:42">
      <c r="A731" t="s">
        <v>3454</v>
      </c>
      <c r="B731" s="3" t="s">
        <v>3455</v>
      </c>
      <c r="C731" s="3">
        <v>45794</v>
      </c>
      <c r="D731" t="s">
        <v>3456</v>
      </c>
      <c r="E731" s="3">
        <v>45802</v>
      </c>
      <c r="F731" t="s">
        <v>3457</v>
      </c>
      <c r="G731" t="s">
        <v>113</v>
      </c>
      <c r="H731" t="str">
        <f t="shared" si="165"/>
        <v>Ananya Rao</v>
      </c>
      <c r="I731" t="s">
        <v>147</v>
      </c>
      <c r="J731" t="str">
        <f t="shared" si="166"/>
        <v>Corporate</v>
      </c>
      <c r="K731" t="s">
        <v>10</v>
      </c>
      <c r="L731" t="str">
        <f t="shared" si="167"/>
        <v>South</v>
      </c>
      <c r="M731" t="s">
        <v>382</v>
      </c>
      <c r="N731" t="str">
        <f t="shared" si="168"/>
        <v>Tamil Nadu</v>
      </c>
      <c r="O731" t="s">
        <v>383</v>
      </c>
      <c r="P731" t="str">
        <f t="shared" si="169"/>
        <v>Chennai</v>
      </c>
      <c r="Q731" t="s">
        <v>24</v>
      </c>
      <c r="R731" t="str">
        <f t="shared" si="170"/>
        <v>Technology</v>
      </c>
      <c r="S731" t="s">
        <v>427</v>
      </c>
      <c r="T731" t="str">
        <f t="shared" si="171"/>
        <v>Machines</v>
      </c>
      <c r="U731" t="s">
        <v>3458</v>
      </c>
      <c r="V731" t="str">
        <f t="shared" si="172"/>
        <v>Pro Machines 563</v>
      </c>
      <c r="W731" t="s">
        <v>90</v>
      </c>
      <c r="X731" t="str">
        <f t="shared" si="173"/>
        <v>Same Day</v>
      </c>
      <c r="Y731">
        <v>8</v>
      </c>
      <c r="Z731">
        <v>6</v>
      </c>
      <c r="AA731">
        <v>1810.63</v>
      </c>
      <c r="AB731">
        <v>0.15</v>
      </c>
      <c r="AC731">
        <f t="shared" si="174"/>
        <v>0.15</v>
      </c>
      <c r="AD731">
        <v>9234.21</v>
      </c>
      <c r="AE731">
        <f t="shared" si="175"/>
        <v>9234.213</v>
      </c>
      <c r="AF731">
        <v>5516.52</v>
      </c>
      <c r="AG731">
        <v>3717.69</v>
      </c>
      <c r="AH731">
        <f t="shared" si="176"/>
        <v>3717.693</v>
      </c>
      <c r="AI731">
        <f t="shared" si="177"/>
        <v>0.402599875051615</v>
      </c>
      <c r="AJ731" t="s">
        <v>77</v>
      </c>
      <c r="AK731" t="str">
        <f t="shared" si="178"/>
        <v>Paid</v>
      </c>
      <c r="AL731" t="s">
        <v>78</v>
      </c>
      <c r="AM731" t="str">
        <f t="shared" si="179"/>
        <v>Completed</v>
      </c>
      <c r="AN731">
        <v>5</v>
      </c>
      <c r="AO731">
        <v>2025</v>
      </c>
      <c r="AP731" t="s">
        <v>79</v>
      </c>
    </row>
    <row r="732" spans="1:42">
      <c r="A732" t="s">
        <v>3459</v>
      </c>
      <c r="B732" s="3" t="s">
        <v>3460</v>
      </c>
      <c r="C732" s="3">
        <v>45827</v>
      </c>
      <c r="D732" t="s">
        <v>3371</v>
      </c>
      <c r="E732" s="3">
        <v>45832</v>
      </c>
      <c r="F732" t="s">
        <v>3461</v>
      </c>
      <c r="G732" t="s">
        <v>103</v>
      </c>
      <c r="H732" t="str">
        <f t="shared" si="165"/>
        <v>Arjun Bose</v>
      </c>
      <c r="I732" t="s">
        <v>71</v>
      </c>
      <c r="J732" t="str">
        <f t="shared" si="166"/>
        <v>Consumer</v>
      </c>
      <c r="K732" t="s">
        <v>7</v>
      </c>
      <c r="L732" t="str">
        <f t="shared" si="167"/>
        <v>East</v>
      </c>
      <c r="M732" t="s">
        <v>160</v>
      </c>
      <c r="N732" t="str">
        <f t="shared" si="168"/>
        <v>West Bengal</v>
      </c>
      <c r="O732" t="s">
        <v>161</v>
      </c>
      <c r="P732" t="str">
        <f t="shared" si="169"/>
        <v>Kolkata</v>
      </c>
      <c r="Q732" t="s">
        <v>22</v>
      </c>
      <c r="R732" t="str">
        <f t="shared" si="170"/>
        <v>Office Supplies</v>
      </c>
      <c r="S732" t="s">
        <v>96</v>
      </c>
      <c r="T732" t="str">
        <f t="shared" si="171"/>
        <v>Art</v>
      </c>
      <c r="U732" t="s">
        <v>3462</v>
      </c>
      <c r="V732" t="str">
        <f t="shared" si="172"/>
        <v>Elite Art 696</v>
      </c>
      <c r="W732" t="s">
        <v>76</v>
      </c>
      <c r="X732" t="str">
        <f t="shared" si="173"/>
        <v>Second Class</v>
      </c>
      <c r="Y732">
        <v>5</v>
      </c>
      <c r="Z732">
        <v>4</v>
      </c>
      <c r="AA732">
        <v>782.01</v>
      </c>
      <c r="AB732">
        <v>0.15</v>
      </c>
      <c r="AC732">
        <f t="shared" si="174"/>
        <v>0.15</v>
      </c>
      <c r="AD732">
        <v>2658.83</v>
      </c>
      <c r="AE732">
        <f t="shared" si="175"/>
        <v>2658.834</v>
      </c>
      <c r="AF732">
        <v>2226.97</v>
      </c>
      <c r="AG732">
        <v>431.86</v>
      </c>
      <c r="AH732">
        <f t="shared" si="176"/>
        <v>431.864</v>
      </c>
      <c r="AI732">
        <f t="shared" si="177"/>
        <v>0.162426086021166</v>
      </c>
      <c r="AJ732" t="s">
        <v>163</v>
      </c>
      <c r="AK732" t="str">
        <f t="shared" si="178"/>
        <v>Refunded</v>
      </c>
      <c r="AL732" t="s">
        <v>164</v>
      </c>
      <c r="AM732" t="str">
        <f t="shared" si="179"/>
        <v>Returned</v>
      </c>
      <c r="AN732">
        <v>6</v>
      </c>
      <c r="AO732">
        <v>2025</v>
      </c>
      <c r="AP732" t="s">
        <v>79</v>
      </c>
    </row>
    <row r="733" spans="1:42">
      <c r="A733" t="s">
        <v>3463</v>
      </c>
      <c r="B733" s="3" t="s">
        <v>3464</v>
      </c>
      <c r="C733" s="3">
        <v>45368</v>
      </c>
      <c r="D733" t="s">
        <v>3465</v>
      </c>
      <c r="E733" s="3">
        <v>45370</v>
      </c>
      <c r="F733" t="s">
        <v>3466</v>
      </c>
      <c r="G733" t="s">
        <v>113</v>
      </c>
      <c r="H733" t="str">
        <f t="shared" si="165"/>
        <v>Ananya Rao</v>
      </c>
      <c r="I733" t="s">
        <v>147</v>
      </c>
      <c r="J733" t="str">
        <f t="shared" si="166"/>
        <v>Corporate</v>
      </c>
      <c r="K733" t="s">
        <v>7</v>
      </c>
      <c r="L733" t="str">
        <f t="shared" si="167"/>
        <v>East</v>
      </c>
      <c r="M733" t="s">
        <v>86</v>
      </c>
      <c r="N733" t="str">
        <f t="shared" si="168"/>
        <v>Odisha</v>
      </c>
      <c r="O733" t="s">
        <v>87</v>
      </c>
      <c r="P733" t="str">
        <f t="shared" si="169"/>
        <v>Bhubaneswar</v>
      </c>
      <c r="Q733" t="s">
        <v>22</v>
      </c>
      <c r="R733" t="str">
        <f t="shared" si="170"/>
        <v>Office Supplies</v>
      </c>
      <c r="S733" t="s">
        <v>239</v>
      </c>
      <c r="T733" t="str">
        <f t="shared" si="171"/>
        <v>Binders</v>
      </c>
      <c r="U733" t="s">
        <v>3467</v>
      </c>
      <c r="V733" t="str">
        <f t="shared" si="172"/>
        <v>Eco Binders 178</v>
      </c>
      <c r="W733" t="s">
        <v>98</v>
      </c>
      <c r="X733" t="str">
        <f t="shared" si="173"/>
        <v>First Class</v>
      </c>
      <c r="Y733">
        <v>2</v>
      </c>
      <c r="Z733">
        <v>4</v>
      </c>
      <c r="AA733">
        <v>4376.68</v>
      </c>
      <c r="AB733">
        <v>0.1</v>
      </c>
      <c r="AC733">
        <f t="shared" si="174"/>
        <v>0.1</v>
      </c>
      <c r="AD733">
        <v>15756.05</v>
      </c>
      <c r="AE733">
        <f t="shared" si="175"/>
        <v>15756.048</v>
      </c>
      <c r="AF733">
        <v>10245.44</v>
      </c>
      <c r="AG733">
        <v>5510.61</v>
      </c>
      <c r="AH733">
        <f t="shared" si="176"/>
        <v>5510.608</v>
      </c>
      <c r="AI733">
        <f t="shared" si="177"/>
        <v>0.349745570716718</v>
      </c>
      <c r="AJ733" t="s">
        <v>77</v>
      </c>
      <c r="AK733" t="str">
        <f t="shared" si="178"/>
        <v>Paid</v>
      </c>
      <c r="AL733" t="s">
        <v>78</v>
      </c>
      <c r="AM733" t="str">
        <f t="shared" si="179"/>
        <v>Completed</v>
      </c>
      <c r="AN733">
        <v>3</v>
      </c>
      <c r="AO733">
        <v>2024</v>
      </c>
      <c r="AP733" t="s">
        <v>79</v>
      </c>
    </row>
    <row r="734" spans="1:42">
      <c r="A734" t="s">
        <v>3468</v>
      </c>
      <c r="B734" s="3" t="s">
        <v>3469</v>
      </c>
      <c r="C734" s="3">
        <v>45624</v>
      </c>
      <c r="D734" t="s">
        <v>2879</v>
      </c>
      <c r="E734" s="3">
        <v>45632</v>
      </c>
      <c r="F734" t="s">
        <v>3470</v>
      </c>
      <c r="G734" t="s">
        <v>103</v>
      </c>
      <c r="H734" t="str">
        <f t="shared" si="165"/>
        <v>Arjun Bose</v>
      </c>
      <c r="I734" t="s">
        <v>85</v>
      </c>
      <c r="J734" t="str">
        <f t="shared" si="166"/>
        <v>Small Business</v>
      </c>
      <c r="K734" t="s">
        <v>8</v>
      </c>
      <c r="L734" t="str">
        <f t="shared" si="167"/>
        <v>North</v>
      </c>
      <c r="M734" t="s">
        <v>194</v>
      </c>
      <c r="N734" t="str">
        <f t="shared" si="168"/>
        <v>Punjab</v>
      </c>
      <c r="O734" t="s">
        <v>195</v>
      </c>
      <c r="P734" t="str">
        <f t="shared" si="169"/>
        <v>Ludhiana</v>
      </c>
      <c r="Q734" t="s">
        <v>24</v>
      </c>
      <c r="R734" t="str">
        <f t="shared" si="170"/>
        <v>Technology</v>
      </c>
      <c r="S734" t="s">
        <v>265</v>
      </c>
      <c r="T734" t="str">
        <f t="shared" si="171"/>
        <v>Phones</v>
      </c>
      <c r="U734" t="s">
        <v>3471</v>
      </c>
      <c r="V734" t="str">
        <f t="shared" si="172"/>
        <v>Max Phones 678</v>
      </c>
      <c r="W734" t="s">
        <v>108</v>
      </c>
      <c r="X734" t="str">
        <f t="shared" si="173"/>
        <v>Standard Class</v>
      </c>
      <c r="Y734">
        <v>8</v>
      </c>
      <c r="Z734">
        <v>6</v>
      </c>
      <c r="AA734">
        <v>2464.63</v>
      </c>
      <c r="AB734">
        <v>0</v>
      </c>
      <c r="AC734">
        <f t="shared" si="174"/>
        <v>0</v>
      </c>
      <c r="AD734">
        <v>14787.78</v>
      </c>
      <c r="AE734">
        <f t="shared" si="175"/>
        <v>14787.78</v>
      </c>
      <c r="AF734">
        <v>8596.65</v>
      </c>
      <c r="AG734">
        <v>6191.13</v>
      </c>
      <c r="AH734">
        <f t="shared" si="176"/>
        <v>6191.13</v>
      </c>
      <c r="AI734">
        <f t="shared" si="177"/>
        <v>0.41866527632951</v>
      </c>
      <c r="AJ734" t="s">
        <v>77</v>
      </c>
      <c r="AK734" t="str">
        <f t="shared" si="178"/>
        <v>Paid</v>
      </c>
      <c r="AL734" t="s">
        <v>78</v>
      </c>
      <c r="AM734" t="str">
        <f t="shared" si="179"/>
        <v>Completed</v>
      </c>
      <c r="AN734">
        <v>11</v>
      </c>
      <c r="AO734">
        <v>2024</v>
      </c>
      <c r="AP734" t="s">
        <v>79</v>
      </c>
    </row>
    <row r="735" spans="1:42">
      <c r="A735" t="s">
        <v>3472</v>
      </c>
      <c r="B735" s="3" t="s">
        <v>1886</v>
      </c>
      <c r="C735" s="3">
        <v>45464</v>
      </c>
      <c r="D735" t="s">
        <v>3473</v>
      </c>
      <c r="E735" s="3">
        <v>45471</v>
      </c>
      <c r="F735" t="s">
        <v>3474</v>
      </c>
      <c r="G735" t="s">
        <v>202</v>
      </c>
      <c r="H735" t="str">
        <f t="shared" si="165"/>
        <v>Aarav Sharma</v>
      </c>
      <c r="I735" t="s">
        <v>154</v>
      </c>
      <c r="J735" t="str">
        <f t="shared" si="166"/>
        <v>Home Office</v>
      </c>
      <c r="K735" t="s">
        <v>8</v>
      </c>
      <c r="L735" t="str">
        <f t="shared" si="167"/>
        <v>North</v>
      </c>
      <c r="M735" t="s">
        <v>72</v>
      </c>
      <c r="N735" t="str">
        <f t="shared" si="168"/>
        <v>Rajasthan</v>
      </c>
      <c r="O735" t="s">
        <v>73</v>
      </c>
      <c r="P735" t="str">
        <f t="shared" si="169"/>
        <v>Jaipur</v>
      </c>
      <c r="Q735" t="s">
        <v>19</v>
      </c>
      <c r="R735" t="str">
        <f t="shared" si="170"/>
        <v>Furniture</v>
      </c>
      <c r="S735" t="s">
        <v>106</v>
      </c>
      <c r="T735" t="str">
        <f t="shared" si="171"/>
        <v>Furnishings</v>
      </c>
      <c r="U735" t="s">
        <v>3475</v>
      </c>
      <c r="V735" t="str">
        <f t="shared" si="172"/>
        <v>Classic Furnishings 582</v>
      </c>
      <c r="W735" t="s">
        <v>98</v>
      </c>
      <c r="X735" t="str">
        <f t="shared" si="173"/>
        <v>First Class</v>
      </c>
      <c r="Y735">
        <v>7</v>
      </c>
      <c r="Z735">
        <v>9</v>
      </c>
      <c r="AA735">
        <v>2797.96</v>
      </c>
      <c r="AB735">
        <v>0</v>
      </c>
      <c r="AC735">
        <f t="shared" si="174"/>
        <v>0</v>
      </c>
      <c r="AD735">
        <v>25181.64</v>
      </c>
      <c r="AE735">
        <f t="shared" si="175"/>
        <v>25181.64</v>
      </c>
      <c r="AF735">
        <v>15337.9</v>
      </c>
      <c r="AG735">
        <v>9843.74</v>
      </c>
      <c r="AH735">
        <f t="shared" si="176"/>
        <v>9843.74</v>
      </c>
      <c r="AI735">
        <f t="shared" si="177"/>
        <v>0.39090940860087</v>
      </c>
      <c r="AJ735" t="s">
        <v>77</v>
      </c>
      <c r="AK735" t="str">
        <f t="shared" si="178"/>
        <v>Paid</v>
      </c>
      <c r="AL735" t="s">
        <v>78</v>
      </c>
      <c r="AM735" t="str">
        <f t="shared" si="179"/>
        <v>Completed</v>
      </c>
      <c r="AN735">
        <v>6</v>
      </c>
      <c r="AO735">
        <v>2024</v>
      </c>
      <c r="AP735" t="s">
        <v>79</v>
      </c>
    </row>
    <row r="736" spans="1:42">
      <c r="A736" t="s">
        <v>3476</v>
      </c>
      <c r="B736" s="3" t="s">
        <v>3477</v>
      </c>
      <c r="C736" s="3">
        <v>45528</v>
      </c>
      <c r="D736" t="s">
        <v>3477</v>
      </c>
      <c r="E736" s="3">
        <v>45528</v>
      </c>
      <c r="F736" t="s">
        <v>3478</v>
      </c>
      <c r="G736" t="s">
        <v>113</v>
      </c>
      <c r="H736" t="str">
        <f t="shared" si="165"/>
        <v>Ananya Rao</v>
      </c>
      <c r="I736" t="s">
        <v>85</v>
      </c>
      <c r="J736" t="str">
        <f t="shared" si="166"/>
        <v>Small Business</v>
      </c>
      <c r="K736" t="s">
        <v>8</v>
      </c>
      <c r="L736" t="str">
        <f t="shared" si="167"/>
        <v>North</v>
      </c>
      <c r="M736" t="s">
        <v>72</v>
      </c>
      <c r="N736" t="str">
        <f t="shared" si="168"/>
        <v>Rajasthan</v>
      </c>
      <c r="O736" t="s">
        <v>73</v>
      </c>
      <c r="P736" t="str">
        <f t="shared" si="169"/>
        <v>Jaipur</v>
      </c>
      <c r="Q736" t="s">
        <v>24</v>
      </c>
      <c r="R736" t="str">
        <f t="shared" si="170"/>
        <v>Technology</v>
      </c>
      <c r="S736" t="s">
        <v>126</v>
      </c>
      <c r="T736" t="str">
        <f t="shared" si="171"/>
        <v>Accessories</v>
      </c>
      <c r="U736" t="s">
        <v>3479</v>
      </c>
      <c r="V736" t="str">
        <f t="shared" si="172"/>
        <v>Classic Accessories 981</v>
      </c>
      <c r="W736" t="s">
        <v>98</v>
      </c>
      <c r="X736" t="str">
        <f t="shared" si="173"/>
        <v>First Class</v>
      </c>
      <c r="Y736">
        <v>0</v>
      </c>
      <c r="Z736">
        <v>4</v>
      </c>
      <c r="AA736">
        <v>2761.86</v>
      </c>
      <c r="AB736">
        <v>0.2</v>
      </c>
      <c r="AC736">
        <f t="shared" si="174"/>
        <v>0.2</v>
      </c>
      <c r="AD736">
        <v>8837.95</v>
      </c>
      <c r="AE736">
        <f t="shared" si="175"/>
        <v>8837.952</v>
      </c>
      <c r="AF736">
        <v>6157.27</v>
      </c>
      <c r="AG736">
        <v>2680.68</v>
      </c>
      <c r="AH736">
        <f t="shared" si="176"/>
        <v>2680.682</v>
      </c>
      <c r="AI736">
        <f t="shared" si="177"/>
        <v>0.303314840361206</v>
      </c>
      <c r="AJ736" t="s">
        <v>77</v>
      </c>
      <c r="AK736" t="str">
        <f t="shared" si="178"/>
        <v>Paid</v>
      </c>
      <c r="AL736" t="s">
        <v>78</v>
      </c>
      <c r="AM736" t="str">
        <f t="shared" si="179"/>
        <v>Completed</v>
      </c>
      <c r="AN736">
        <v>8</v>
      </c>
      <c r="AO736">
        <v>2024</v>
      </c>
      <c r="AP736" t="s">
        <v>79</v>
      </c>
    </row>
    <row r="737" spans="1:42">
      <c r="A737" t="s">
        <v>3480</v>
      </c>
      <c r="B737" s="3" t="s">
        <v>3481</v>
      </c>
      <c r="C737" s="3">
        <v>45515</v>
      </c>
      <c r="D737" t="s">
        <v>2920</v>
      </c>
      <c r="E737" s="3">
        <v>45523</v>
      </c>
      <c r="F737" t="s">
        <v>3482</v>
      </c>
      <c r="G737" t="s">
        <v>84</v>
      </c>
      <c r="H737" t="str">
        <f t="shared" si="165"/>
        <v>Mira Das</v>
      </c>
      <c r="I737" t="s">
        <v>71</v>
      </c>
      <c r="J737" t="str">
        <f t="shared" si="166"/>
        <v>Consumer</v>
      </c>
      <c r="K737" t="s">
        <v>11</v>
      </c>
      <c r="L737" t="str">
        <f t="shared" si="167"/>
        <v>West</v>
      </c>
      <c r="M737" t="s">
        <v>114</v>
      </c>
      <c r="N737" t="str">
        <f t="shared" si="168"/>
        <v>Maharashtra</v>
      </c>
      <c r="O737" t="s">
        <v>115</v>
      </c>
      <c r="P737" t="str">
        <f t="shared" si="169"/>
        <v>Mumbai</v>
      </c>
      <c r="Q737" t="s">
        <v>19</v>
      </c>
      <c r="R737" t="str">
        <f t="shared" si="170"/>
        <v>Furniture</v>
      </c>
      <c r="S737" t="s">
        <v>88</v>
      </c>
      <c r="T737" t="str">
        <f t="shared" si="171"/>
        <v>Tables</v>
      </c>
      <c r="U737" t="s">
        <v>3483</v>
      </c>
      <c r="V737" t="str">
        <f t="shared" si="172"/>
        <v>Classic Tables 534</v>
      </c>
      <c r="W737" t="s">
        <v>108</v>
      </c>
      <c r="X737" t="str">
        <f t="shared" si="173"/>
        <v>Standard Class</v>
      </c>
      <c r="Y737">
        <v>8</v>
      </c>
      <c r="Z737">
        <v>6</v>
      </c>
      <c r="AA737">
        <v>1515.79</v>
      </c>
      <c r="AB737">
        <v>0.2</v>
      </c>
      <c r="AC737">
        <f t="shared" si="174"/>
        <v>0.2</v>
      </c>
      <c r="AD737">
        <v>7275.79</v>
      </c>
      <c r="AE737">
        <f t="shared" si="175"/>
        <v>7275.792</v>
      </c>
      <c r="AF737">
        <v>6152.87</v>
      </c>
      <c r="AG737">
        <v>1122.92</v>
      </c>
      <c r="AH737">
        <f t="shared" si="176"/>
        <v>1122.922</v>
      </c>
      <c r="AI737">
        <f t="shared" si="177"/>
        <v>0.154336737498818</v>
      </c>
      <c r="AJ737" t="s">
        <v>77</v>
      </c>
      <c r="AK737" t="str">
        <f t="shared" si="178"/>
        <v>Paid</v>
      </c>
      <c r="AL737" t="s">
        <v>78</v>
      </c>
      <c r="AM737" t="str">
        <f t="shared" si="179"/>
        <v>Completed</v>
      </c>
      <c r="AN737">
        <v>8</v>
      </c>
      <c r="AO737">
        <v>2024</v>
      </c>
      <c r="AP737" t="s">
        <v>79</v>
      </c>
    </row>
    <row r="738" spans="1:42">
      <c r="A738" t="s">
        <v>3484</v>
      </c>
      <c r="B738" s="3" t="s">
        <v>2879</v>
      </c>
      <c r="C738" s="3">
        <v>45632</v>
      </c>
      <c r="D738" t="s">
        <v>3485</v>
      </c>
      <c r="E738" s="3">
        <v>45635</v>
      </c>
      <c r="F738" t="s">
        <v>3486</v>
      </c>
      <c r="G738" t="s">
        <v>146</v>
      </c>
      <c r="H738" t="str">
        <f t="shared" si="165"/>
        <v>Aditi Sen</v>
      </c>
      <c r="I738" t="s">
        <v>71</v>
      </c>
      <c r="J738" t="str">
        <f t="shared" si="166"/>
        <v>Consumer</v>
      </c>
      <c r="K738" t="s">
        <v>11</v>
      </c>
      <c r="L738" t="str">
        <f t="shared" si="167"/>
        <v>West</v>
      </c>
      <c r="M738" t="s">
        <v>114</v>
      </c>
      <c r="N738" t="str">
        <f t="shared" si="168"/>
        <v>Maharashtra</v>
      </c>
      <c r="O738" t="s">
        <v>115</v>
      </c>
      <c r="P738" t="str">
        <f t="shared" si="169"/>
        <v>Mumbai</v>
      </c>
      <c r="Q738" t="s">
        <v>19</v>
      </c>
      <c r="R738" t="str">
        <f t="shared" si="170"/>
        <v>Furniture</v>
      </c>
      <c r="S738" t="s">
        <v>116</v>
      </c>
      <c r="T738" t="str">
        <f t="shared" si="171"/>
        <v>Chairs</v>
      </c>
      <c r="U738" t="s">
        <v>3487</v>
      </c>
      <c r="V738" t="str">
        <f t="shared" si="172"/>
        <v>Pro Chairs 383</v>
      </c>
      <c r="W738" t="s">
        <v>76</v>
      </c>
      <c r="X738" t="str">
        <f t="shared" si="173"/>
        <v>Second Class</v>
      </c>
      <c r="Y738">
        <v>3</v>
      </c>
      <c r="Z738">
        <v>9</v>
      </c>
      <c r="AA738">
        <v>290.75</v>
      </c>
      <c r="AB738">
        <v>0.1</v>
      </c>
      <c r="AC738">
        <f t="shared" si="174"/>
        <v>0.1</v>
      </c>
      <c r="AD738">
        <v>2355.08</v>
      </c>
      <c r="AE738">
        <f t="shared" si="175"/>
        <v>2355.075</v>
      </c>
      <c r="AF738">
        <v>1350.03</v>
      </c>
      <c r="AG738">
        <v>1005.05</v>
      </c>
      <c r="AH738">
        <f t="shared" si="176"/>
        <v>1005.045</v>
      </c>
      <c r="AI738">
        <f t="shared" si="177"/>
        <v>0.42675710964619</v>
      </c>
      <c r="AJ738" t="s">
        <v>77</v>
      </c>
      <c r="AK738" t="str">
        <f t="shared" si="178"/>
        <v>Paid</v>
      </c>
      <c r="AL738" t="s">
        <v>78</v>
      </c>
      <c r="AM738" t="str">
        <f t="shared" si="179"/>
        <v>Completed</v>
      </c>
      <c r="AN738">
        <v>12</v>
      </c>
      <c r="AO738">
        <v>2024</v>
      </c>
      <c r="AP738" t="s">
        <v>79</v>
      </c>
    </row>
    <row r="739" spans="1:42">
      <c r="A739" t="s">
        <v>3488</v>
      </c>
      <c r="B739" s="3" t="s">
        <v>2305</v>
      </c>
      <c r="C739" s="3">
        <v>45332</v>
      </c>
      <c r="D739" t="s">
        <v>2184</v>
      </c>
      <c r="E739" s="3">
        <v>45332</v>
      </c>
      <c r="F739" t="s">
        <v>3489</v>
      </c>
      <c r="G739" t="s">
        <v>95</v>
      </c>
      <c r="H739" t="str">
        <f t="shared" si="165"/>
        <v>Isha Nair</v>
      </c>
      <c r="I739" t="s">
        <v>3490</v>
      </c>
      <c r="J739" t="str">
        <f t="shared" si="166"/>
        <v>Home Office</v>
      </c>
      <c r="K739" t="s">
        <v>11</v>
      </c>
      <c r="L739" t="str">
        <f t="shared" si="167"/>
        <v>West</v>
      </c>
      <c r="M739" t="s">
        <v>114</v>
      </c>
      <c r="N739" t="str">
        <f t="shared" si="168"/>
        <v>Maharashtra</v>
      </c>
      <c r="O739" t="s">
        <v>115</v>
      </c>
      <c r="P739" t="str">
        <f t="shared" si="169"/>
        <v>Mumbai</v>
      </c>
      <c r="Q739" t="s">
        <v>19</v>
      </c>
      <c r="R739" t="str">
        <f t="shared" si="170"/>
        <v>Furniture</v>
      </c>
      <c r="S739" t="s">
        <v>116</v>
      </c>
      <c r="T739" t="str">
        <f t="shared" si="171"/>
        <v>Chairs</v>
      </c>
      <c r="U739" t="s">
        <v>3491</v>
      </c>
      <c r="V739" t="str">
        <f t="shared" si="172"/>
        <v>Max Chairs 845</v>
      </c>
      <c r="W739" t="s">
        <v>90</v>
      </c>
      <c r="X739" t="str">
        <f t="shared" si="173"/>
        <v>Same Day</v>
      </c>
      <c r="Y739">
        <v>0</v>
      </c>
      <c r="Z739">
        <v>6</v>
      </c>
      <c r="AA739">
        <v>601.52</v>
      </c>
      <c r="AB739">
        <v>0</v>
      </c>
      <c r="AC739">
        <f t="shared" si="174"/>
        <v>0</v>
      </c>
      <c r="AD739">
        <v>3609.12</v>
      </c>
      <c r="AE739">
        <f t="shared" si="175"/>
        <v>3609.12</v>
      </c>
      <c r="AF739">
        <v>2645.5</v>
      </c>
      <c r="AG739">
        <v>963.62</v>
      </c>
      <c r="AH739">
        <f t="shared" si="176"/>
        <v>963.62</v>
      </c>
      <c r="AI739">
        <f t="shared" si="177"/>
        <v>0.266995832779182</v>
      </c>
      <c r="AJ739" t="s">
        <v>77</v>
      </c>
      <c r="AK739" t="str">
        <f t="shared" si="178"/>
        <v>Paid</v>
      </c>
      <c r="AL739" t="s">
        <v>78</v>
      </c>
      <c r="AM739" t="str">
        <f t="shared" si="179"/>
        <v>Completed</v>
      </c>
      <c r="AN739">
        <v>2</v>
      </c>
      <c r="AO739">
        <v>2024</v>
      </c>
      <c r="AP739" t="s">
        <v>79</v>
      </c>
    </row>
    <row r="740" spans="1:42">
      <c r="A740" t="s">
        <v>3492</v>
      </c>
      <c r="B740" s="3" t="s">
        <v>1620</v>
      </c>
      <c r="C740" s="3">
        <v>45708</v>
      </c>
      <c r="D740" t="s">
        <v>3493</v>
      </c>
      <c r="E740" s="3">
        <v>45710</v>
      </c>
      <c r="F740" t="s">
        <v>3494</v>
      </c>
      <c r="G740" t="s">
        <v>182</v>
      </c>
      <c r="H740" t="str">
        <f t="shared" si="165"/>
        <v>Priya Menon</v>
      </c>
      <c r="I740" t="s">
        <v>147</v>
      </c>
      <c r="J740" t="str">
        <f t="shared" si="166"/>
        <v>Corporate</v>
      </c>
      <c r="K740" t="s">
        <v>10</v>
      </c>
      <c r="L740" t="str">
        <f t="shared" si="167"/>
        <v>South</v>
      </c>
      <c r="M740" t="s">
        <v>285</v>
      </c>
      <c r="N740" t="str">
        <f t="shared" si="168"/>
        <v>Kerala</v>
      </c>
      <c r="O740" t="s">
        <v>286</v>
      </c>
      <c r="P740" t="str">
        <f t="shared" si="169"/>
        <v>Kochi</v>
      </c>
      <c r="Q740" t="s">
        <v>22</v>
      </c>
      <c r="R740" t="str">
        <f t="shared" si="170"/>
        <v>Office Supplies</v>
      </c>
      <c r="S740" t="s">
        <v>74</v>
      </c>
      <c r="T740" t="str">
        <f t="shared" si="171"/>
        <v>Paper</v>
      </c>
      <c r="U740" t="s">
        <v>3495</v>
      </c>
      <c r="V740" t="str">
        <f t="shared" si="172"/>
        <v>Prime Paper 307</v>
      </c>
      <c r="W740" t="s">
        <v>98</v>
      </c>
      <c r="X740" t="str">
        <f t="shared" si="173"/>
        <v>First Class</v>
      </c>
      <c r="Y740">
        <v>2</v>
      </c>
      <c r="Z740">
        <v>1</v>
      </c>
      <c r="AA740">
        <v>2188.19</v>
      </c>
      <c r="AB740">
        <v>0</v>
      </c>
      <c r="AC740">
        <f t="shared" si="174"/>
        <v>0</v>
      </c>
      <c r="AD740">
        <v>2188.19</v>
      </c>
      <c r="AE740">
        <f t="shared" si="175"/>
        <v>2188.19</v>
      </c>
      <c r="AF740">
        <v>1298.84</v>
      </c>
      <c r="AG740">
        <v>889.35</v>
      </c>
      <c r="AH740">
        <f t="shared" si="176"/>
        <v>889.35</v>
      </c>
      <c r="AI740">
        <f t="shared" si="177"/>
        <v>0.406431799798007</v>
      </c>
      <c r="AJ740" t="s">
        <v>77</v>
      </c>
      <c r="AK740" t="str">
        <f t="shared" si="178"/>
        <v>Paid</v>
      </c>
      <c r="AL740" t="s">
        <v>78</v>
      </c>
      <c r="AM740" t="str">
        <f t="shared" si="179"/>
        <v>Completed</v>
      </c>
      <c r="AN740">
        <v>2</v>
      </c>
      <c r="AO740">
        <v>2025</v>
      </c>
      <c r="AP740" t="s">
        <v>79</v>
      </c>
    </row>
    <row r="741" spans="1:42">
      <c r="A741" t="s">
        <v>3496</v>
      </c>
      <c r="B741" s="3" t="s">
        <v>3497</v>
      </c>
      <c r="C741" s="3">
        <v>45629</v>
      </c>
      <c r="D741" t="s">
        <v>3498</v>
      </c>
      <c r="E741" s="3">
        <v>45636</v>
      </c>
      <c r="F741" t="s">
        <v>3499</v>
      </c>
      <c r="G741" t="s">
        <v>132</v>
      </c>
      <c r="H741" t="str">
        <f t="shared" si="165"/>
        <v>Neha Gupta</v>
      </c>
      <c r="I741" t="s">
        <v>147</v>
      </c>
      <c r="J741" t="str">
        <f t="shared" si="166"/>
        <v>Corporate</v>
      </c>
      <c r="K741" t="s">
        <v>8</v>
      </c>
      <c r="L741" t="str">
        <f t="shared" si="167"/>
        <v>North</v>
      </c>
      <c r="M741" t="s">
        <v>72</v>
      </c>
      <c r="N741" t="str">
        <f t="shared" si="168"/>
        <v>Rajasthan</v>
      </c>
      <c r="O741" t="s">
        <v>73</v>
      </c>
      <c r="P741" t="str">
        <f t="shared" si="169"/>
        <v>Jaipur</v>
      </c>
      <c r="Q741" t="s">
        <v>24</v>
      </c>
      <c r="R741" t="str">
        <f t="shared" si="170"/>
        <v>Technology</v>
      </c>
      <c r="S741" t="s">
        <v>265</v>
      </c>
      <c r="T741" t="str">
        <f t="shared" si="171"/>
        <v>Phones</v>
      </c>
      <c r="U741" t="s">
        <v>3500</v>
      </c>
      <c r="V741" t="str">
        <f t="shared" si="172"/>
        <v>Basic Phones 859</v>
      </c>
      <c r="W741" t="s">
        <v>108</v>
      </c>
      <c r="X741" t="str">
        <f t="shared" si="173"/>
        <v>Standard Class</v>
      </c>
      <c r="Y741">
        <v>7</v>
      </c>
      <c r="Z741">
        <v>5</v>
      </c>
      <c r="AA741">
        <v>2393.86</v>
      </c>
      <c r="AB741">
        <v>0.05</v>
      </c>
      <c r="AC741">
        <f t="shared" si="174"/>
        <v>0.05</v>
      </c>
      <c r="AD741">
        <v>11370.84</v>
      </c>
      <c r="AE741">
        <f t="shared" si="175"/>
        <v>11370.835</v>
      </c>
      <c r="AF741">
        <v>7469.58</v>
      </c>
      <c r="AG741">
        <v>3901.26</v>
      </c>
      <c r="AH741">
        <f t="shared" si="176"/>
        <v>3901.255</v>
      </c>
      <c r="AI741">
        <f t="shared" si="177"/>
        <v>0.343093097384669</v>
      </c>
      <c r="AJ741" t="s">
        <v>77</v>
      </c>
      <c r="AK741" t="str">
        <f t="shared" si="178"/>
        <v>Paid</v>
      </c>
      <c r="AL741" t="s">
        <v>78</v>
      </c>
      <c r="AM741" t="str">
        <f t="shared" si="179"/>
        <v>Completed</v>
      </c>
      <c r="AN741">
        <v>12</v>
      </c>
      <c r="AO741">
        <v>2024</v>
      </c>
      <c r="AP741" t="s">
        <v>79</v>
      </c>
    </row>
    <row r="742" spans="1:42">
      <c r="A742" t="s">
        <v>3501</v>
      </c>
      <c r="B742" s="3" t="s">
        <v>3502</v>
      </c>
      <c r="C742" s="3">
        <v>45384</v>
      </c>
      <c r="D742" t="s">
        <v>2226</v>
      </c>
      <c r="E742" s="3">
        <v>45384</v>
      </c>
      <c r="F742" t="s">
        <v>828</v>
      </c>
      <c r="G742" t="s">
        <v>208</v>
      </c>
      <c r="H742" t="str">
        <f t="shared" si="165"/>
        <v>Sneha Kapoor</v>
      </c>
      <c r="I742" t="s">
        <v>85</v>
      </c>
      <c r="J742" t="str">
        <f t="shared" si="166"/>
        <v>Small Business</v>
      </c>
      <c r="K742" t="s">
        <v>11</v>
      </c>
      <c r="L742" t="str">
        <f t="shared" si="167"/>
        <v>West</v>
      </c>
      <c r="M742" t="s">
        <v>114</v>
      </c>
      <c r="N742" t="str">
        <f t="shared" si="168"/>
        <v>Maharashtra</v>
      </c>
      <c r="O742" t="s">
        <v>115</v>
      </c>
      <c r="P742" t="str">
        <f t="shared" si="169"/>
        <v>Mumbai</v>
      </c>
      <c r="Q742" t="s">
        <v>19</v>
      </c>
      <c r="R742" t="str">
        <f t="shared" si="170"/>
        <v>Furniture</v>
      </c>
      <c r="S742" t="s">
        <v>116</v>
      </c>
      <c r="T742" t="str">
        <f t="shared" si="171"/>
        <v>Chairs</v>
      </c>
      <c r="U742" t="s">
        <v>3503</v>
      </c>
      <c r="V742" t="str">
        <f t="shared" si="172"/>
        <v>Eco Chairs 883</v>
      </c>
      <c r="W742" t="s">
        <v>98</v>
      </c>
      <c r="X742" t="str">
        <f t="shared" si="173"/>
        <v>First Class</v>
      </c>
      <c r="Y742">
        <v>0</v>
      </c>
      <c r="Z742">
        <v>4</v>
      </c>
      <c r="AA742">
        <v>2583</v>
      </c>
      <c r="AB742">
        <v>0.1</v>
      </c>
      <c r="AC742">
        <f t="shared" si="174"/>
        <v>0.1</v>
      </c>
      <c r="AD742">
        <v>9298.8</v>
      </c>
      <c r="AE742">
        <f t="shared" si="175"/>
        <v>9298.8</v>
      </c>
      <c r="AF742">
        <v>6548.5</v>
      </c>
      <c r="AG742">
        <v>2750.3</v>
      </c>
      <c r="AH742">
        <f t="shared" si="176"/>
        <v>2750.3</v>
      </c>
      <c r="AI742">
        <f t="shared" si="177"/>
        <v>0.295769346582355</v>
      </c>
      <c r="AJ742" t="s">
        <v>77</v>
      </c>
      <c r="AK742" t="str">
        <f t="shared" si="178"/>
        <v>Paid</v>
      </c>
      <c r="AL742" t="s">
        <v>78</v>
      </c>
      <c r="AM742" t="str">
        <f t="shared" si="179"/>
        <v>Completed</v>
      </c>
      <c r="AN742">
        <v>4</v>
      </c>
      <c r="AO742">
        <v>2024</v>
      </c>
      <c r="AP742" t="s">
        <v>79</v>
      </c>
    </row>
    <row r="743" spans="1:42">
      <c r="A743" t="s">
        <v>3504</v>
      </c>
      <c r="B743" s="3" t="s">
        <v>3505</v>
      </c>
      <c r="C743" s="3">
        <v>45770</v>
      </c>
      <c r="D743" t="s">
        <v>3506</v>
      </c>
      <c r="E743" s="3">
        <v>45772</v>
      </c>
      <c r="F743" t="s">
        <v>3507</v>
      </c>
      <c r="G743" t="s">
        <v>95</v>
      </c>
      <c r="H743" t="str">
        <f t="shared" si="165"/>
        <v>Isha Nair</v>
      </c>
      <c r="I743" t="s">
        <v>154</v>
      </c>
      <c r="J743" t="str">
        <f t="shared" si="166"/>
        <v>Home Office</v>
      </c>
      <c r="K743" t="s">
        <v>10</v>
      </c>
      <c r="L743" t="str">
        <f t="shared" si="167"/>
        <v>South</v>
      </c>
      <c r="M743" t="s">
        <v>382</v>
      </c>
      <c r="N743" t="str">
        <f t="shared" si="168"/>
        <v>Tamil Nadu</v>
      </c>
      <c r="O743" t="s">
        <v>383</v>
      </c>
      <c r="P743" t="str">
        <f t="shared" si="169"/>
        <v>Chennai</v>
      </c>
      <c r="Q743" t="s">
        <v>19</v>
      </c>
      <c r="R743" t="str">
        <f t="shared" si="170"/>
        <v>Furniture</v>
      </c>
      <c r="S743" t="s">
        <v>116</v>
      </c>
      <c r="T743" t="str">
        <f t="shared" si="171"/>
        <v>Chairs</v>
      </c>
      <c r="U743" t="s">
        <v>3508</v>
      </c>
      <c r="V743" t="str">
        <f t="shared" si="172"/>
        <v>Max Chairs 706</v>
      </c>
      <c r="W743" t="s">
        <v>76</v>
      </c>
      <c r="X743" t="str">
        <f t="shared" si="173"/>
        <v>Second Class</v>
      </c>
      <c r="Y743">
        <v>2</v>
      </c>
      <c r="Z743">
        <v>3</v>
      </c>
      <c r="AA743">
        <v>2951.12</v>
      </c>
      <c r="AC743">
        <f t="shared" si="174"/>
        <v>0</v>
      </c>
      <c r="AD743">
        <v>7082.69</v>
      </c>
      <c r="AE743">
        <f t="shared" si="175"/>
        <v>8853.36</v>
      </c>
      <c r="AF743">
        <v>5596.34</v>
      </c>
      <c r="AG743">
        <v>1486.35</v>
      </c>
      <c r="AH743">
        <f t="shared" si="176"/>
        <v>3257.02</v>
      </c>
      <c r="AI743">
        <f t="shared" si="177"/>
        <v>0.36788518709281</v>
      </c>
      <c r="AJ743" t="s">
        <v>77</v>
      </c>
      <c r="AK743" t="str">
        <f t="shared" si="178"/>
        <v>Paid</v>
      </c>
      <c r="AL743" t="s">
        <v>118</v>
      </c>
      <c r="AM743" t="str">
        <f t="shared" si="179"/>
        <v>Cancelled</v>
      </c>
      <c r="AN743">
        <v>4</v>
      </c>
      <c r="AO743">
        <v>2025</v>
      </c>
      <c r="AP743" t="s">
        <v>222</v>
      </c>
    </row>
    <row r="744" spans="1:42">
      <c r="A744" t="s">
        <v>3509</v>
      </c>
      <c r="B744" s="3" t="s">
        <v>3510</v>
      </c>
      <c r="C744" s="3">
        <v>45580</v>
      </c>
      <c r="D744" t="s">
        <v>3511</v>
      </c>
      <c r="E744" s="3">
        <v>45587</v>
      </c>
      <c r="F744" t="s">
        <v>3512</v>
      </c>
      <c r="G744" t="s">
        <v>70</v>
      </c>
      <c r="H744" t="str">
        <f t="shared" si="165"/>
        <v>Karan Malhotra</v>
      </c>
      <c r="I744" t="s">
        <v>147</v>
      </c>
      <c r="J744" t="str">
        <f t="shared" si="166"/>
        <v>Corporate</v>
      </c>
      <c r="K744" t="s">
        <v>3513</v>
      </c>
      <c r="L744" t="str">
        <f t="shared" si="167"/>
        <v>East</v>
      </c>
      <c r="M744" t="s">
        <v>86</v>
      </c>
      <c r="N744" t="str">
        <f t="shared" si="168"/>
        <v>Odisha</v>
      </c>
      <c r="O744" t="s">
        <v>87</v>
      </c>
      <c r="P744" t="str">
        <f t="shared" si="169"/>
        <v>Bhubaneswar</v>
      </c>
      <c r="Q744" t="s">
        <v>22</v>
      </c>
      <c r="R744" t="str">
        <f t="shared" si="170"/>
        <v>Office Supplies</v>
      </c>
      <c r="S744" t="s">
        <v>74</v>
      </c>
      <c r="T744" t="str">
        <f t="shared" si="171"/>
        <v>Paper</v>
      </c>
      <c r="U744" t="s">
        <v>3514</v>
      </c>
      <c r="V744" t="str">
        <f t="shared" si="172"/>
        <v>Prime Paper 768</v>
      </c>
      <c r="W744" t="s">
        <v>108</v>
      </c>
      <c r="X744" t="str">
        <f t="shared" si="173"/>
        <v>Standard Class</v>
      </c>
      <c r="Y744">
        <v>7</v>
      </c>
      <c r="Z744">
        <v>4</v>
      </c>
      <c r="AA744">
        <v>2260.95</v>
      </c>
      <c r="AB744">
        <v>0</v>
      </c>
      <c r="AC744">
        <f t="shared" si="174"/>
        <v>0</v>
      </c>
      <c r="AD744">
        <v>9043.8</v>
      </c>
      <c r="AE744">
        <f t="shared" si="175"/>
        <v>9043.8</v>
      </c>
      <c r="AF744">
        <v>5913.38</v>
      </c>
      <c r="AG744">
        <v>3130.42</v>
      </c>
      <c r="AH744">
        <f t="shared" si="176"/>
        <v>3130.42</v>
      </c>
      <c r="AI744">
        <f t="shared" si="177"/>
        <v>0.346139896945974</v>
      </c>
      <c r="AJ744" t="s">
        <v>77</v>
      </c>
      <c r="AK744" t="str">
        <f t="shared" si="178"/>
        <v>Paid</v>
      </c>
      <c r="AL744" t="s">
        <v>78</v>
      </c>
      <c r="AM744" t="str">
        <f t="shared" si="179"/>
        <v>Completed</v>
      </c>
      <c r="AN744">
        <v>10</v>
      </c>
      <c r="AO744">
        <v>2024</v>
      </c>
      <c r="AP744" t="s">
        <v>79</v>
      </c>
    </row>
    <row r="745" spans="1:42">
      <c r="A745" t="s">
        <v>3515</v>
      </c>
      <c r="B745" s="3" t="s">
        <v>1450</v>
      </c>
      <c r="C745" s="3">
        <v>45700</v>
      </c>
      <c r="D745" t="s">
        <v>1994</v>
      </c>
      <c r="E745" s="3">
        <v>45702</v>
      </c>
      <c r="F745" t="s">
        <v>3516</v>
      </c>
      <c r="G745" t="s">
        <v>208</v>
      </c>
      <c r="H745" t="str">
        <f t="shared" si="165"/>
        <v>Sneha Kapoor</v>
      </c>
      <c r="I745" t="s">
        <v>71</v>
      </c>
      <c r="J745" t="str">
        <f t="shared" si="166"/>
        <v>Consumer</v>
      </c>
      <c r="K745" t="s">
        <v>8</v>
      </c>
      <c r="L745" t="str">
        <f t="shared" si="167"/>
        <v>North</v>
      </c>
      <c r="M745" t="s">
        <v>214</v>
      </c>
      <c r="N745" t="str">
        <f t="shared" si="168"/>
        <v>Uttar Pradesh</v>
      </c>
      <c r="O745" t="s">
        <v>215</v>
      </c>
      <c r="P745" t="str">
        <f t="shared" si="169"/>
        <v>Noida</v>
      </c>
      <c r="Q745" t="s">
        <v>22</v>
      </c>
      <c r="R745" t="str">
        <f t="shared" si="170"/>
        <v>Office Supplies</v>
      </c>
      <c r="S745" t="s">
        <v>96</v>
      </c>
      <c r="T745" t="str">
        <f t="shared" si="171"/>
        <v>Art</v>
      </c>
      <c r="U745" t="s">
        <v>3517</v>
      </c>
      <c r="V745" t="str">
        <f t="shared" si="172"/>
        <v>Basic Art 764</v>
      </c>
      <c r="W745" t="s">
        <v>108</v>
      </c>
      <c r="X745" t="str">
        <f t="shared" si="173"/>
        <v>Standard Class</v>
      </c>
      <c r="Y745">
        <v>2</v>
      </c>
      <c r="Z745">
        <v>6</v>
      </c>
      <c r="AA745">
        <v>491.4</v>
      </c>
      <c r="AB745">
        <v>0.25</v>
      </c>
      <c r="AC745">
        <f t="shared" si="174"/>
        <v>0.25</v>
      </c>
      <c r="AD745">
        <v>2211.3</v>
      </c>
      <c r="AE745">
        <f t="shared" si="175"/>
        <v>2211.3</v>
      </c>
      <c r="AF745">
        <v>1735.64</v>
      </c>
      <c r="AG745">
        <v>475.66</v>
      </c>
      <c r="AH745">
        <f t="shared" si="176"/>
        <v>475.66</v>
      </c>
      <c r="AI745">
        <f t="shared" si="177"/>
        <v>0.215104237326459</v>
      </c>
      <c r="AJ745" t="s">
        <v>77</v>
      </c>
      <c r="AK745" t="str">
        <f t="shared" si="178"/>
        <v>Paid</v>
      </c>
      <c r="AL745" t="s">
        <v>78</v>
      </c>
      <c r="AM745" t="str">
        <f t="shared" si="179"/>
        <v>Completed</v>
      </c>
      <c r="AN745">
        <v>2</v>
      </c>
      <c r="AO745">
        <v>2025</v>
      </c>
      <c r="AP745" t="s">
        <v>79</v>
      </c>
    </row>
    <row r="746" spans="1:42">
      <c r="A746" t="s">
        <v>3518</v>
      </c>
      <c r="B746" s="3" t="s">
        <v>3519</v>
      </c>
      <c r="C746" s="3">
        <v>45886</v>
      </c>
      <c r="D746" t="s">
        <v>1524</v>
      </c>
      <c r="E746" s="3">
        <v>45889</v>
      </c>
      <c r="F746" t="s">
        <v>3520</v>
      </c>
      <c r="G746" t="s">
        <v>84</v>
      </c>
      <c r="H746" t="str">
        <f t="shared" si="165"/>
        <v>Mira Das</v>
      </c>
      <c r="I746" t="s">
        <v>154</v>
      </c>
      <c r="J746" t="str">
        <f t="shared" si="166"/>
        <v>Home Office</v>
      </c>
      <c r="K746" t="s">
        <v>8</v>
      </c>
      <c r="L746" t="str">
        <f t="shared" si="167"/>
        <v>North</v>
      </c>
      <c r="M746" t="s">
        <v>194</v>
      </c>
      <c r="N746" t="str">
        <f t="shared" si="168"/>
        <v>Punjab</v>
      </c>
      <c r="O746" t="s">
        <v>195</v>
      </c>
      <c r="P746" t="str">
        <f t="shared" si="169"/>
        <v>Ludhiana</v>
      </c>
      <c r="Q746" t="s">
        <v>22</v>
      </c>
      <c r="R746" t="str">
        <f t="shared" si="170"/>
        <v>Office Supplies</v>
      </c>
      <c r="S746" t="s">
        <v>239</v>
      </c>
      <c r="T746" t="str">
        <f t="shared" si="171"/>
        <v>Binders</v>
      </c>
      <c r="U746" t="s">
        <v>3521</v>
      </c>
      <c r="V746" t="str">
        <f t="shared" si="172"/>
        <v>Prime Binders 181</v>
      </c>
      <c r="W746" t="s">
        <v>98</v>
      </c>
      <c r="X746" t="str">
        <f t="shared" si="173"/>
        <v>First Class</v>
      </c>
      <c r="Y746">
        <v>3</v>
      </c>
      <c r="Z746">
        <v>5</v>
      </c>
      <c r="AA746">
        <v>2701.89</v>
      </c>
      <c r="AB746">
        <v>0.1</v>
      </c>
      <c r="AC746">
        <f t="shared" si="174"/>
        <v>0.1</v>
      </c>
      <c r="AD746">
        <v>12158.5</v>
      </c>
      <c r="AE746">
        <f t="shared" si="175"/>
        <v>12158.505</v>
      </c>
      <c r="AF746">
        <v>10260.07</v>
      </c>
      <c r="AG746">
        <v>1898.43</v>
      </c>
      <c r="AH746">
        <f t="shared" si="176"/>
        <v>1898.435</v>
      </c>
      <c r="AI746">
        <f t="shared" si="177"/>
        <v>0.156140495891559</v>
      </c>
      <c r="AJ746" t="s">
        <v>77</v>
      </c>
      <c r="AK746" t="str">
        <f t="shared" si="178"/>
        <v>Paid</v>
      </c>
      <c r="AL746" t="s">
        <v>118</v>
      </c>
      <c r="AM746" t="str">
        <f t="shared" si="179"/>
        <v>Cancelled</v>
      </c>
      <c r="AN746">
        <v>8</v>
      </c>
      <c r="AO746">
        <v>2025</v>
      </c>
      <c r="AP746" t="s">
        <v>79</v>
      </c>
    </row>
    <row r="747" spans="1:42">
      <c r="A747" t="s">
        <v>3522</v>
      </c>
      <c r="B747" s="3" t="s">
        <v>3523</v>
      </c>
      <c r="C747" s="3">
        <v>45589</v>
      </c>
      <c r="D747" t="s">
        <v>3524</v>
      </c>
      <c r="E747" s="3">
        <v>45593</v>
      </c>
      <c r="F747" t="s">
        <v>3525</v>
      </c>
      <c r="G747" t="s">
        <v>84</v>
      </c>
      <c r="H747" t="str">
        <f t="shared" si="165"/>
        <v>Mira Das</v>
      </c>
      <c r="I747" t="s">
        <v>85</v>
      </c>
      <c r="J747" t="str">
        <f t="shared" si="166"/>
        <v>Small Business</v>
      </c>
      <c r="K747" t="s">
        <v>7</v>
      </c>
      <c r="L747" t="str">
        <f t="shared" si="167"/>
        <v>East</v>
      </c>
      <c r="M747" t="s">
        <v>258</v>
      </c>
      <c r="N747" t="str">
        <f t="shared" si="168"/>
        <v>Assam</v>
      </c>
      <c r="O747" t="s">
        <v>259</v>
      </c>
      <c r="P747" t="str">
        <f t="shared" si="169"/>
        <v>Guwahati</v>
      </c>
      <c r="Q747" t="s">
        <v>24</v>
      </c>
      <c r="R747" t="str">
        <f t="shared" si="170"/>
        <v>Technology</v>
      </c>
      <c r="S747" t="s">
        <v>133</v>
      </c>
      <c r="T747" t="str">
        <f t="shared" si="171"/>
        <v>Copiers</v>
      </c>
      <c r="U747" t="s">
        <v>3526</v>
      </c>
      <c r="V747" t="str">
        <f t="shared" si="172"/>
        <v>Max Copiers 866</v>
      </c>
      <c r="W747" t="s">
        <v>108</v>
      </c>
      <c r="X747" t="str">
        <f t="shared" si="173"/>
        <v>Standard Class</v>
      </c>
      <c r="Y747">
        <v>4</v>
      </c>
      <c r="Z747">
        <v>3</v>
      </c>
      <c r="AA747">
        <v>723.59</v>
      </c>
      <c r="AB747">
        <v>0.2</v>
      </c>
      <c r="AC747">
        <f t="shared" si="174"/>
        <v>0.2</v>
      </c>
      <c r="AD747">
        <v>1736.62</v>
      </c>
      <c r="AE747">
        <f t="shared" si="175"/>
        <v>1736.616</v>
      </c>
      <c r="AF747">
        <v>1059.52</v>
      </c>
      <c r="AG747">
        <v>677.1</v>
      </c>
      <c r="AH747">
        <f t="shared" si="176"/>
        <v>677.096</v>
      </c>
      <c r="AI747">
        <f t="shared" si="177"/>
        <v>0.389893908613073</v>
      </c>
      <c r="AJ747" t="s">
        <v>77</v>
      </c>
      <c r="AK747" t="str">
        <f t="shared" si="178"/>
        <v>Paid</v>
      </c>
      <c r="AL747" t="s">
        <v>78</v>
      </c>
      <c r="AM747" t="str">
        <f t="shared" si="179"/>
        <v>Completed</v>
      </c>
      <c r="AN747">
        <v>10</v>
      </c>
      <c r="AO747">
        <v>2024</v>
      </c>
      <c r="AP747" t="s">
        <v>79</v>
      </c>
    </row>
    <row r="748" spans="1:42">
      <c r="A748" t="s">
        <v>3527</v>
      </c>
      <c r="B748" s="3" t="s">
        <v>1400</v>
      </c>
      <c r="C748" s="3">
        <v>45661</v>
      </c>
      <c r="D748" t="s">
        <v>3528</v>
      </c>
      <c r="E748" s="3">
        <v>45667</v>
      </c>
      <c r="F748" t="s">
        <v>3112</v>
      </c>
      <c r="G748" t="s">
        <v>202</v>
      </c>
      <c r="H748" t="str">
        <f t="shared" si="165"/>
        <v>Aarav Sharma</v>
      </c>
      <c r="I748" t="s">
        <v>154</v>
      </c>
      <c r="J748" t="str">
        <f t="shared" si="166"/>
        <v>Home Office</v>
      </c>
      <c r="K748" t="s">
        <v>7</v>
      </c>
      <c r="L748" t="str">
        <f t="shared" si="167"/>
        <v>East</v>
      </c>
      <c r="M748" t="s">
        <v>160</v>
      </c>
      <c r="N748" t="str">
        <f t="shared" si="168"/>
        <v>West Bengal</v>
      </c>
      <c r="O748" t="s">
        <v>161</v>
      </c>
      <c r="P748" t="str">
        <f t="shared" si="169"/>
        <v>Kolkata</v>
      </c>
      <c r="Q748" t="s">
        <v>22</v>
      </c>
      <c r="R748" t="str">
        <f t="shared" si="170"/>
        <v>Office Supplies</v>
      </c>
      <c r="S748" t="s">
        <v>74</v>
      </c>
      <c r="T748" t="str">
        <f t="shared" si="171"/>
        <v>Paper</v>
      </c>
      <c r="U748" t="s">
        <v>3529</v>
      </c>
      <c r="V748" t="str">
        <f t="shared" si="172"/>
        <v>Pro Paper 662</v>
      </c>
      <c r="W748" t="s">
        <v>108</v>
      </c>
      <c r="X748" t="str">
        <f t="shared" si="173"/>
        <v>Standard Class</v>
      </c>
      <c r="Y748">
        <v>6</v>
      </c>
      <c r="Z748">
        <v>4</v>
      </c>
      <c r="AA748">
        <v>2583.19</v>
      </c>
      <c r="AB748">
        <v>0.2</v>
      </c>
      <c r="AC748">
        <f t="shared" si="174"/>
        <v>0.2</v>
      </c>
      <c r="AD748">
        <v>8266.21</v>
      </c>
      <c r="AE748">
        <f t="shared" si="175"/>
        <v>8266.208</v>
      </c>
      <c r="AF748">
        <v>6236.32</v>
      </c>
      <c r="AG748">
        <v>2029.89</v>
      </c>
      <c r="AH748">
        <f t="shared" si="176"/>
        <v>2029.888</v>
      </c>
      <c r="AI748">
        <f t="shared" si="177"/>
        <v>0.245564592616107</v>
      </c>
      <c r="AJ748" t="s">
        <v>77</v>
      </c>
      <c r="AK748" t="str">
        <f t="shared" si="178"/>
        <v>Paid</v>
      </c>
      <c r="AL748" t="s">
        <v>78</v>
      </c>
      <c r="AM748" t="str">
        <f t="shared" si="179"/>
        <v>Completed</v>
      </c>
      <c r="AN748">
        <v>1</v>
      </c>
      <c r="AO748">
        <v>2025</v>
      </c>
      <c r="AP748" t="s">
        <v>79</v>
      </c>
    </row>
    <row r="749" spans="1:42">
      <c r="A749" t="s">
        <v>3530</v>
      </c>
      <c r="B749" s="3" t="s">
        <v>3531</v>
      </c>
      <c r="C749" s="3">
        <v>45413</v>
      </c>
      <c r="D749" t="s">
        <v>3532</v>
      </c>
      <c r="E749" s="3">
        <v>45419</v>
      </c>
      <c r="F749" t="s">
        <v>3533</v>
      </c>
      <c r="G749" t="s">
        <v>95</v>
      </c>
      <c r="H749" t="str">
        <f t="shared" si="165"/>
        <v>Isha Nair</v>
      </c>
      <c r="I749" t="s">
        <v>154</v>
      </c>
      <c r="J749" t="str">
        <f t="shared" si="166"/>
        <v>Home Office</v>
      </c>
      <c r="K749" t="s">
        <v>7</v>
      </c>
      <c r="L749" t="str">
        <f t="shared" si="167"/>
        <v>East</v>
      </c>
      <c r="M749" t="s">
        <v>86</v>
      </c>
      <c r="N749" t="str">
        <f t="shared" si="168"/>
        <v>Odisha</v>
      </c>
      <c r="O749" t="s">
        <v>87</v>
      </c>
      <c r="P749" t="str">
        <f t="shared" si="169"/>
        <v>Bhubaneswar</v>
      </c>
      <c r="Q749" t="s">
        <v>22</v>
      </c>
      <c r="R749" t="str">
        <f t="shared" si="170"/>
        <v>Office Supplies</v>
      </c>
      <c r="S749" t="s">
        <v>74</v>
      </c>
      <c r="T749" t="str">
        <f t="shared" si="171"/>
        <v>Paper</v>
      </c>
      <c r="U749" t="s">
        <v>3534</v>
      </c>
      <c r="V749" t="str">
        <f t="shared" si="172"/>
        <v>Classic Paper 388</v>
      </c>
      <c r="W749" t="s">
        <v>90</v>
      </c>
      <c r="X749" t="str">
        <f t="shared" si="173"/>
        <v>Same Day</v>
      </c>
      <c r="Y749">
        <v>6</v>
      </c>
      <c r="Z749">
        <v>8</v>
      </c>
      <c r="AA749">
        <v>1473.83</v>
      </c>
      <c r="AB749">
        <v>0.15</v>
      </c>
      <c r="AC749">
        <f t="shared" si="174"/>
        <v>0.15</v>
      </c>
      <c r="AD749">
        <v>10022.04</v>
      </c>
      <c r="AE749">
        <f t="shared" si="175"/>
        <v>10022.044</v>
      </c>
      <c r="AF749">
        <v>5576.98</v>
      </c>
      <c r="AG749">
        <v>4445.06</v>
      </c>
      <c r="AH749">
        <f t="shared" si="176"/>
        <v>4445.064</v>
      </c>
      <c r="AI749">
        <f t="shared" si="177"/>
        <v>0.443528685365979</v>
      </c>
      <c r="AJ749" t="s">
        <v>77</v>
      </c>
      <c r="AK749" t="str">
        <f t="shared" si="178"/>
        <v>Paid</v>
      </c>
      <c r="AL749" t="s">
        <v>78</v>
      </c>
      <c r="AM749" t="str">
        <f t="shared" si="179"/>
        <v>Completed</v>
      </c>
      <c r="AN749">
        <v>5</v>
      </c>
      <c r="AO749">
        <v>2024</v>
      </c>
      <c r="AP749" t="s">
        <v>79</v>
      </c>
    </row>
    <row r="750" spans="1:42">
      <c r="A750" t="s">
        <v>3535</v>
      </c>
      <c r="B750" s="3" t="s">
        <v>3536</v>
      </c>
      <c r="C750" s="3">
        <v>45442</v>
      </c>
      <c r="D750" t="s">
        <v>3537</v>
      </c>
      <c r="E750" s="3">
        <v>45442</v>
      </c>
      <c r="F750" t="s">
        <v>3538</v>
      </c>
      <c r="G750" t="s">
        <v>251</v>
      </c>
      <c r="H750" t="str">
        <f t="shared" si="165"/>
        <v>Diya Patel</v>
      </c>
      <c r="I750" t="s">
        <v>154</v>
      </c>
      <c r="J750" t="str">
        <f t="shared" si="166"/>
        <v>Home Office</v>
      </c>
      <c r="K750" t="s">
        <v>8</v>
      </c>
      <c r="L750" t="str">
        <f t="shared" si="167"/>
        <v>North</v>
      </c>
      <c r="M750" t="s">
        <v>366</v>
      </c>
      <c r="N750" t="str">
        <f t="shared" si="168"/>
        <v>Haryana</v>
      </c>
      <c r="O750" t="s">
        <v>367</v>
      </c>
      <c r="P750" t="str">
        <f t="shared" si="169"/>
        <v>Gurugram</v>
      </c>
      <c r="Q750" t="s">
        <v>24</v>
      </c>
      <c r="R750" t="str">
        <f t="shared" si="170"/>
        <v>Technology</v>
      </c>
      <c r="S750" t="s">
        <v>265</v>
      </c>
      <c r="T750" t="str">
        <f t="shared" si="171"/>
        <v>Phones</v>
      </c>
      <c r="U750" t="s">
        <v>3539</v>
      </c>
      <c r="V750" t="str">
        <f t="shared" si="172"/>
        <v>Pro Phones 765</v>
      </c>
      <c r="W750" t="s">
        <v>76</v>
      </c>
      <c r="X750" t="str">
        <f t="shared" si="173"/>
        <v>Second Class</v>
      </c>
      <c r="Y750">
        <v>0</v>
      </c>
      <c r="Z750">
        <v>1</v>
      </c>
      <c r="AA750">
        <v>3848.04</v>
      </c>
      <c r="AB750">
        <v>0.25</v>
      </c>
      <c r="AC750">
        <f t="shared" si="174"/>
        <v>0.25</v>
      </c>
      <c r="AD750">
        <v>2886.03</v>
      </c>
      <c r="AE750">
        <f t="shared" si="175"/>
        <v>2886.03</v>
      </c>
      <c r="AF750">
        <v>2064.83</v>
      </c>
      <c r="AG750">
        <v>821.2</v>
      </c>
      <c r="AH750">
        <f t="shared" si="176"/>
        <v>821.2</v>
      </c>
      <c r="AI750">
        <f t="shared" si="177"/>
        <v>0.284543126717324</v>
      </c>
      <c r="AJ750" t="s">
        <v>77</v>
      </c>
      <c r="AK750" t="str">
        <f t="shared" si="178"/>
        <v>Paid</v>
      </c>
      <c r="AL750" t="s">
        <v>78</v>
      </c>
      <c r="AM750" t="str">
        <f t="shared" si="179"/>
        <v>Completed</v>
      </c>
      <c r="AN750">
        <v>5</v>
      </c>
      <c r="AO750">
        <v>2024</v>
      </c>
      <c r="AP750" t="s">
        <v>79</v>
      </c>
    </row>
    <row r="751" spans="1:42">
      <c r="A751" t="s">
        <v>3540</v>
      </c>
      <c r="B751" s="3" t="s">
        <v>3541</v>
      </c>
      <c r="C751" s="3">
        <v>45372</v>
      </c>
      <c r="D751" t="s">
        <v>3542</v>
      </c>
      <c r="E751" s="3">
        <v>45376</v>
      </c>
      <c r="F751" t="s">
        <v>3543</v>
      </c>
      <c r="G751" t="s">
        <v>146</v>
      </c>
      <c r="H751" t="str">
        <f t="shared" si="165"/>
        <v>Aditi Sen</v>
      </c>
      <c r="I751" t="s">
        <v>154</v>
      </c>
      <c r="J751" t="str">
        <f t="shared" si="166"/>
        <v>Home Office</v>
      </c>
      <c r="K751" t="s">
        <v>7</v>
      </c>
      <c r="L751" t="str">
        <f t="shared" si="167"/>
        <v>East</v>
      </c>
      <c r="M751" t="s">
        <v>258</v>
      </c>
      <c r="N751" t="str">
        <f t="shared" si="168"/>
        <v>Assam</v>
      </c>
      <c r="O751" t="s">
        <v>259</v>
      </c>
      <c r="P751" t="str">
        <f t="shared" si="169"/>
        <v>Guwahati</v>
      </c>
      <c r="Q751" t="s">
        <v>24</v>
      </c>
      <c r="R751" t="str">
        <f t="shared" si="170"/>
        <v>Technology</v>
      </c>
      <c r="S751" t="s">
        <v>427</v>
      </c>
      <c r="T751" t="str">
        <f t="shared" si="171"/>
        <v>Machines</v>
      </c>
      <c r="U751" t="s">
        <v>3544</v>
      </c>
      <c r="V751" t="str">
        <f t="shared" si="172"/>
        <v>Classic Machines 543</v>
      </c>
      <c r="W751" t="s">
        <v>108</v>
      </c>
      <c r="X751" t="str">
        <f t="shared" si="173"/>
        <v>Standard Class</v>
      </c>
      <c r="Y751">
        <v>4</v>
      </c>
      <c r="Z751">
        <v>1</v>
      </c>
      <c r="AA751">
        <v>1716.7</v>
      </c>
      <c r="AB751">
        <v>0.15</v>
      </c>
      <c r="AC751">
        <f t="shared" si="174"/>
        <v>0.15</v>
      </c>
      <c r="AD751">
        <v>1459.19</v>
      </c>
      <c r="AE751">
        <f t="shared" si="175"/>
        <v>1459.195</v>
      </c>
      <c r="AF751">
        <v>1055.79</v>
      </c>
      <c r="AG751">
        <v>403.4</v>
      </c>
      <c r="AH751">
        <f t="shared" si="176"/>
        <v>403.405</v>
      </c>
      <c r="AI751">
        <f t="shared" si="177"/>
        <v>0.276457224702661</v>
      </c>
      <c r="AJ751" t="s">
        <v>77</v>
      </c>
      <c r="AK751" t="str">
        <f t="shared" si="178"/>
        <v>Paid</v>
      </c>
      <c r="AL751" t="s">
        <v>78</v>
      </c>
      <c r="AM751" t="str">
        <f t="shared" si="179"/>
        <v>Completed</v>
      </c>
      <c r="AN751">
        <v>3</v>
      </c>
      <c r="AO751">
        <v>2024</v>
      </c>
      <c r="AP751" t="s">
        <v>79</v>
      </c>
    </row>
    <row r="752" spans="1:42">
      <c r="A752" t="s">
        <v>3545</v>
      </c>
      <c r="B752" s="3" t="s">
        <v>3546</v>
      </c>
      <c r="C752" s="3">
        <v>45810</v>
      </c>
      <c r="D752" t="s">
        <v>420</v>
      </c>
      <c r="E752" s="3">
        <v>45810</v>
      </c>
      <c r="F752" t="s">
        <v>3547</v>
      </c>
      <c r="G752" t="s">
        <v>202</v>
      </c>
      <c r="H752" t="str">
        <f t="shared" si="165"/>
        <v>Aarav Sharma</v>
      </c>
      <c r="I752" t="s">
        <v>154</v>
      </c>
      <c r="J752" t="str">
        <f t="shared" si="166"/>
        <v>Home Office</v>
      </c>
      <c r="K752" t="s">
        <v>10</v>
      </c>
      <c r="L752" t="str">
        <f t="shared" si="167"/>
        <v>South</v>
      </c>
      <c r="M752" t="s">
        <v>104</v>
      </c>
      <c r="N752" t="str">
        <f t="shared" si="168"/>
        <v>Telangana</v>
      </c>
      <c r="O752" t="s">
        <v>105</v>
      </c>
      <c r="P752" t="str">
        <f t="shared" si="169"/>
        <v>Hyderabad</v>
      </c>
      <c r="Q752" t="s">
        <v>24</v>
      </c>
      <c r="R752" t="str">
        <f t="shared" si="170"/>
        <v>Technology</v>
      </c>
      <c r="S752" t="s">
        <v>126</v>
      </c>
      <c r="T752" t="str">
        <f t="shared" si="171"/>
        <v>Accessories</v>
      </c>
      <c r="U752" t="s">
        <v>3548</v>
      </c>
      <c r="V752" t="str">
        <f t="shared" si="172"/>
        <v>Max Accessories 291</v>
      </c>
      <c r="W752" t="s">
        <v>98</v>
      </c>
      <c r="X752" t="str">
        <f t="shared" si="173"/>
        <v>First Class</v>
      </c>
      <c r="Y752">
        <v>0</v>
      </c>
      <c r="Z752">
        <v>8</v>
      </c>
      <c r="AA752">
        <v>3925.93</v>
      </c>
      <c r="AB752">
        <v>0.15</v>
      </c>
      <c r="AC752">
        <f t="shared" si="174"/>
        <v>0.15</v>
      </c>
      <c r="AD752">
        <v>26696.32</v>
      </c>
      <c r="AE752">
        <f t="shared" si="175"/>
        <v>26696.324</v>
      </c>
      <c r="AF752">
        <v>22724.52</v>
      </c>
      <c r="AG752">
        <v>3971.8</v>
      </c>
      <c r="AH752">
        <f t="shared" si="176"/>
        <v>3971.804</v>
      </c>
      <c r="AI752">
        <f t="shared" si="177"/>
        <v>0.148777187450976</v>
      </c>
      <c r="AJ752" t="s">
        <v>77</v>
      </c>
      <c r="AK752" t="str">
        <f t="shared" si="178"/>
        <v>Paid</v>
      </c>
      <c r="AL752" t="s">
        <v>78</v>
      </c>
      <c r="AM752" t="str">
        <f t="shared" si="179"/>
        <v>Completed</v>
      </c>
      <c r="AN752">
        <v>6</v>
      </c>
      <c r="AO752">
        <v>2025</v>
      </c>
      <c r="AP752" t="s">
        <v>79</v>
      </c>
    </row>
    <row r="753" spans="1:42">
      <c r="A753" t="s">
        <v>3549</v>
      </c>
      <c r="B753" s="3" t="s">
        <v>770</v>
      </c>
      <c r="C753" s="3">
        <v>45856</v>
      </c>
      <c r="D753" t="s">
        <v>3550</v>
      </c>
      <c r="E753" s="3">
        <v>45857</v>
      </c>
      <c r="F753" t="s">
        <v>3551</v>
      </c>
      <c r="G753" t="s">
        <v>182</v>
      </c>
      <c r="H753" t="str">
        <f t="shared" si="165"/>
        <v>Priya Menon</v>
      </c>
      <c r="I753" t="s">
        <v>154</v>
      </c>
      <c r="J753" t="str">
        <f t="shared" si="166"/>
        <v>Home Office</v>
      </c>
      <c r="L753" t="str">
        <f t="shared" si="167"/>
        <v/>
      </c>
      <c r="M753" t="s">
        <v>214</v>
      </c>
      <c r="N753" t="str">
        <f t="shared" si="168"/>
        <v>Uttar Pradesh</v>
      </c>
      <c r="O753" t="s">
        <v>215</v>
      </c>
      <c r="P753" t="str">
        <f t="shared" si="169"/>
        <v>Noida</v>
      </c>
      <c r="Q753" t="s">
        <v>24</v>
      </c>
      <c r="R753" t="str">
        <f t="shared" si="170"/>
        <v>Technology</v>
      </c>
      <c r="S753" t="s">
        <v>427</v>
      </c>
      <c r="T753" t="str">
        <f t="shared" si="171"/>
        <v>Machines</v>
      </c>
      <c r="U753" t="s">
        <v>3552</v>
      </c>
      <c r="V753" t="str">
        <f t="shared" si="172"/>
        <v>Eco Machines 414</v>
      </c>
      <c r="X753" t="str">
        <f t="shared" si="173"/>
        <v/>
      </c>
      <c r="Y753">
        <v>1</v>
      </c>
      <c r="Z753">
        <v>3</v>
      </c>
      <c r="AA753">
        <v>2963.25</v>
      </c>
      <c r="AB753">
        <v>0.05</v>
      </c>
      <c r="AC753">
        <f t="shared" si="174"/>
        <v>0.05</v>
      </c>
      <c r="AD753">
        <v>8445.26</v>
      </c>
      <c r="AE753">
        <f t="shared" si="175"/>
        <v>8445.2625</v>
      </c>
      <c r="AF753">
        <v>6937.6</v>
      </c>
      <c r="AG753">
        <v>1507.66</v>
      </c>
      <c r="AH753">
        <f t="shared" si="176"/>
        <v>1507.6625</v>
      </c>
      <c r="AI753">
        <f t="shared" si="177"/>
        <v>0.178521685974829</v>
      </c>
      <c r="AJ753" t="s">
        <v>77</v>
      </c>
      <c r="AK753" t="str">
        <f t="shared" si="178"/>
        <v>Paid</v>
      </c>
      <c r="AL753" t="s">
        <v>78</v>
      </c>
      <c r="AM753" t="str">
        <f t="shared" si="179"/>
        <v>Completed</v>
      </c>
      <c r="AN753">
        <v>7</v>
      </c>
      <c r="AO753">
        <v>2025</v>
      </c>
      <c r="AP753" t="s">
        <v>79</v>
      </c>
    </row>
    <row r="754" spans="1:42">
      <c r="A754" t="s">
        <v>3553</v>
      </c>
      <c r="B754" s="3" t="s">
        <v>2273</v>
      </c>
      <c r="C754" s="3">
        <v>45375</v>
      </c>
      <c r="D754" t="s">
        <v>3222</v>
      </c>
      <c r="E754" s="3">
        <v>45378</v>
      </c>
      <c r="F754" t="s">
        <v>3554</v>
      </c>
      <c r="G754" t="s">
        <v>146</v>
      </c>
      <c r="H754" t="str">
        <f t="shared" si="165"/>
        <v>Aditi Sen</v>
      </c>
      <c r="I754" t="s">
        <v>147</v>
      </c>
      <c r="J754" t="str">
        <f t="shared" si="166"/>
        <v>Corporate</v>
      </c>
      <c r="K754" t="s">
        <v>12</v>
      </c>
      <c r="L754" t="str">
        <f t="shared" si="167"/>
        <v>West</v>
      </c>
      <c r="M754" t="s">
        <v>278</v>
      </c>
      <c r="N754" t="str">
        <f t="shared" si="168"/>
        <v>Gujarat</v>
      </c>
      <c r="O754" t="s">
        <v>279</v>
      </c>
      <c r="P754" t="str">
        <f t="shared" si="169"/>
        <v>Ahmedabad</v>
      </c>
      <c r="Q754" t="s">
        <v>22</v>
      </c>
      <c r="R754" t="str">
        <f t="shared" si="170"/>
        <v>Office Supplies</v>
      </c>
      <c r="S754" t="s">
        <v>196</v>
      </c>
      <c r="T754" t="str">
        <f t="shared" si="171"/>
        <v>Storage</v>
      </c>
      <c r="U754" t="s">
        <v>3555</v>
      </c>
      <c r="V754" t="str">
        <f t="shared" si="172"/>
        <v>Basic Storage 273</v>
      </c>
      <c r="W754" t="s">
        <v>98</v>
      </c>
      <c r="X754" t="str">
        <f t="shared" si="173"/>
        <v>First Class</v>
      </c>
      <c r="Y754">
        <v>3</v>
      </c>
      <c r="Z754">
        <v>5</v>
      </c>
      <c r="AA754">
        <v>2465.22</v>
      </c>
      <c r="AB754">
        <v>0.05</v>
      </c>
      <c r="AC754">
        <f t="shared" si="174"/>
        <v>0.05</v>
      </c>
      <c r="AD754">
        <v>11709.79</v>
      </c>
      <c r="AE754">
        <f t="shared" si="175"/>
        <v>11709.795</v>
      </c>
      <c r="AF754">
        <v>8372.29</v>
      </c>
      <c r="AG754">
        <v>3337.5</v>
      </c>
      <c r="AH754">
        <f t="shared" si="176"/>
        <v>3337.505</v>
      </c>
      <c r="AI754">
        <f t="shared" si="177"/>
        <v>0.285018226194395</v>
      </c>
      <c r="AJ754" t="s">
        <v>77</v>
      </c>
      <c r="AK754" t="str">
        <f t="shared" si="178"/>
        <v>Paid</v>
      </c>
      <c r="AL754" t="s">
        <v>78</v>
      </c>
      <c r="AM754" t="str">
        <f t="shared" si="179"/>
        <v>Completed</v>
      </c>
      <c r="AN754">
        <v>3</v>
      </c>
      <c r="AO754">
        <v>2024</v>
      </c>
      <c r="AP754" t="s">
        <v>79</v>
      </c>
    </row>
    <row r="755" spans="1:42">
      <c r="A755" t="s">
        <v>3556</v>
      </c>
      <c r="B755" s="3" t="s">
        <v>2494</v>
      </c>
      <c r="C755" s="3">
        <v>45515</v>
      </c>
      <c r="D755" t="s">
        <v>2856</v>
      </c>
      <c r="E755" s="3">
        <v>45514</v>
      </c>
      <c r="F755" t="s">
        <v>3557</v>
      </c>
      <c r="G755" t="s">
        <v>146</v>
      </c>
      <c r="H755" t="str">
        <f t="shared" si="165"/>
        <v>Aditi Sen</v>
      </c>
      <c r="I755" t="s">
        <v>147</v>
      </c>
      <c r="J755" t="str">
        <f t="shared" si="166"/>
        <v>Corporate</v>
      </c>
      <c r="K755" t="s">
        <v>8</v>
      </c>
      <c r="L755" t="str">
        <f t="shared" si="167"/>
        <v>North</v>
      </c>
      <c r="M755" t="s">
        <v>552</v>
      </c>
      <c r="N755" t="str">
        <f t="shared" si="168"/>
        <v>Delhi</v>
      </c>
      <c r="O755" t="s">
        <v>553</v>
      </c>
      <c r="P755" t="str">
        <f t="shared" si="169"/>
        <v>New Delhi</v>
      </c>
      <c r="Q755" t="s">
        <v>17</v>
      </c>
      <c r="R755" t="str">
        <f t="shared" si="170"/>
        <v>Furniture</v>
      </c>
      <c r="S755" t="s">
        <v>106</v>
      </c>
      <c r="T755" t="str">
        <f t="shared" si="171"/>
        <v>Furnishings</v>
      </c>
      <c r="U755" t="s">
        <v>3558</v>
      </c>
      <c r="V755" t="str">
        <f t="shared" si="172"/>
        <v>Elite Furnishings 588</v>
      </c>
      <c r="W755" t="s">
        <v>76</v>
      </c>
      <c r="X755" t="str">
        <f t="shared" si="173"/>
        <v>Second Class</v>
      </c>
      <c r="Y755">
        <v>-1</v>
      </c>
      <c r="Z755">
        <v>3</v>
      </c>
      <c r="AA755">
        <v>1017.22</v>
      </c>
      <c r="AB755">
        <v>0.15</v>
      </c>
      <c r="AC755">
        <f t="shared" si="174"/>
        <v>0.15</v>
      </c>
      <c r="AD755">
        <v>2593.91</v>
      </c>
      <c r="AE755">
        <f t="shared" si="175"/>
        <v>2593.911</v>
      </c>
      <c r="AF755">
        <v>1848.48</v>
      </c>
      <c r="AG755">
        <v>745.43</v>
      </c>
      <c r="AH755">
        <f t="shared" si="176"/>
        <v>745.431</v>
      </c>
      <c r="AI755">
        <f t="shared" si="177"/>
        <v>0.287377246173828</v>
      </c>
      <c r="AJ755" t="s">
        <v>241</v>
      </c>
      <c r="AK755" t="str">
        <f t="shared" si="178"/>
        <v>Failed</v>
      </c>
      <c r="AL755" t="s">
        <v>164</v>
      </c>
      <c r="AM755" t="str">
        <f t="shared" si="179"/>
        <v>Returned</v>
      </c>
      <c r="AN755">
        <v>8</v>
      </c>
      <c r="AO755">
        <v>2024</v>
      </c>
      <c r="AP755" t="s">
        <v>253</v>
      </c>
    </row>
    <row r="756" spans="1:42">
      <c r="A756" t="s">
        <v>3559</v>
      </c>
      <c r="B756" s="3" t="s">
        <v>3560</v>
      </c>
      <c r="C756" s="3">
        <v>45812</v>
      </c>
      <c r="D756" t="s">
        <v>3560</v>
      </c>
      <c r="E756" s="3">
        <v>45812</v>
      </c>
      <c r="F756" t="s">
        <v>3561</v>
      </c>
      <c r="G756" t="s">
        <v>132</v>
      </c>
      <c r="H756" t="str">
        <f t="shared" si="165"/>
        <v>Neha Gupta</v>
      </c>
      <c r="I756" t="s">
        <v>147</v>
      </c>
      <c r="J756" t="str">
        <f t="shared" si="166"/>
        <v>Corporate</v>
      </c>
      <c r="K756" t="s">
        <v>10</v>
      </c>
      <c r="L756" t="str">
        <f t="shared" si="167"/>
        <v>South</v>
      </c>
      <c r="M756" t="s">
        <v>285</v>
      </c>
      <c r="N756" t="str">
        <f t="shared" si="168"/>
        <v>Kerala</v>
      </c>
      <c r="O756" t="s">
        <v>286</v>
      </c>
      <c r="P756" t="str">
        <f t="shared" si="169"/>
        <v>Kochi</v>
      </c>
      <c r="Q756" t="s">
        <v>22</v>
      </c>
      <c r="R756" t="str">
        <f t="shared" si="170"/>
        <v>Office Supplies</v>
      </c>
      <c r="S756" t="s">
        <v>196</v>
      </c>
      <c r="T756" t="str">
        <f t="shared" si="171"/>
        <v>Storage</v>
      </c>
      <c r="U756" t="s">
        <v>3562</v>
      </c>
      <c r="V756" t="str">
        <f t="shared" si="172"/>
        <v>Elite Storage 857</v>
      </c>
      <c r="W756" t="s">
        <v>108</v>
      </c>
      <c r="X756" t="str">
        <f t="shared" si="173"/>
        <v>Standard Class</v>
      </c>
      <c r="Y756">
        <v>0</v>
      </c>
      <c r="Z756">
        <v>4</v>
      </c>
      <c r="AA756">
        <v>891.34</v>
      </c>
      <c r="AB756">
        <v>0.25</v>
      </c>
      <c r="AC756">
        <f t="shared" si="174"/>
        <v>0.25</v>
      </c>
      <c r="AD756">
        <v>2674.02</v>
      </c>
      <c r="AE756">
        <f t="shared" si="175"/>
        <v>2674.02</v>
      </c>
      <c r="AF756">
        <v>2207.57</v>
      </c>
      <c r="AG756">
        <v>466.45</v>
      </c>
      <c r="AH756">
        <f t="shared" si="176"/>
        <v>466.45</v>
      </c>
      <c r="AI756">
        <f t="shared" si="177"/>
        <v>0.174437737937637</v>
      </c>
      <c r="AJ756" t="s">
        <v>77</v>
      </c>
      <c r="AK756" t="str">
        <f t="shared" si="178"/>
        <v>Paid</v>
      </c>
      <c r="AL756" t="s">
        <v>78</v>
      </c>
      <c r="AM756" t="str">
        <f t="shared" si="179"/>
        <v>Completed</v>
      </c>
      <c r="AN756">
        <v>6</v>
      </c>
      <c r="AO756">
        <v>2025</v>
      </c>
      <c r="AP756" t="s">
        <v>79</v>
      </c>
    </row>
    <row r="757" spans="1:42">
      <c r="A757" t="s">
        <v>3563</v>
      </c>
      <c r="B757" s="3" t="s">
        <v>1145</v>
      </c>
      <c r="C757" s="3">
        <v>45858</v>
      </c>
      <c r="D757" t="s">
        <v>1783</v>
      </c>
      <c r="E757" s="3">
        <v>45862</v>
      </c>
      <c r="F757" t="s">
        <v>3564</v>
      </c>
      <c r="G757" t="s">
        <v>182</v>
      </c>
      <c r="H757" t="str">
        <f t="shared" si="165"/>
        <v>Priya Menon</v>
      </c>
      <c r="I757" t="s">
        <v>154</v>
      </c>
      <c r="J757" t="str">
        <f t="shared" si="166"/>
        <v>Home Office</v>
      </c>
      <c r="K757" t="s">
        <v>11</v>
      </c>
      <c r="L757" t="str">
        <f t="shared" si="167"/>
        <v>West</v>
      </c>
      <c r="M757" t="s">
        <v>124</v>
      </c>
      <c r="N757" t="str">
        <f t="shared" si="168"/>
        <v>Madhya Pradesh</v>
      </c>
      <c r="O757" t="s">
        <v>125</v>
      </c>
      <c r="P757" t="str">
        <f t="shared" si="169"/>
        <v>Indore</v>
      </c>
      <c r="Q757" t="s">
        <v>22</v>
      </c>
      <c r="R757" t="str">
        <f t="shared" si="170"/>
        <v>Office Supplies</v>
      </c>
      <c r="S757" t="s">
        <v>196</v>
      </c>
      <c r="T757" t="str">
        <f t="shared" si="171"/>
        <v>Storage</v>
      </c>
      <c r="U757" t="s">
        <v>3565</v>
      </c>
      <c r="V757" t="str">
        <f t="shared" si="172"/>
        <v>Prime Storage 183</v>
      </c>
      <c r="W757" t="s">
        <v>76</v>
      </c>
      <c r="X757" t="str">
        <f t="shared" si="173"/>
        <v>Second Class</v>
      </c>
      <c r="Y757">
        <v>4</v>
      </c>
      <c r="Z757">
        <v>5</v>
      </c>
      <c r="AA757">
        <v>2481.74</v>
      </c>
      <c r="AB757">
        <v>0.2</v>
      </c>
      <c r="AC757">
        <f t="shared" si="174"/>
        <v>0.2</v>
      </c>
      <c r="AD757">
        <v>9926.96</v>
      </c>
      <c r="AE757">
        <f t="shared" si="175"/>
        <v>9926.96</v>
      </c>
      <c r="AF757">
        <v>7994.98</v>
      </c>
      <c r="AG757">
        <v>1931.98</v>
      </c>
      <c r="AH757">
        <f t="shared" si="176"/>
        <v>1931.98</v>
      </c>
      <c r="AI757">
        <f t="shared" si="177"/>
        <v>0.194619500834092</v>
      </c>
      <c r="AJ757" t="s">
        <v>77</v>
      </c>
      <c r="AK757" t="str">
        <f t="shared" si="178"/>
        <v>Paid</v>
      </c>
      <c r="AL757" t="s">
        <v>78</v>
      </c>
      <c r="AM757" t="str">
        <f t="shared" si="179"/>
        <v>Completed</v>
      </c>
      <c r="AN757">
        <v>7</v>
      </c>
      <c r="AO757">
        <v>2025</v>
      </c>
      <c r="AP757" t="s">
        <v>79</v>
      </c>
    </row>
    <row r="758" spans="1:42">
      <c r="A758" t="s">
        <v>3566</v>
      </c>
      <c r="B758" s="3" t="s">
        <v>3567</v>
      </c>
      <c r="C758" s="3">
        <v>45592</v>
      </c>
      <c r="D758" t="s">
        <v>3568</v>
      </c>
      <c r="E758" s="3">
        <v>45597</v>
      </c>
      <c r="F758" t="s">
        <v>3569</v>
      </c>
      <c r="G758" t="s">
        <v>220</v>
      </c>
      <c r="H758" t="str">
        <f t="shared" si="165"/>
        <v>Rohan Mehta</v>
      </c>
      <c r="I758" t="s">
        <v>71</v>
      </c>
      <c r="J758" t="str">
        <f t="shared" si="166"/>
        <v>Consumer</v>
      </c>
      <c r="K758" t="s">
        <v>8</v>
      </c>
      <c r="L758" t="str">
        <f t="shared" si="167"/>
        <v>North</v>
      </c>
      <c r="M758" t="s">
        <v>72</v>
      </c>
      <c r="N758" t="str">
        <f t="shared" si="168"/>
        <v>Rajasthan</v>
      </c>
      <c r="O758" t="s">
        <v>73</v>
      </c>
      <c r="P758" t="str">
        <f t="shared" si="169"/>
        <v>Jaipur</v>
      </c>
      <c r="Q758" t="s">
        <v>24</v>
      </c>
      <c r="R758" t="str">
        <f t="shared" si="170"/>
        <v>Technology</v>
      </c>
      <c r="S758" t="s">
        <v>126</v>
      </c>
      <c r="T758" t="str">
        <f t="shared" si="171"/>
        <v>Accessories</v>
      </c>
      <c r="U758" t="s">
        <v>3570</v>
      </c>
      <c r="V758" t="str">
        <f t="shared" si="172"/>
        <v>Smart Accessories 362</v>
      </c>
      <c r="W758" t="s">
        <v>90</v>
      </c>
      <c r="X758" t="str">
        <f t="shared" si="173"/>
        <v>Same Day</v>
      </c>
      <c r="Y758">
        <v>5</v>
      </c>
      <c r="Z758">
        <v>7</v>
      </c>
      <c r="AA758">
        <v>2177.1</v>
      </c>
      <c r="AB758">
        <v>0.2</v>
      </c>
      <c r="AC758">
        <f t="shared" si="174"/>
        <v>0.2</v>
      </c>
      <c r="AD758">
        <v>12191.76</v>
      </c>
      <c r="AE758">
        <f t="shared" si="175"/>
        <v>12191.76</v>
      </c>
      <c r="AF758">
        <v>10457.49</v>
      </c>
      <c r="AG758">
        <v>1734.27</v>
      </c>
      <c r="AH758">
        <f t="shared" si="176"/>
        <v>1734.27</v>
      </c>
      <c r="AI758">
        <f t="shared" si="177"/>
        <v>0.14224935530227</v>
      </c>
      <c r="AJ758" t="s">
        <v>77</v>
      </c>
      <c r="AK758" t="str">
        <f t="shared" si="178"/>
        <v>Paid</v>
      </c>
      <c r="AL758" t="s">
        <v>164</v>
      </c>
      <c r="AM758" t="str">
        <f t="shared" si="179"/>
        <v>Returned</v>
      </c>
      <c r="AN758">
        <v>10</v>
      </c>
      <c r="AO758">
        <v>2024</v>
      </c>
      <c r="AP758" t="s">
        <v>79</v>
      </c>
    </row>
    <row r="759" spans="1:42">
      <c r="A759" t="s">
        <v>3571</v>
      </c>
      <c r="B759" s="3" t="s">
        <v>3572</v>
      </c>
      <c r="C759" s="3">
        <v>45870</v>
      </c>
      <c r="D759" t="s">
        <v>3573</v>
      </c>
      <c r="E759" s="3">
        <v>45872</v>
      </c>
      <c r="F759" t="s">
        <v>3574</v>
      </c>
      <c r="G759" t="s">
        <v>146</v>
      </c>
      <c r="H759" t="str">
        <f t="shared" si="165"/>
        <v>Aditi Sen</v>
      </c>
      <c r="I759" t="s">
        <v>85</v>
      </c>
      <c r="J759" t="str">
        <f t="shared" si="166"/>
        <v>Small Business</v>
      </c>
      <c r="K759" t="s">
        <v>10</v>
      </c>
      <c r="L759" t="str">
        <f t="shared" si="167"/>
        <v>South</v>
      </c>
      <c r="M759" t="s">
        <v>285</v>
      </c>
      <c r="N759" t="str">
        <f t="shared" si="168"/>
        <v>Kerala</v>
      </c>
      <c r="O759" t="s">
        <v>286</v>
      </c>
      <c r="P759" t="str">
        <f t="shared" si="169"/>
        <v>Kochi</v>
      </c>
      <c r="Q759" t="s">
        <v>19</v>
      </c>
      <c r="R759" t="str">
        <f t="shared" si="170"/>
        <v>Furniture</v>
      </c>
      <c r="S759" t="s">
        <v>245</v>
      </c>
      <c r="T759" t="str">
        <f t="shared" si="171"/>
        <v>Bookcases</v>
      </c>
      <c r="U759" t="s">
        <v>3575</v>
      </c>
      <c r="V759" t="str">
        <f t="shared" si="172"/>
        <v>Classic Bookcases 310</v>
      </c>
      <c r="W759" t="s">
        <v>108</v>
      </c>
      <c r="X759" t="str">
        <f t="shared" si="173"/>
        <v>Standard Class</v>
      </c>
      <c r="Y759">
        <v>2</v>
      </c>
      <c r="Z759">
        <v>3</v>
      </c>
      <c r="AA759">
        <v>1904.78</v>
      </c>
      <c r="AB759">
        <v>0.25</v>
      </c>
      <c r="AC759">
        <f t="shared" si="174"/>
        <v>0.25</v>
      </c>
      <c r="AD759">
        <v>4285.76</v>
      </c>
      <c r="AE759">
        <f t="shared" si="175"/>
        <v>4285.755</v>
      </c>
      <c r="AF759">
        <v>2386.33</v>
      </c>
      <c r="AG759">
        <v>1899.43</v>
      </c>
      <c r="AH759">
        <f t="shared" si="176"/>
        <v>1899.425</v>
      </c>
      <c r="AI759">
        <f t="shared" si="177"/>
        <v>0.443194956314582</v>
      </c>
      <c r="AJ759" t="s">
        <v>241</v>
      </c>
      <c r="AK759" t="str">
        <f t="shared" si="178"/>
        <v>Failed</v>
      </c>
      <c r="AL759" t="s">
        <v>118</v>
      </c>
      <c r="AM759" t="str">
        <f t="shared" si="179"/>
        <v>Cancelled</v>
      </c>
      <c r="AN759">
        <v>8</v>
      </c>
      <c r="AO759">
        <v>2025</v>
      </c>
      <c r="AP759" t="s">
        <v>79</v>
      </c>
    </row>
    <row r="760" spans="1:42">
      <c r="A760" t="s">
        <v>3576</v>
      </c>
      <c r="B760" s="3" t="s">
        <v>3577</v>
      </c>
      <c r="C760" s="3">
        <v>45414</v>
      </c>
      <c r="D760" t="s">
        <v>2761</v>
      </c>
      <c r="E760" s="3">
        <v>45422</v>
      </c>
      <c r="F760" t="s">
        <v>3578</v>
      </c>
      <c r="G760" t="s">
        <v>202</v>
      </c>
      <c r="H760" t="str">
        <f t="shared" si="165"/>
        <v>Aarav Sharma</v>
      </c>
      <c r="I760" t="s">
        <v>85</v>
      </c>
      <c r="J760" t="str">
        <f t="shared" si="166"/>
        <v>Small Business</v>
      </c>
      <c r="K760" t="s">
        <v>10</v>
      </c>
      <c r="L760" t="str">
        <f t="shared" si="167"/>
        <v>South</v>
      </c>
      <c r="M760" t="s">
        <v>272</v>
      </c>
      <c r="N760" t="str">
        <f t="shared" si="168"/>
        <v>Karnataka</v>
      </c>
      <c r="O760" t="s">
        <v>273</v>
      </c>
      <c r="P760" t="str">
        <f t="shared" si="169"/>
        <v>Bengaluru</v>
      </c>
      <c r="Q760" t="s">
        <v>19</v>
      </c>
      <c r="R760" t="str">
        <f t="shared" si="170"/>
        <v>Furniture</v>
      </c>
      <c r="S760" t="s">
        <v>116</v>
      </c>
      <c r="T760" t="str">
        <f t="shared" si="171"/>
        <v>Chairs</v>
      </c>
      <c r="U760" t="s">
        <v>3579</v>
      </c>
      <c r="V760" t="str">
        <f t="shared" si="172"/>
        <v>Prime Chairs 721</v>
      </c>
      <c r="W760" t="s">
        <v>108</v>
      </c>
      <c r="X760" t="str">
        <f t="shared" si="173"/>
        <v>Standard Class</v>
      </c>
      <c r="Y760">
        <v>8</v>
      </c>
      <c r="Z760">
        <v>1</v>
      </c>
      <c r="AA760">
        <v>4166.91</v>
      </c>
      <c r="AB760">
        <v>0</v>
      </c>
      <c r="AC760">
        <f t="shared" si="174"/>
        <v>0</v>
      </c>
      <c r="AD760">
        <v>4166.91</v>
      </c>
      <c r="AE760">
        <f t="shared" si="175"/>
        <v>4166.91</v>
      </c>
      <c r="AF760">
        <v>3412.63</v>
      </c>
      <c r="AG760">
        <v>754.28</v>
      </c>
      <c r="AH760">
        <f t="shared" si="176"/>
        <v>754.28</v>
      </c>
      <c r="AI760">
        <f t="shared" si="177"/>
        <v>0.181016628628888</v>
      </c>
      <c r="AJ760" t="s">
        <v>77</v>
      </c>
      <c r="AK760" t="str">
        <f t="shared" si="178"/>
        <v>Paid</v>
      </c>
      <c r="AL760" t="s">
        <v>78</v>
      </c>
      <c r="AM760" t="str">
        <f t="shared" si="179"/>
        <v>Completed</v>
      </c>
      <c r="AN760">
        <v>5</v>
      </c>
      <c r="AO760">
        <v>2024</v>
      </c>
      <c r="AP760" t="s">
        <v>79</v>
      </c>
    </row>
    <row r="761" spans="1:42">
      <c r="A761" t="s">
        <v>3580</v>
      </c>
      <c r="B761" s="3" t="s">
        <v>451</v>
      </c>
      <c r="C761" s="3">
        <v>45492</v>
      </c>
      <c r="D761" t="s">
        <v>3581</v>
      </c>
      <c r="E761" s="3">
        <v>45499</v>
      </c>
      <c r="F761" t="s">
        <v>3582</v>
      </c>
      <c r="G761" t="s">
        <v>103</v>
      </c>
      <c r="H761" t="str">
        <f t="shared" si="165"/>
        <v>Arjun Bose</v>
      </c>
      <c r="I761" t="s">
        <v>154</v>
      </c>
      <c r="J761" t="str">
        <f t="shared" si="166"/>
        <v>Home Office</v>
      </c>
      <c r="K761" t="s">
        <v>6</v>
      </c>
      <c r="L761" t="str">
        <f t="shared" si="167"/>
        <v>South</v>
      </c>
      <c r="M761" t="s">
        <v>272</v>
      </c>
      <c r="N761" t="str">
        <f t="shared" si="168"/>
        <v>Karnataka</v>
      </c>
      <c r="O761" t="s">
        <v>273</v>
      </c>
      <c r="P761" t="str">
        <f t="shared" si="169"/>
        <v>Bengaluru</v>
      </c>
      <c r="Q761" t="s">
        <v>19</v>
      </c>
      <c r="R761" t="str">
        <f t="shared" si="170"/>
        <v>Furniture</v>
      </c>
      <c r="S761" t="s">
        <v>88</v>
      </c>
      <c r="T761" t="str">
        <f t="shared" si="171"/>
        <v>Tables</v>
      </c>
      <c r="U761" t="s">
        <v>3583</v>
      </c>
      <c r="V761" t="str">
        <f t="shared" si="172"/>
        <v>Prime Tables 797</v>
      </c>
      <c r="W761" t="s">
        <v>76</v>
      </c>
      <c r="X761" t="str">
        <f t="shared" si="173"/>
        <v>Second Class</v>
      </c>
      <c r="Y761">
        <v>7</v>
      </c>
      <c r="Z761">
        <v>5</v>
      </c>
      <c r="AA761">
        <v>3986.01</v>
      </c>
      <c r="AB761">
        <v>0.25</v>
      </c>
      <c r="AC761">
        <f t="shared" si="174"/>
        <v>0.25</v>
      </c>
      <c r="AD761">
        <v>14947.54</v>
      </c>
      <c r="AE761">
        <f t="shared" si="175"/>
        <v>14947.5375</v>
      </c>
      <c r="AF761">
        <v>9438.46</v>
      </c>
      <c r="AG761">
        <v>5509.08</v>
      </c>
      <c r="AH761">
        <f t="shared" si="176"/>
        <v>5509.0775</v>
      </c>
      <c r="AI761">
        <f t="shared" si="177"/>
        <v>0.368560874993624</v>
      </c>
      <c r="AJ761" t="s">
        <v>77</v>
      </c>
      <c r="AK761" t="str">
        <f t="shared" si="178"/>
        <v>Paid</v>
      </c>
      <c r="AL761" t="s">
        <v>78</v>
      </c>
      <c r="AM761" t="str">
        <f t="shared" si="179"/>
        <v>Completed</v>
      </c>
      <c r="AN761">
        <v>7</v>
      </c>
      <c r="AO761">
        <v>2024</v>
      </c>
      <c r="AP761" t="s">
        <v>79</v>
      </c>
    </row>
    <row r="762" spans="1:42">
      <c r="A762" t="s">
        <v>3584</v>
      </c>
      <c r="B762" s="3" t="s">
        <v>3585</v>
      </c>
      <c r="C762" s="3">
        <v>45532</v>
      </c>
      <c r="D762" t="s">
        <v>1248</v>
      </c>
      <c r="E762" s="3">
        <v>45537</v>
      </c>
      <c r="F762" t="s">
        <v>3586</v>
      </c>
      <c r="G762" t="s">
        <v>146</v>
      </c>
      <c r="H762" t="str">
        <f t="shared" si="165"/>
        <v>Aditi Sen</v>
      </c>
      <c r="I762" t="s">
        <v>154</v>
      </c>
      <c r="J762" t="str">
        <f t="shared" si="166"/>
        <v>Home Office</v>
      </c>
      <c r="K762" t="s">
        <v>7</v>
      </c>
      <c r="L762" t="str">
        <f t="shared" si="167"/>
        <v>East</v>
      </c>
      <c r="M762" t="s">
        <v>258</v>
      </c>
      <c r="N762" t="str">
        <f t="shared" si="168"/>
        <v>Assam</v>
      </c>
      <c r="O762" t="s">
        <v>259</v>
      </c>
      <c r="P762" t="str">
        <f t="shared" si="169"/>
        <v>Guwahati</v>
      </c>
      <c r="Q762" t="s">
        <v>22</v>
      </c>
      <c r="R762" t="str">
        <f t="shared" si="170"/>
        <v>Office Supplies</v>
      </c>
      <c r="S762" t="s">
        <v>96</v>
      </c>
      <c r="T762" t="str">
        <f t="shared" si="171"/>
        <v>Art</v>
      </c>
      <c r="U762" t="s">
        <v>3587</v>
      </c>
      <c r="V762" t="str">
        <f t="shared" si="172"/>
        <v>Max Art 926</v>
      </c>
      <c r="W762" t="s">
        <v>76</v>
      </c>
      <c r="X762" t="str">
        <f t="shared" si="173"/>
        <v>Second Class</v>
      </c>
      <c r="Y762">
        <v>5</v>
      </c>
      <c r="Z762">
        <v>4</v>
      </c>
      <c r="AA762">
        <v>3365.53</v>
      </c>
      <c r="AB762">
        <v>0</v>
      </c>
      <c r="AC762">
        <f t="shared" si="174"/>
        <v>0</v>
      </c>
      <c r="AD762">
        <v>13462.12</v>
      </c>
      <c r="AE762">
        <f t="shared" si="175"/>
        <v>13462.12</v>
      </c>
      <c r="AF762">
        <v>7600.63</v>
      </c>
      <c r="AG762">
        <v>5861.49</v>
      </c>
      <c r="AH762">
        <f t="shared" si="176"/>
        <v>5861.49</v>
      </c>
      <c r="AI762">
        <f t="shared" si="177"/>
        <v>0.435406161882378</v>
      </c>
      <c r="AJ762" t="s">
        <v>177</v>
      </c>
      <c r="AK762" t="str">
        <f t="shared" si="178"/>
        <v>Pending</v>
      </c>
      <c r="AL762" t="s">
        <v>164</v>
      </c>
      <c r="AM762" t="str">
        <f t="shared" si="179"/>
        <v>Returned</v>
      </c>
      <c r="AN762">
        <v>8</v>
      </c>
      <c r="AO762">
        <v>2024</v>
      </c>
      <c r="AP762" t="s">
        <v>79</v>
      </c>
    </row>
    <row r="763" spans="1:42">
      <c r="A763" t="s">
        <v>3588</v>
      </c>
      <c r="B763" s="3" t="s">
        <v>500</v>
      </c>
      <c r="C763" s="3">
        <v>45896</v>
      </c>
      <c r="D763" t="s">
        <v>3589</v>
      </c>
      <c r="E763" s="3">
        <v>45900</v>
      </c>
      <c r="F763" t="s">
        <v>3590</v>
      </c>
      <c r="G763" t="s">
        <v>95</v>
      </c>
      <c r="H763" t="str">
        <f t="shared" si="165"/>
        <v>Isha Nair</v>
      </c>
      <c r="I763" t="s">
        <v>71</v>
      </c>
      <c r="J763" t="str">
        <f t="shared" si="166"/>
        <v>Consumer</v>
      </c>
      <c r="K763" t="s">
        <v>10</v>
      </c>
      <c r="L763" t="str">
        <f t="shared" si="167"/>
        <v>South</v>
      </c>
      <c r="M763" t="s">
        <v>272</v>
      </c>
      <c r="N763" t="str">
        <f t="shared" si="168"/>
        <v>Karnataka</v>
      </c>
      <c r="O763" t="s">
        <v>273</v>
      </c>
      <c r="P763" t="str">
        <f t="shared" si="169"/>
        <v>Bengaluru</v>
      </c>
      <c r="Q763" t="s">
        <v>24</v>
      </c>
      <c r="R763" t="str">
        <f t="shared" si="170"/>
        <v>Technology</v>
      </c>
      <c r="S763" t="s">
        <v>427</v>
      </c>
      <c r="T763" t="str">
        <f t="shared" si="171"/>
        <v>Machines</v>
      </c>
      <c r="U763" t="s">
        <v>3591</v>
      </c>
      <c r="V763" t="str">
        <f t="shared" si="172"/>
        <v>Max Machines 364</v>
      </c>
      <c r="W763" t="s">
        <v>98</v>
      </c>
      <c r="X763" t="str">
        <f t="shared" si="173"/>
        <v>First Class</v>
      </c>
      <c r="Y763">
        <v>4</v>
      </c>
      <c r="Z763">
        <v>3</v>
      </c>
      <c r="AA763">
        <v>2489.12</v>
      </c>
      <c r="AB763">
        <v>0</v>
      </c>
      <c r="AC763">
        <f t="shared" si="174"/>
        <v>0</v>
      </c>
      <c r="AD763">
        <v>7467.36</v>
      </c>
      <c r="AE763">
        <f t="shared" si="175"/>
        <v>7467.36</v>
      </c>
      <c r="AF763">
        <v>5010.61</v>
      </c>
      <c r="AG763">
        <v>2456.75</v>
      </c>
      <c r="AH763">
        <f t="shared" si="176"/>
        <v>2456.75</v>
      </c>
      <c r="AI763">
        <f t="shared" si="177"/>
        <v>0.3289984679994</v>
      </c>
      <c r="AJ763" t="s">
        <v>77</v>
      </c>
      <c r="AK763" t="str">
        <f t="shared" si="178"/>
        <v>Paid</v>
      </c>
      <c r="AL763" t="s">
        <v>78</v>
      </c>
      <c r="AM763" t="str">
        <f t="shared" si="179"/>
        <v>Completed</v>
      </c>
      <c r="AN763">
        <v>8</v>
      </c>
      <c r="AO763">
        <v>2025</v>
      </c>
      <c r="AP763" t="s">
        <v>79</v>
      </c>
    </row>
    <row r="764" spans="1:42">
      <c r="A764" t="s">
        <v>3592</v>
      </c>
      <c r="B764" s="3" t="s">
        <v>3593</v>
      </c>
      <c r="C764" s="3">
        <v>45292</v>
      </c>
      <c r="D764" t="s">
        <v>3594</v>
      </c>
      <c r="E764" s="3">
        <v>45296</v>
      </c>
      <c r="F764" t="s">
        <v>3595</v>
      </c>
      <c r="G764" t="s">
        <v>251</v>
      </c>
      <c r="H764" t="str">
        <f t="shared" si="165"/>
        <v>Diya Patel</v>
      </c>
      <c r="I764" t="s">
        <v>147</v>
      </c>
      <c r="J764" t="str">
        <f t="shared" si="166"/>
        <v>Corporate</v>
      </c>
      <c r="K764" t="s">
        <v>11</v>
      </c>
      <c r="L764" t="str">
        <f t="shared" si="167"/>
        <v>West</v>
      </c>
      <c r="M764" t="s">
        <v>124</v>
      </c>
      <c r="N764" t="str">
        <f t="shared" si="168"/>
        <v>Madhya Pradesh</v>
      </c>
      <c r="O764" t="s">
        <v>125</v>
      </c>
      <c r="P764" t="str">
        <f t="shared" si="169"/>
        <v>Indore</v>
      </c>
      <c r="Q764" t="s">
        <v>24</v>
      </c>
      <c r="R764" t="str">
        <f t="shared" si="170"/>
        <v>Technology</v>
      </c>
      <c r="S764" t="s">
        <v>427</v>
      </c>
      <c r="T764" t="str">
        <f t="shared" si="171"/>
        <v>Machines</v>
      </c>
      <c r="U764" t="s">
        <v>3596</v>
      </c>
      <c r="V764" t="str">
        <f t="shared" si="172"/>
        <v>Classic Machines 122</v>
      </c>
      <c r="W764" t="s">
        <v>76</v>
      </c>
      <c r="X764" t="str">
        <f t="shared" si="173"/>
        <v>Second Class</v>
      </c>
      <c r="Y764">
        <v>4</v>
      </c>
      <c r="Z764">
        <v>2</v>
      </c>
      <c r="AA764">
        <v>3694.12</v>
      </c>
      <c r="AB764">
        <v>0.2</v>
      </c>
      <c r="AC764">
        <f t="shared" si="174"/>
        <v>0.2</v>
      </c>
      <c r="AD764">
        <v>5910.59</v>
      </c>
      <c r="AE764">
        <f t="shared" si="175"/>
        <v>5910.592</v>
      </c>
      <c r="AF764">
        <v>4775.44</v>
      </c>
      <c r="AG764">
        <v>1135.15</v>
      </c>
      <c r="AH764">
        <f t="shared" si="176"/>
        <v>1135.152</v>
      </c>
      <c r="AI764">
        <f t="shared" si="177"/>
        <v>0.192053858564421</v>
      </c>
      <c r="AJ764" t="s">
        <v>163</v>
      </c>
      <c r="AK764" t="str">
        <f t="shared" si="178"/>
        <v>Refunded</v>
      </c>
      <c r="AL764" t="s">
        <v>164</v>
      </c>
      <c r="AM764" t="str">
        <f t="shared" si="179"/>
        <v>Returned</v>
      </c>
      <c r="AN764">
        <v>1</v>
      </c>
      <c r="AO764">
        <v>2024</v>
      </c>
      <c r="AP764" t="s">
        <v>79</v>
      </c>
    </row>
    <row r="765" spans="1:42">
      <c r="A765" t="s">
        <v>3597</v>
      </c>
      <c r="B765" s="3" t="s">
        <v>3598</v>
      </c>
      <c r="C765" s="3">
        <v>45892</v>
      </c>
      <c r="D765" t="s">
        <v>3599</v>
      </c>
      <c r="E765" s="3">
        <v>45894</v>
      </c>
      <c r="F765" t="s">
        <v>3600</v>
      </c>
      <c r="G765" t="s">
        <v>251</v>
      </c>
      <c r="H765" t="str">
        <f t="shared" si="165"/>
        <v>Diya Patel</v>
      </c>
      <c r="I765" t="s">
        <v>71</v>
      </c>
      <c r="J765" t="str">
        <f t="shared" si="166"/>
        <v>Consumer</v>
      </c>
      <c r="K765" t="s">
        <v>8</v>
      </c>
      <c r="L765" t="str">
        <f t="shared" si="167"/>
        <v>North</v>
      </c>
      <c r="M765" t="s">
        <v>72</v>
      </c>
      <c r="N765" t="str">
        <f t="shared" si="168"/>
        <v>Rajasthan</v>
      </c>
      <c r="O765" t="s">
        <v>73</v>
      </c>
      <c r="P765" t="str">
        <f t="shared" si="169"/>
        <v>Jaipur</v>
      </c>
      <c r="Q765" t="s">
        <v>19</v>
      </c>
      <c r="R765" t="str">
        <f t="shared" si="170"/>
        <v>Furniture</v>
      </c>
      <c r="S765" t="s">
        <v>106</v>
      </c>
      <c r="T765" t="str">
        <f t="shared" si="171"/>
        <v>Furnishings</v>
      </c>
      <c r="U765" t="s">
        <v>3601</v>
      </c>
      <c r="V765" t="str">
        <f t="shared" si="172"/>
        <v>Elite Furnishings 169</v>
      </c>
      <c r="W765" t="s">
        <v>90</v>
      </c>
      <c r="X765" t="str">
        <f t="shared" si="173"/>
        <v>Same Day</v>
      </c>
      <c r="Y765">
        <v>2</v>
      </c>
      <c r="Z765">
        <v>6</v>
      </c>
      <c r="AA765">
        <v>2742.48</v>
      </c>
      <c r="AB765">
        <v>0</v>
      </c>
      <c r="AC765">
        <f t="shared" si="174"/>
        <v>0</v>
      </c>
      <c r="AD765">
        <v>16454.88</v>
      </c>
      <c r="AE765">
        <f t="shared" si="175"/>
        <v>16454.88</v>
      </c>
      <c r="AF765">
        <v>12081.54</v>
      </c>
      <c r="AG765">
        <v>4373.34</v>
      </c>
      <c r="AH765">
        <f t="shared" si="176"/>
        <v>4373.34</v>
      </c>
      <c r="AI765">
        <f t="shared" si="177"/>
        <v>0.265777690265745</v>
      </c>
      <c r="AJ765" t="s">
        <v>77</v>
      </c>
      <c r="AK765" t="str">
        <f t="shared" si="178"/>
        <v>Paid</v>
      </c>
      <c r="AL765" t="s">
        <v>78</v>
      </c>
      <c r="AM765" t="str">
        <f t="shared" si="179"/>
        <v>Completed</v>
      </c>
      <c r="AN765">
        <v>8</v>
      </c>
      <c r="AO765">
        <v>2025</v>
      </c>
      <c r="AP765" t="s">
        <v>79</v>
      </c>
    </row>
    <row r="766" spans="1:42">
      <c r="A766" t="s">
        <v>3602</v>
      </c>
      <c r="B766" s="3" t="s">
        <v>1916</v>
      </c>
      <c r="C766" s="3">
        <v>45760</v>
      </c>
      <c r="D766" t="s">
        <v>2972</v>
      </c>
      <c r="E766" s="3">
        <v>45760</v>
      </c>
      <c r="F766" t="s">
        <v>1406</v>
      </c>
      <c r="G766" t="s">
        <v>182</v>
      </c>
      <c r="H766" t="str">
        <f t="shared" si="165"/>
        <v>Priya Menon</v>
      </c>
      <c r="I766" t="s">
        <v>147</v>
      </c>
      <c r="J766" t="str">
        <f t="shared" si="166"/>
        <v>Corporate</v>
      </c>
      <c r="K766" t="s">
        <v>10</v>
      </c>
      <c r="L766" t="str">
        <f t="shared" si="167"/>
        <v>South</v>
      </c>
      <c r="M766" t="s">
        <v>285</v>
      </c>
      <c r="N766" t="str">
        <f t="shared" si="168"/>
        <v>Kerala</v>
      </c>
      <c r="O766" t="s">
        <v>286</v>
      </c>
      <c r="P766" t="str">
        <f t="shared" si="169"/>
        <v>Kochi</v>
      </c>
      <c r="Q766" t="s">
        <v>19</v>
      </c>
      <c r="R766" t="str">
        <f t="shared" si="170"/>
        <v>Furniture</v>
      </c>
      <c r="S766" t="s">
        <v>245</v>
      </c>
      <c r="T766" t="str">
        <f t="shared" si="171"/>
        <v>Bookcases</v>
      </c>
      <c r="U766" t="s">
        <v>3603</v>
      </c>
      <c r="V766" t="str">
        <f t="shared" si="172"/>
        <v>Pro Bookcases 615</v>
      </c>
      <c r="W766" t="s">
        <v>98</v>
      </c>
      <c r="X766" t="str">
        <f t="shared" si="173"/>
        <v>First Class</v>
      </c>
      <c r="Y766">
        <v>0</v>
      </c>
      <c r="Z766">
        <v>6</v>
      </c>
      <c r="AA766">
        <v>4414</v>
      </c>
      <c r="AB766">
        <v>0.05</v>
      </c>
      <c r="AC766">
        <f t="shared" si="174"/>
        <v>0.05</v>
      </c>
      <c r="AD766">
        <v>25159.8</v>
      </c>
      <c r="AE766">
        <f t="shared" si="175"/>
        <v>25159.8</v>
      </c>
      <c r="AF766">
        <v>21606.83</v>
      </c>
      <c r="AG766">
        <v>3552.97</v>
      </c>
      <c r="AH766">
        <f t="shared" si="176"/>
        <v>3552.97</v>
      </c>
      <c r="AI766">
        <f t="shared" si="177"/>
        <v>0.141216146392261</v>
      </c>
      <c r="AJ766" t="s">
        <v>77</v>
      </c>
      <c r="AK766" t="str">
        <f t="shared" si="178"/>
        <v>Paid</v>
      </c>
      <c r="AL766" t="s">
        <v>78</v>
      </c>
      <c r="AM766" t="str">
        <f t="shared" si="179"/>
        <v>Completed</v>
      </c>
      <c r="AN766">
        <v>4</v>
      </c>
      <c r="AO766">
        <v>2025</v>
      </c>
      <c r="AP766" t="s">
        <v>79</v>
      </c>
    </row>
    <row r="767" spans="1:42">
      <c r="A767" t="s">
        <v>3604</v>
      </c>
      <c r="B767" s="3" t="s">
        <v>3605</v>
      </c>
      <c r="C767" s="3">
        <v>45837</v>
      </c>
      <c r="D767" t="s">
        <v>3606</v>
      </c>
      <c r="E767" s="3">
        <v>45841</v>
      </c>
      <c r="F767" t="s">
        <v>3607</v>
      </c>
      <c r="G767" t="s">
        <v>123</v>
      </c>
      <c r="H767" t="str">
        <f t="shared" si="165"/>
        <v>Vikram Iyer</v>
      </c>
      <c r="I767" t="s">
        <v>147</v>
      </c>
      <c r="J767" t="str">
        <f t="shared" si="166"/>
        <v>Corporate</v>
      </c>
      <c r="K767" t="s">
        <v>7</v>
      </c>
      <c r="L767" t="str">
        <f t="shared" si="167"/>
        <v>East</v>
      </c>
      <c r="M767" t="s">
        <v>354</v>
      </c>
      <c r="N767" t="str">
        <f t="shared" si="168"/>
        <v>Jharkhand</v>
      </c>
      <c r="O767" t="s">
        <v>355</v>
      </c>
      <c r="P767" t="str">
        <f t="shared" si="169"/>
        <v>Ranchi</v>
      </c>
      <c r="Q767" t="s">
        <v>22</v>
      </c>
      <c r="R767" t="str">
        <f t="shared" si="170"/>
        <v>Office Supplies</v>
      </c>
      <c r="S767" t="s">
        <v>148</v>
      </c>
      <c r="T767" t="str">
        <f t="shared" si="171"/>
        <v>Labels</v>
      </c>
      <c r="U767" t="s">
        <v>3608</v>
      </c>
      <c r="V767" t="str">
        <f t="shared" si="172"/>
        <v>Max Labels 136</v>
      </c>
      <c r="W767" t="s">
        <v>98</v>
      </c>
      <c r="X767" t="str">
        <f t="shared" si="173"/>
        <v>First Class</v>
      </c>
      <c r="Y767">
        <v>4</v>
      </c>
      <c r="Z767">
        <v>3</v>
      </c>
      <c r="AA767">
        <v>608.14</v>
      </c>
      <c r="AB767">
        <v>0</v>
      </c>
      <c r="AC767">
        <f t="shared" si="174"/>
        <v>0</v>
      </c>
      <c r="AD767">
        <v>1824.42</v>
      </c>
      <c r="AE767">
        <f t="shared" si="175"/>
        <v>1824.42</v>
      </c>
      <c r="AF767">
        <v>1214.87</v>
      </c>
      <c r="AG767">
        <v>609.55</v>
      </c>
      <c r="AH767">
        <f t="shared" si="176"/>
        <v>609.55</v>
      </c>
      <c r="AI767">
        <f t="shared" si="177"/>
        <v>0.33410618169062</v>
      </c>
      <c r="AJ767" t="s">
        <v>77</v>
      </c>
      <c r="AK767" t="str">
        <f t="shared" si="178"/>
        <v>Paid</v>
      </c>
      <c r="AL767" t="s">
        <v>78</v>
      </c>
      <c r="AM767" t="str">
        <f t="shared" si="179"/>
        <v>Completed</v>
      </c>
      <c r="AN767">
        <v>6</v>
      </c>
      <c r="AO767">
        <v>2025</v>
      </c>
      <c r="AP767" t="s">
        <v>79</v>
      </c>
    </row>
    <row r="768" spans="1:42">
      <c r="A768" t="s">
        <v>3609</v>
      </c>
      <c r="B768" s="3" t="s">
        <v>3610</v>
      </c>
      <c r="C768" s="3">
        <v>45552</v>
      </c>
      <c r="D768" t="s">
        <v>2064</v>
      </c>
      <c r="E768" s="3">
        <v>45559</v>
      </c>
      <c r="F768" t="s">
        <v>3611</v>
      </c>
      <c r="G768" t="s">
        <v>84</v>
      </c>
      <c r="H768" t="str">
        <f t="shared" si="165"/>
        <v>Mira Das</v>
      </c>
      <c r="I768" t="s">
        <v>147</v>
      </c>
      <c r="J768" t="str">
        <f t="shared" si="166"/>
        <v>Corporate</v>
      </c>
      <c r="K768" t="s">
        <v>11</v>
      </c>
      <c r="L768" t="str">
        <f t="shared" si="167"/>
        <v>West</v>
      </c>
      <c r="M768" t="s">
        <v>278</v>
      </c>
      <c r="N768" t="str">
        <f t="shared" si="168"/>
        <v>Gujarat</v>
      </c>
      <c r="O768" t="s">
        <v>279</v>
      </c>
      <c r="P768" t="str">
        <f t="shared" si="169"/>
        <v>Ahmedabad</v>
      </c>
      <c r="Q768" t="s">
        <v>22</v>
      </c>
      <c r="R768" t="str">
        <f t="shared" si="170"/>
        <v>Office Supplies</v>
      </c>
      <c r="S768" t="s">
        <v>96</v>
      </c>
      <c r="T768" t="str">
        <f t="shared" si="171"/>
        <v>Art</v>
      </c>
      <c r="U768" t="s">
        <v>3612</v>
      </c>
      <c r="V768" t="str">
        <f t="shared" si="172"/>
        <v>Prime Art 380</v>
      </c>
      <c r="W768" t="s">
        <v>76</v>
      </c>
      <c r="X768" t="str">
        <f t="shared" si="173"/>
        <v>Second Class</v>
      </c>
      <c r="Y768">
        <v>7</v>
      </c>
      <c r="Z768">
        <v>9</v>
      </c>
      <c r="AA768">
        <v>2307.96</v>
      </c>
      <c r="AB768">
        <v>0.2</v>
      </c>
      <c r="AC768">
        <f t="shared" si="174"/>
        <v>0.2</v>
      </c>
      <c r="AD768">
        <v>16617.31</v>
      </c>
      <c r="AE768">
        <f t="shared" si="175"/>
        <v>16617.312</v>
      </c>
      <c r="AF768">
        <v>9195.73</v>
      </c>
      <c r="AG768">
        <v>7421.58</v>
      </c>
      <c r="AH768">
        <f t="shared" si="176"/>
        <v>7421.582</v>
      </c>
      <c r="AI768">
        <f t="shared" si="177"/>
        <v>0.446617479409426</v>
      </c>
      <c r="AJ768" t="s">
        <v>77</v>
      </c>
      <c r="AK768" t="str">
        <f t="shared" si="178"/>
        <v>Paid</v>
      </c>
      <c r="AL768" t="s">
        <v>118</v>
      </c>
      <c r="AM768" t="str">
        <f t="shared" si="179"/>
        <v>Cancelled</v>
      </c>
      <c r="AN768">
        <v>9</v>
      </c>
      <c r="AO768">
        <v>2024</v>
      </c>
      <c r="AP768" t="s">
        <v>79</v>
      </c>
    </row>
    <row r="769" spans="1:42">
      <c r="A769" t="s">
        <v>3613</v>
      </c>
      <c r="B769" s="3" t="s">
        <v>3614</v>
      </c>
      <c r="C769" s="3">
        <v>45415</v>
      </c>
      <c r="D769" t="s">
        <v>2765</v>
      </c>
      <c r="E769" s="3">
        <v>45418</v>
      </c>
      <c r="F769" t="s">
        <v>3615</v>
      </c>
      <c r="G769" t="s">
        <v>113</v>
      </c>
      <c r="H769" t="str">
        <f t="shared" si="165"/>
        <v>Ananya Rao</v>
      </c>
      <c r="I769" t="s">
        <v>154</v>
      </c>
      <c r="J769" t="str">
        <f t="shared" si="166"/>
        <v>Home Office</v>
      </c>
      <c r="K769" t="s">
        <v>8</v>
      </c>
      <c r="L769" t="str">
        <f t="shared" si="167"/>
        <v>North</v>
      </c>
      <c r="M769" t="s">
        <v>214</v>
      </c>
      <c r="N769" t="str">
        <f t="shared" si="168"/>
        <v>Uttar Pradesh</v>
      </c>
      <c r="O769" t="s">
        <v>215</v>
      </c>
      <c r="P769" t="str">
        <f t="shared" si="169"/>
        <v>Noida</v>
      </c>
      <c r="Q769" t="s">
        <v>968</v>
      </c>
      <c r="R769" t="str">
        <f t="shared" si="170"/>
        <v>Office Supplies</v>
      </c>
      <c r="S769" t="s">
        <v>239</v>
      </c>
      <c r="T769" t="str">
        <f t="shared" si="171"/>
        <v>Binders</v>
      </c>
      <c r="U769" t="s">
        <v>3616</v>
      </c>
      <c r="V769" t="str">
        <f t="shared" si="172"/>
        <v>Classic Binders 234</v>
      </c>
      <c r="W769" t="s">
        <v>108</v>
      </c>
      <c r="X769" t="str">
        <f t="shared" si="173"/>
        <v>Standard Class</v>
      </c>
      <c r="Y769">
        <v>3</v>
      </c>
      <c r="Z769">
        <v>1</v>
      </c>
      <c r="AA769">
        <v>1244.58</v>
      </c>
      <c r="AB769">
        <v>0.25</v>
      </c>
      <c r="AC769">
        <f t="shared" si="174"/>
        <v>0.25</v>
      </c>
      <c r="AD769">
        <v>933.43</v>
      </c>
      <c r="AE769">
        <f t="shared" si="175"/>
        <v>933.435</v>
      </c>
      <c r="AF769">
        <v>583.09</v>
      </c>
      <c r="AG769">
        <v>350.34</v>
      </c>
      <c r="AH769">
        <f t="shared" si="176"/>
        <v>350.345</v>
      </c>
      <c r="AI769">
        <f t="shared" si="177"/>
        <v>0.375328758831627</v>
      </c>
      <c r="AJ769" t="s">
        <v>77</v>
      </c>
      <c r="AK769" t="str">
        <f t="shared" si="178"/>
        <v>Paid</v>
      </c>
      <c r="AL769" t="s">
        <v>78</v>
      </c>
      <c r="AM769" t="str">
        <f t="shared" si="179"/>
        <v>Completed</v>
      </c>
      <c r="AN769">
        <v>5</v>
      </c>
      <c r="AO769">
        <v>2024</v>
      </c>
      <c r="AP769" t="s">
        <v>79</v>
      </c>
    </row>
    <row r="770" spans="1:42">
      <c r="A770" t="s">
        <v>3617</v>
      </c>
      <c r="B770" s="3" t="s">
        <v>1866</v>
      </c>
      <c r="C770" s="3">
        <v>45749</v>
      </c>
      <c r="D770" t="s">
        <v>3618</v>
      </c>
      <c r="E770" s="3">
        <v>45751</v>
      </c>
      <c r="F770" t="s">
        <v>3619</v>
      </c>
      <c r="G770" t="s">
        <v>208</v>
      </c>
      <c r="H770" t="str">
        <f t="shared" ref="H770:H833" si="180">PROPER(TRIM(G770))</f>
        <v>Sneha Kapoor</v>
      </c>
      <c r="I770" t="s">
        <v>154</v>
      </c>
      <c r="J770" t="str">
        <f t="shared" ref="J770:J833" si="181">PROPER(TRIM(I770))</f>
        <v>Home Office</v>
      </c>
      <c r="K770" t="s">
        <v>7</v>
      </c>
      <c r="L770" t="str">
        <f t="shared" ref="L770:L833" si="182">PROPER(TRIM(K770))</f>
        <v>East</v>
      </c>
      <c r="M770" t="s">
        <v>354</v>
      </c>
      <c r="N770" t="str">
        <f t="shared" ref="N770:N833" si="183">PROPER(TRIM(M770))</f>
        <v>Jharkhand</v>
      </c>
      <c r="O770" t="s">
        <v>355</v>
      </c>
      <c r="P770" t="str">
        <f t="shared" ref="P770:P833" si="184">PROPER(TRIM(O770))</f>
        <v>Ranchi</v>
      </c>
      <c r="Q770" t="s">
        <v>22</v>
      </c>
      <c r="R770" t="str">
        <f t="shared" ref="R770:R833" si="185">PROPER(TRIM(Q770))</f>
        <v>Office Supplies</v>
      </c>
      <c r="S770" t="s">
        <v>74</v>
      </c>
      <c r="T770" t="str">
        <f t="shared" ref="T770:T833" si="186">PROPER(TRIM(S770))</f>
        <v>Paper</v>
      </c>
      <c r="U770" t="s">
        <v>3620</v>
      </c>
      <c r="V770" t="str">
        <f t="shared" ref="V770:V833" si="187">PROPER(TRIM(U770))</f>
        <v>Classic Paper 280</v>
      </c>
      <c r="W770" t="s">
        <v>90</v>
      </c>
      <c r="X770" t="str">
        <f t="shared" ref="X770:X833" si="188">PROPER(TRIM(W770))</f>
        <v>Same Day</v>
      </c>
      <c r="Y770">
        <v>2</v>
      </c>
      <c r="Z770">
        <v>5</v>
      </c>
      <c r="AA770">
        <v>3234.24</v>
      </c>
      <c r="AB770">
        <v>0.1</v>
      </c>
      <c r="AC770">
        <f t="shared" ref="AC770:AC833" si="189">IF(OR(AB770="",AB770&lt;0),0,AB770)</f>
        <v>0.1</v>
      </c>
      <c r="AD770">
        <v>14554.08</v>
      </c>
      <c r="AE770">
        <f t="shared" ref="AE770:AE833" si="190">Z770*AA770*(1-AC770)</f>
        <v>14554.08</v>
      </c>
      <c r="AF770">
        <v>11166.84</v>
      </c>
      <c r="AG770">
        <v>3387.24</v>
      </c>
      <c r="AH770">
        <f t="shared" ref="AH770:AH833" si="191">AE770-AF770</f>
        <v>3387.24</v>
      </c>
      <c r="AI770">
        <f t="shared" ref="AI770:AI833" si="192">AH770/AE770</f>
        <v>0.232734738300188</v>
      </c>
      <c r="AJ770" t="s">
        <v>77</v>
      </c>
      <c r="AK770" t="str">
        <f t="shared" ref="AK770:AK833" si="193">PROPER(TRIM(AJ770))</f>
        <v>Paid</v>
      </c>
      <c r="AL770" t="s">
        <v>78</v>
      </c>
      <c r="AM770" t="str">
        <f t="shared" ref="AM770:AM833" si="194">PROPER(TRIM(AL770))</f>
        <v>Completed</v>
      </c>
      <c r="AN770">
        <v>4</v>
      </c>
      <c r="AO770">
        <v>2025</v>
      </c>
      <c r="AP770" t="s">
        <v>79</v>
      </c>
    </row>
    <row r="771" spans="1:42">
      <c r="A771" t="s">
        <v>3621</v>
      </c>
      <c r="B771" s="3" t="s">
        <v>3622</v>
      </c>
      <c r="C771" s="3">
        <v>45423</v>
      </c>
      <c r="D771" t="s">
        <v>2073</v>
      </c>
      <c r="E771" s="3">
        <v>45425</v>
      </c>
      <c r="F771" t="s">
        <v>3623</v>
      </c>
      <c r="G771" t="s">
        <v>182</v>
      </c>
      <c r="H771" t="str">
        <f t="shared" si="180"/>
        <v>Priya Menon</v>
      </c>
      <c r="I771" t="s">
        <v>154</v>
      </c>
      <c r="J771" t="str">
        <f t="shared" si="181"/>
        <v>Home Office</v>
      </c>
      <c r="K771" t="s">
        <v>11</v>
      </c>
      <c r="L771" t="str">
        <f t="shared" si="182"/>
        <v>West</v>
      </c>
      <c r="M771" t="s">
        <v>292</v>
      </c>
      <c r="N771" t="str">
        <f t="shared" si="183"/>
        <v>Goa</v>
      </c>
      <c r="O771" t="s">
        <v>293</v>
      </c>
      <c r="P771" t="str">
        <f t="shared" si="184"/>
        <v>Panaji</v>
      </c>
      <c r="Q771" t="s">
        <v>19</v>
      </c>
      <c r="R771" t="str">
        <f t="shared" si="185"/>
        <v>Furniture</v>
      </c>
      <c r="S771" t="s">
        <v>245</v>
      </c>
      <c r="T771" t="str">
        <f t="shared" si="186"/>
        <v>Bookcases</v>
      </c>
      <c r="U771" t="s">
        <v>3624</v>
      </c>
      <c r="V771" t="str">
        <f t="shared" si="187"/>
        <v>Classic Bookcases 922</v>
      </c>
      <c r="W771" t="s">
        <v>90</v>
      </c>
      <c r="X771" t="str">
        <f t="shared" si="188"/>
        <v>Same Day</v>
      </c>
      <c r="Y771">
        <v>2</v>
      </c>
      <c r="Z771">
        <v>3</v>
      </c>
      <c r="AA771">
        <v>3612.75</v>
      </c>
      <c r="AB771">
        <v>0.25</v>
      </c>
      <c r="AC771">
        <f t="shared" si="189"/>
        <v>0.25</v>
      </c>
      <c r="AD771">
        <v>8128.69</v>
      </c>
      <c r="AE771">
        <f t="shared" si="190"/>
        <v>8128.6875</v>
      </c>
      <c r="AF771">
        <v>5071.66</v>
      </c>
      <c r="AG771">
        <v>3057.03</v>
      </c>
      <c r="AH771">
        <f t="shared" si="191"/>
        <v>3057.0275</v>
      </c>
      <c r="AI771">
        <f t="shared" si="192"/>
        <v>0.376078856518964</v>
      </c>
      <c r="AJ771" t="s">
        <v>77</v>
      </c>
      <c r="AK771" t="str">
        <f t="shared" si="193"/>
        <v>Paid</v>
      </c>
      <c r="AL771" t="s">
        <v>78</v>
      </c>
      <c r="AM771" t="str">
        <f t="shared" si="194"/>
        <v>Completed</v>
      </c>
      <c r="AN771">
        <v>5</v>
      </c>
      <c r="AO771">
        <v>2024</v>
      </c>
      <c r="AP771" t="s">
        <v>79</v>
      </c>
    </row>
    <row r="772" spans="1:42">
      <c r="A772" t="s">
        <v>3625</v>
      </c>
      <c r="B772" s="3" t="s">
        <v>2363</v>
      </c>
      <c r="C772" s="3">
        <v>45337</v>
      </c>
      <c r="D772" t="s">
        <v>2820</v>
      </c>
      <c r="E772" s="3">
        <v>45339</v>
      </c>
      <c r="F772" t="s">
        <v>3626</v>
      </c>
      <c r="G772" t="s">
        <v>132</v>
      </c>
      <c r="H772" t="str">
        <f t="shared" si="180"/>
        <v>Neha Gupta</v>
      </c>
      <c r="I772" t="s">
        <v>71</v>
      </c>
      <c r="J772" t="str">
        <f t="shared" si="181"/>
        <v>Consumer</v>
      </c>
      <c r="K772" t="s">
        <v>8</v>
      </c>
      <c r="L772" t="str">
        <f t="shared" si="182"/>
        <v>North</v>
      </c>
      <c r="M772" t="s">
        <v>214</v>
      </c>
      <c r="N772" t="str">
        <f t="shared" si="183"/>
        <v>Uttar Pradesh</v>
      </c>
      <c r="O772" t="s">
        <v>215</v>
      </c>
      <c r="P772" t="str">
        <f t="shared" si="184"/>
        <v>Noida</v>
      </c>
      <c r="Q772" t="s">
        <v>24</v>
      </c>
      <c r="R772" t="str">
        <f t="shared" si="185"/>
        <v>Technology</v>
      </c>
      <c r="S772" t="s">
        <v>133</v>
      </c>
      <c r="T772" t="str">
        <f t="shared" si="186"/>
        <v>Copiers</v>
      </c>
      <c r="U772" t="s">
        <v>3627</v>
      </c>
      <c r="V772" t="str">
        <f t="shared" si="187"/>
        <v>Eco Copiers 396</v>
      </c>
      <c r="W772" t="s">
        <v>98</v>
      </c>
      <c r="X772" t="str">
        <f t="shared" si="188"/>
        <v>First Class</v>
      </c>
      <c r="Y772">
        <v>2</v>
      </c>
      <c r="Z772">
        <v>4</v>
      </c>
      <c r="AA772">
        <v>863</v>
      </c>
      <c r="AC772">
        <f t="shared" si="189"/>
        <v>0</v>
      </c>
      <c r="AD772">
        <v>3106.8</v>
      </c>
      <c r="AE772">
        <f t="shared" si="190"/>
        <v>3452</v>
      </c>
      <c r="AF772">
        <v>2376.62</v>
      </c>
      <c r="AG772">
        <v>730.18</v>
      </c>
      <c r="AH772">
        <f t="shared" si="191"/>
        <v>1075.38</v>
      </c>
      <c r="AI772">
        <f t="shared" si="192"/>
        <v>0.311523754345307</v>
      </c>
      <c r="AJ772" t="s">
        <v>77</v>
      </c>
      <c r="AK772" t="str">
        <f t="shared" si="193"/>
        <v>Paid</v>
      </c>
      <c r="AL772" t="s">
        <v>78</v>
      </c>
      <c r="AM772" t="str">
        <f t="shared" si="194"/>
        <v>Completed</v>
      </c>
      <c r="AN772">
        <v>2</v>
      </c>
      <c r="AO772">
        <v>2024</v>
      </c>
      <c r="AP772" t="s">
        <v>222</v>
      </c>
    </row>
    <row r="773" spans="1:42">
      <c r="A773" t="s">
        <v>3628</v>
      </c>
      <c r="B773" s="3" t="s">
        <v>3629</v>
      </c>
      <c r="C773" s="3">
        <v>45485</v>
      </c>
      <c r="D773" t="s">
        <v>2680</v>
      </c>
      <c r="E773" s="3">
        <v>45487</v>
      </c>
      <c r="F773" t="s">
        <v>739</v>
      </c>
      <c r="G773" t="s">
        <v>113</v>
      </c>
      <c r="H773" t="str">
        <f t="shared" si="180"/>
        <v>Ananya Rao</v>
      </c>
      <c r="I773" t="s">
        <v>71</v>
      </c>
      <c r="J773" t="str">
        <f t="shared" si="181"/>
        <v>Consumer</v>
      </c>
      <c r="K773" t="s">
        <v>8</v>
      </c>
      <c r="L773" t="str">
        <f t="shared" si="182"/>
        <v>North</v>
      </c>
      <c r="M773" t="s">
        <v>366</v>
      </c>
      <c r="N773" t="str">
        <f t="shared" si="183"/>
        <v>Haryana</v>
      </c>
      <c r="O773" t="s">
        <v>367</v>
      </c>
      <c r="P773" t="str">
        <f t="shared" si="184"/>
        <v>Gurugram</v>
      </c>
      <c r="Q773" t="s">
        <v>24</v>
      </c>
      <c r="R773" t="str">
        <f t="shared" si="185"/>
        <v>Technology</v>
      </c>
      <c r="S773" t="s">
        <v>427</v>
      </c>
      <c r="T773" t="str">
        <f t="shared" si="186"/>
        <v>Machines</v>
      </c>
      <c r="U773" t="s">
        <v>3630</v>
      </c>
      <c r="V773" t="str">
        <f t="shared" si="187"/>
        <v>Basic Machines 401</v>
      </c>
      <c r="W773" t="s">
        <v>76</v>
      </c>
      <c r="X773" t="str">
        <f t="shared" si="188"/>
        <v>Second Class</v>
      </c>
      <c r="Y773">
        <v>2</v>
      </c>
      <c r="Z773">
        <v>4</v>
      </c>
      <c r="AA773">
        <v>2131.41</v>
      </c>
      <c r="AC773">
        <f t="shared" si="189"/>
        <v>0</v>
      </c>
      <c r="AD773">
        <v>6394.23</v>
      </c>
      <c r="AE773">
        <f t="shared" si="190"/>
        <v>8525.64</v>
      </c>
      <c r="AF773">
        <v>3520.69</v>
      </c>
      <c r="AG773">
        <v>2873.54</v>
      </c>
      <c r="AH773">
        <f t="shared" si="191"/>
        <v>5004.95</v>
      </c>
      <c r="AI773">
        <f t="shared" si="192"/>
        <v>0.587046837539469</v>
      </c>
      <c r="AJ773" t="s">
        <v>77</v>
      </c>
      <c r="AK773" t="str">
        <f t="shared" si="193"/>
        <v>Paid</v>
      </c>
      <c r="AL773" t="s">
        <v>78</v>
      </c>
      <c r="AM773" t="str">
        <f t="shared" si="194"/>
        <v>Completed</v>
      </c>
      <c r="AN773">
        <v>7</v>
      </c>
      <c r="AO773">
        <v>2024</v>
      </c>
      <c r="AP773" t="s">
        <v>222</v>
      </c>
    </row>
    <row r="774" spans="1:42">
      <c r="A774" t="s">
        <v>3631</v>
      </c>
      <c r="B774" s="3" t="s">
        <v>211</v>
      </c>
      <c r="C774" s="3">
        <v>45853</v>
      </c>
      <c r="D774" t="s">
        <v>1625</v>
      </c>
      <c r="E774" s="3">
        <v>45857</v>
      </c>
      <c r="F774" t="s">
        <v>3632</v>
      </c>
      <c r="G774" t="s">
        <v>251</v>
      </c>
      <c r="H774" t="str">
        <f t="shared" si="180"/>
        <v>Diya Patel</v>
      </c>
      <c r="I774" t="s">
        <v>71</v>
      </c>
      <c r="J774" t="str">
        <f t="shared" si="181"/>
        <v>Consumer</v>
      </c>
      <c r="K774" t="s">
        <v>10</v>
      </c>
      <c r="L774" t="str">
        <f t="shared" si="182"/>
        <v>South</v>
      </c>
      <c r="M774" t="s">
        <v>382</v>
      </c>
      <c r="N774" t="str">
        <f t="shared" si="183"/>
        <v>Tamil Nadu</v>
      </c>
      <c r="O774" t="s">
        <v>383</v>
      </c>
      <c r="P774" t="str">
        <f t="shared" si="184"/>
        <v>Chennai</v>
      </c>
      <c r="Q774" t="s">
        <v>19</v>
      </c>
      <c r="R774" t="str">
        <f t="shared" si="185"/>
        <v>Furniture</v>
      </c>
      <c r="S774" t="s">
        <v>116</v>
      </c>
      <c r="T774" t="str">
        <f t="shared" si="186"/>
        <v>Chairs</v>
      </c>
      <c r="U774" t="s">
        <v>3633</v>
      </c>
      <c r="V774" t="str">
        <f t="shared" si="187"/>
        <v>Basic Chairs 279</v>
      </c>
      <c r="W774" t="s">
        <v>90</v>
      </c>
      <c r="X774" t="str">
        <f t="shared" si="188"/>
        <v>Same Day</v>
      </c>
      <c r="Y774">
        <v>4</v>
      </c>
      <c r="Z774">
        <v>1</v>
      </c>
      <c r="AA774">
        <v>3903.22</v>
      </c>
      <c r="AB774">
        <v>0.05</v>
      </c>
      <c r="AC774">
        <f t="shared" si="189"/>
        <v>0.05</v>
      </c>
      <c r="AD774">
        <v>3708.06</v>
      </c>
      <c r="AE774">
        <f t="shared" si="190"/>
        <v>3708.059</v>
      </c>
      <c r="AF774">
        <v>2760.29</v>
      </c>
      <c r="AG774">
        <v>947.77</v>
      </c>
      <c r="AH774">
        <f t="shared" si="191"/>
        <v>947.769</v>
      </c>
      <c r="AI774">
        <f t="shared" si="192"/>
        <v>0.255597065742481</v>
      </c>
      <c r="AJ774" t="s">
        <v>177</v>
      </c>
      <c r="AK774" t="str">
        <f t="shared" si="193"/>
        <v>Pending</v>
      </c>
      <c r="AL774" t="s">
        <v>118</v>
      </c>
      <c r="AM774" t="str">
        <f t="shared" si="194"/>
        <v>Cancelled</v>
      </c>
      <c r="AN774">
        <v>7</v>
      </c>
      <c r="AO774">
        <v>2025</v>
      </c>
      <c r="AP774" t="s">
        <v>79</v>
      </c>
    </row>
    <row r="775" spans="1:42">
      <c r="A775" t="s">
        <v>3634</v>
      </c>
      <c r="B775" s="3" t="s">
        <v>3635</v>
      </c>
      <c r="C775" s="3">
        <v>45709</v>
      </c>
      <c r="D775" t="s">
        <v>3636</v>
      </c>
      <c r="E775" s="3">
        <v>45709</v>
      </c>
      <c r="F775" t="s">
        <v>3637</v>
      </c>
      <c r="G775" t="s">
        <v>70</v>
      </c>
      <c r="H775" t="str">
        <f t="shared" si="180"/>
        <v>Karan Malhotra</v>
      </c>
      <c r="I775" t="s">
        <v>154</v>
      </c>
      <c r="J775" t="str">
        <f t="shared" si="181"/>
        <v>Home Office</v>
      </c>
      <c r="K775" t="s">
        <v>11</v>
      </c>
      <c r="L775" t="str">
        <f t="shared" si="182"/>
        <v>West</v>
      </c>
      <c r="M775" t="s">
        <v>278</v>
      </c>
      <c r="N775" t="str">
        <f t="shared" si="183"/>
        <v>Gujarat</v>
      </c>
      <c r="O775" t="s">
        <v>279</v>
      </c>
      <c r="P775" t="str">
        <f t="shared" si="184"/>
        <v>Ahmedabad</v>
      </c>
      <c r="Q775" t="s">
        <v>24</v>
      </c>
      <c r="R775" t="str">
        <f t="shared" si="185"/>
        <v>Technology</v>
      </c>
      <c r="S775" t="s">
        <v>265</v>
      </c>
      <c r="T775" t="str">
        <f t="shared" si="186"/>
        <v>Phones</v>
      </c>
      <c r="U775" t="s">
        <v>3638</v>
      </c>
      <c r="V775" t="str">
        <f t="shared" si="187"/>
        <v>Basic Phones 753</v>
      </c>
      <c r="X775" t="str">
        <f t="shared" si="188"/>
        <v/>
      </c>
      <c r="Y775">
        <v>0</v>
      </c>
      <c r="Z775">
        <v>4</v>
      </c>
      <c r="AA775">
        <v>2945.07</v>
      </c>
      <c r="AB775">
        <v>0.2</v>
      </c>
      <c r="AC775">
        <f t="shared" si="189"/>
        <v>0.2</v>
      </c>
      <c r="AD775">
        <v>9424.22</v>
      </c>
      <c r="AE775">
        <f t="shared" si="190"/>
        <v>9424.224</v>
      </c>
      <c r="AF775">
        <v>6178.92</v>
      </c>
      <c r="AG775">
        <v>3245.3</v>
      </c>
      <c r="AH775">
        <f t="shared" si="191"/>
        <v>3245.304</v>
      </c>
      <c r="AI775">
        <f t="shared" si="192"/>
        <v>0.344357689290917</v>
      </c>
      <c r="AJ775" t="s">
        <v>77</v>
      </c>
      <c r="AK775" t="str">
        <f t="shared" si="193"/>
        <v>Paid</v>
      </c>
      <c r="AL775" t="s">
        <v>78</v>
      </c>
      <c r="AM775" t="str">
        <f t="shared" si="194"/>
        <v>Completed</v>
      </c>
      <c r="AN775">
        <v>2</v>
      </c>
      <c r="AO775">
        <v>2025</v>
      </c>
      <c r="AP775" t="s">
        <v>79</v>
      </c>
    </row>
    <row r="776" spans="1:42">
      <c r="A776" t="s">
        <v>3639</v>
      </c>
      <c r="B776" s="3" t="s">
        <v>3640</v>
      </c>
      <c r="C776" s="3">
        <v>45876</v>
      </c>
      <c r="D776" t="s">
        <v>1853</v>
      </c>
      <c r="E776" s="3">
        <v>45876</v>
      </c>
      <c r="F776" t="s">
        <v>3641</v>
      </c>
      <c r="G776" t="s">
        <v>411</v>
      </c>
      <c r="H776" t="str">
        <f t="shared" si="180"/>
        <v>Kabir Singh</v>
      </c>
      <c r="I776" t="s">
        <v>71</v>
      </c>
      <c r="J776" t="str">
        <f t="shared" si="181"/>
        <v>Consumer</v>
      </c>
      <c r="K776" t="s">
        <v>11</v>
      </c>
      <c r="L776" t="str">
        <f t="shared" si="182"/>
        <v>West</v>
      </c>
      <c r="M776" t="s">
        <v>72</v>
      </c>
      <c r="N776" t="str">
        <f t="shared" si="183"/>
        <v>Rajasthan</v>
      </c>
      <c r="O776" t="s">
        <v>175</v>
      </c>
      <c r="P776" t="str">
        <f t="shared" si="184"/>
        <v>Udaipur</v>
      </c>
      <c r="Q776" t="s">
        <v>24</v>
      </c>
      <c r="R776" t="str">
        <f t="shared" si="185"/>
        <v>Technology</v>
      </c>
      <c r="S776" t="s">
        <v>427</v>
      </c>
      <c r="T776" t="str">
        <f t="shared" si="186"/>
        <v>Machines</v>
      </c>
      <c r="U776" t="s">
        <v>3642</v>
      </c>
      <c r="V776" t="str">
        <f t="shared" si="187"/>
        <v>Smart Machines 789</v>
      </c>
      <c r="X776" t="str">
        <f t="shared" si="188"/>
        <v/>
      </c>
      <c r="Y776">
        <v>0</v>
      </c>
      <c r="Z776">
        <v>9</v>
      </c>
      <c r="AA776">
        <v>1076.75</v>
      </c>
      <c r="AB776">
        <v>0.2</v>
      </c>
      <c r="AC776">
        <f t="shared" si="189"/>
        <v>0.2</v>
      </c>
      <c r="AD776">
        <v>7752.6</v>
      </c>
      <c r="AE776">
        <f t="shared" si="190"/>
        <v>7752.6</v>
      </c>
      <c r="AF776">
        <v>4689.3</v>
      </c>
      <c r="AG776">
        <v>3063.3</v>
      </c>
      <c r="AH776">
        <f t="shared" si="191"/>
        <v>3063.3</v>
      </c>
      <c r="AI776">
        <f t="shared" si="192"/>
        <v>0.395131955730981</v>
      </c>
      <c r="AJ776" t="s">
        <v>77</v>
      </c>
      <c r="AK776" t="str">
        <f t="shared" si="193"/>
        <v>Paid</v>
      </c>
      <c r="AL776" t="s">
        <v>78</v>
      </c>
      <c r="AM776" t="str">
        <f t="shared" si="194"/>
        <v>Completed</v>
      </c>
      <c r="AN776">
        <v>8</v>
      </c>
      <c r="AO776">
        <v>2025</v>
      </c>
      <c r="AP776" t="s">
        <v>79</v>
      </c>
    </row>
    <row r="777" spans="1:42">
      <c r="A777" t="s">
        <v>3643</v>
      </c>
      <c r="B777" s="3" t="s">
        <v>3644</v>
      </c>
      <c r="C777" s="3">
        <v>45396</v>
      </c>
      <c r="D777" t="s">
        <v>3645</v>
      </c>
      <c r="E777" s="3">
        <v>45404</v>
      </c>
      <c r="F777" t="s">
        <v>3646</v>
      </c>
      <c r="G777" t="s">
        <v>103</v>
      </c>
      <c r="H777" t="str">
        <f t="shared" si="180"/>
        <v>Arjun Bose</v>
      </c>
      <c r="I777" t="s">
        <v>71</v>
      </c>
      <c r="J777" t="str">
        <f t="shared" si="181"/>
        <v>Consumer</v>
      </c>
      <c r="K777" t="s">
        <v>8</v>
      </c>
      <c r="L777" t="str">
        <f t="shared" si="182"/>
        <v>North</v>
      </c>
      <c r="M777" t="s">
        <v>366</v>
      </c>
      <c r="N777" t="str">
        <f t="shared" si="183"/>
        <v>Haryana</v>
      </c>
      <c r="O777" t="s">
        <v>367</v>
      </c>
      <c r="P777" t="str">
        <f t="shared" si="184"/>
        <v>Gurugram</v>
      </c>
      <c r="Q777" t="s">
        <v>24</v>
      </c>
      <c r="R777" t="str">
        <f t="shared" si="185"/>
        <v>Technology</v>
      </c>
      <c r="S777" t="s">
        <v>126</v>
      </c>
      <c r="T777" t="str">
        <f t="shared" si="186"/>
        <v>Accessories</v>
      </c>
      <c r="U777" t="s">
        <v>3647</v>
      </c>
      <c r="V777" t="str">
        <f t="shared" si="187"/>
        <v>Elite Accessories 312</v>
      </c>
      <c r="W777" t="s">
        <v>108</v>
      </c>
      <c r="X777" t="str">
        <f t="shared" si="188"/>
        <v>Standard Class</v>
      </c>
      <c r="Y777">
        <v>8</v>
      </c>
      <c r="Z777">
        <v>8</v>
      </c>
      <c r="AA777">
        <v>3956.12</v>
      </c>
      <c r="AB777">
        <v>0.25</v>
      </c>
      <c r="AC777">
        <f t="shared" si="189"/>
        <v>0.25</v>
      </c>
      <c r="AD777">
        <v>23736.72</v>
      </c>
      <c r="AE777">
        <f t="shared" si="190"/>
        <v>23736.72</v>
      </c>
      <c r="AF777">
        <v>13890.9</v>
      </c>
      <c r="AG777">
        <v>9845.82</v>
      </c>
      <c r="AH777">
        <f t="shared" si="191"/>
        <v>9845.82</v>
      </c>
      <c r="AI777">
        <f t="shared" si="192"/>
        <v>0.414792776761069</v>
      </c>
      <c r="AJ777" t="s">
        <v>77</v>
      </c>
      <c r="AK777" t="str">
        <f t="shared" si="193"/>
        <v>Paid</v>
      </c>
      <c r="AL777" t="s">
        <v>78</v>
      </c>
      <c r="AM777" t="str">
        <f t="shared" si="194"/>
        <v>Completed</v>
      </c>
      <c r="AN777">
        <v>4</v>
      </c>
      <c r="AO777">
        <v>2024</v>
      </c>
      <c r="AP777" t="s">
        <v>79</v>
      </c>
    </row>
    <row r="778" spans="1:42">
      <c r="A778" t="s">
        <v>3648</v>
      </c>
      <c r="B778" s="3" t="s">
        <v>3649</v>
      </c>
      <c r="C778" s="3">
        <v>45816</v>
      </c>
      <c r="D778" t="s">
        <v>2407</v>
      </c>
      <c r="E778" s="3">
        <v>45821</v>
      </c>
      <c r="F778" t="s">
        <v>3650</v>
      </c>
      <c r="G778" t="s">
        <v>146</v>
      </c>
      <c r="H778" t="str">
        <f t="shared" si="180"/>
        <v>Aditi Sen</v>
      </c>
      <c r="I778" t="s">
        <v>85</v>
      </c>
      <c r="J778" t="str">
        <f t="shared" si="181"/>
        <v>Small Business</v>
      </c>
      <c r="K778" t="s">
        <v>8</v>
      </c>
      <c r="L778" t="str">
        <f t="shared" si="182"/>
        <v>North</v>
      </c>
      <c r="M778" t="s">
        <v>72</v>
      </c>
      <c r="N778" t="str">
        <f t="shared" si="183"/>
        <v>Rajasthan</v>
      </c>
      <c r="O778" t="s">
        <v>73</v>
      </c>
      <c r="P778" t="str">
        <f t="shared" si="184"/>
        <v>Jaipur</v>
      </c>
      <c r="Q778" t="s">
        <v>24</v>
      </c>
      <c r="R778" t="str">
        <f t="shared" si="185"/>
        <v>Technology</v>
      </c>
      <c r="S778" t="s">
        <v>133</v>
      </c>
      <c r="T778" t="str">
        <f t="shared" si="186"/>
        <v>Copiers</v>
      </c>
      <c r="U778" t="s">
        <v>3651</v>
      </c>
      <c r="V778" t="str">
        <f t="shared" si="187"/>
        <v>Eco Copiers 528</v>
      </c>
      <c r="W778" t="s">
        <v>76</v>
      </c>
      <c r="X778" t="str">
        <f t="shared" si="188"/>
        <v>Second Class</v>
      </c>
      <c r="Y778">
        <v>5</v>
      </c>
      <c r="Z778">
        <v>7</v>
      </c>
      <c r="AA778">
        <v>3857.13</v>
      </c>
      <c r="AB778">
        <v>0</v>
      </c>
      <c r="AC778">
        <f t="shared" si="189"/>
        <v>0</v>
      </c>
      <c r="AD778">
        <v>26999.91</v>
      </c>
      <c r="AE778">
        <f t="shared" si="190"/>
        <v>26999.91</v>
      </c>
      <c r="AF778">
        <v>17815.98</v>
      </c>
      <c r="AG778">
        <v>9183.93</v>
      </c>
      <c r="AH778">
        <f t="shared" si="191"/>
        <v>9183.93</v>
      </c>
      <c r="AI778">
        <f t="shared" si="192"/>
        <v>0.340146689377853</v>
      </c>
      <c r="AJ778" t="s">
        <v>77</v>
      </c>
      <c r="AK778" t="str">
        <f t="shared" si="193"/>
        <v>Paid</v>
      </c>
      <c r="AL778" t="s">
        <v>78</v>
      </c>
      <c r="AM778" t="str">
        <f t="shared" si="194"/>
        <v>Completed</v>
      </c>
      <c r="AN778">
        <v>6</v>
      </c>
      <c r="AO778">
        <v>2025</v>
      </c>
      <c r="AP778" t="s">
        <v>79</v>
      </c>
    </row>
    <row r="779" spans="1:42">
      <c r="A779" t="s">
        <v>3652</v>
      </c>
      <c r="B779" s="3" t="s">
        <v>3653</v>
      </c>
      <c r="C779" s="3">
        <v>45326</v>
      </c>
      <c r="D779" t="s">
        <v>2336</v>
      </c>
      <c r="E779" s="3">
        <v>45328</v>
      </c>
      <c r="F779" t="s">
        <v>3654</v>
      </c>
      <c r="G779" t="s">
        <v>411</v>
      </c>
      <c r="H779" t="str">
        <f t="shared" si="180"/>
        <v>Kabir Singh</v>
      </c>
      <c r="I779" t="s">
        <v>85</v>
      </c>
      <c r="J779" t="str">
        <f t="shared" si="181"/>
        <v>Small Business</v>
      </c>
      <c r="K779" t="s">
        <v>11</v>
      </c>
      <c r="L779" t="str">
        <f t="shared" si="182"/>
        <v>West</v>
      </c>
      <c r="M779" t="s">
        <v>124</v>
      </c>
      <c r="N779" t="str">
        <f t="shared" si="183"/>
        <v>Madhya Pradesh</v>
      </c>
      <c r="O779" t="s">
        <v>125</v>
      </c>
      <c r="P779" t="str">
        <f t="shared" si="184"/>
        <v>Indore</v>
      </c>
      <c r="Q779" t="s">
        <v>24</v>
      </c>
      <c r="R779" t="str">
        <f t="shared" si="185"/>
        <v>Technology</v>
      </c>
      <c r="S779" t="s">
        <v>126</v>
      </c>
      <c r="T779" t="str">
        <f t="shared" si="186"/>
        <v>Accessories</v>
      </c>
      <c r="U779" t="s">
        <v>3655</v>
      </c>
      <c r="V779" t="str">
        <f t="shared" si="187"/>
        <v>Elite Accessories 226</v>
      </c>
      <c r="W779" t="s">
        <v>76</v>
      </c>
      <c r="X779" t="str">
        <f t="shared" si="188"/>
        <v>Second Class</v>
      </c>
      <c r="Y779">
        <v>2</v>
      </c>
      <c r="Z779">
        <v>4</v>
      </c>
      <c r="AA779">
        <v>1489.74</v>
      </c>
      <c r="AB779">
        <v>0.15</v>
      </c>
      <c r="AC779">
        <f t="shared" si="189"/>
        <v>0.15</v>
      </c>
      <c r="AD779">
        <v>5065.12</v>
      </c>
      <c r="AE779">
        <f t="shared" si="190"/>
        <v>5065.116</v>
      </c>
      <c r="AF779">
        <v>3530.12</v>
      </c>
      <c r="AG779">
        <v>1535</v>
      </c>
      <c r="AH779">
        <f t="shared" si="191"/>
        <v>1534.996</v>
      </c>
      <c r="AI779">
        <f t="shared" si="192"/>
        <v>0.303052486853213</v>
      </c>
      <c r="AJ779" t="s">
        <v>241</v>
      </c>
      <c r="AK779" t="str">
        <f t="shared" si="193"/>
        <v>Failed</v>
      </c>
      <c r="AL779" t="s">
        <v>118</v>
      </c>
      <c r="AM779" t="str">
        <f t="shared" si="194"/>
        <v>Cancelled</v>
      </c>
      <c r="AN779">
        <v>2</v>
      </c>
      <c r="AO779">
        <v>2024</v>
      </c>
      <c r="AP779" t="s">
        <v>79</v>
      </c>
    </row>
    <row r="780" spans="1:42">
      <c r="A780" t="s">
        <v>3656</v>
      </c>
      <c r="B780" s="3" t="s">
        <v>764</v>
      </c>
      <c r="C780" s="3">
        <v>45497</v>
      </c>
      <c r="D780" t="s">
        <v>3657</v>
      </c>
      <c r="E780" s="3">
        <v>45497</v>
      </c>
      <c r="F780" t="s">
        <v>3658</v>
      </c>
      <c r="G780" t="s">
        <v>70</v>
      </c>
      <c r="H780" t="str">
        <f t="shared" si="180"/>
        <v>Karan Malhotra</v>
      </c>
      <c r="I780" t="s">
        <v>85</v>
      </c>
      <c r="J780" t="str">
        <f t="shared" si="181"/>
        <v>Small Business</v>
      </c>
      <c r="K780" t="s">
        <v>8</v>
      </c>
      <c r="L780" t="str">
        <f t="shared" si="182"/>
        <v>North</v>
      </c>
      <c r="M780" t="s">
        <v>366</v>
      </c>
      <c r="N780" t="str">
        <f t="shared" si="183"/>
        <v>Haryana</v>
      </c>
      <c r="O780" t="s">
        <v>367</v>
      </c>
      <c r="P780" t="str">
        <f t="shared" si="184"/>
        <v>Gurugram</v>
      </c>
      <c r="Q780" t="s">
        <v>24</v>
      </c>
      <c r="R780" t="str">
        <f t="shared" si="185"/>
        <v>Technology</v>
      </c>
      <c r="S780" t="s">
        <v>133</v>
      </c>
      <c r="T780" t="str">
        <f t="shared" si="186"/>
        <v>Copiers</v>
      </c>
      <c r="U780" t="s">
        <v>3659</v>
      </c>
      <c r="V780" t="str">
        <f t="shared" si="187"/>
        <v>Pro Copiers 298</v>
      </c>
      <c r="W780" t="s">
        <v>76</v>
      </c>
      <c r="X780" t="str">
        <f t="shared" si="188"/>
        <v>Second Class</v>
      </c>
      <c r="Y780">
        <v>0</v>
      </c>
      <c r="Z780">
        <v>4</v>
      </c>
      <c r="AA780">
        <v>1676.88</v>
      </c>
      <c r="AB780">
        <v>0</v>
      </c>
      <c r="AC780">
        <f t="shared" si="189"/>
        <v>0</v>
      </c>
      <c r="AD780">
        <v>6707.52</v>
      </c>
      <c r="AE780">
        <f t="shared" si="190"/>
        <v>6707.52</v>
      </c>
      <c r="AF780">
        <v>5672.57</v>
      </c>
      <c r="AG780">
        <v>1034.95</v>
      </c>
      <c r="AH780">
        <f t="shared" si="191"/>
        <v>1034.95</v>
      </c>
      <c r="AI780">
        <f t="shared" si="192"/>
        <v>0.154296968178999</v>
      </c>
      <c r="AJ780" t="s">
        <v>77</v>
      </c>
      <c r="AK780" t="str">
        <f t="shared" si="193"/>
        <v>Paid</v>
      </c>
      <c r="AL780" t="s">
        <v>78</v>
      </c>
      <c r="AM780" t="str">
        <f t="shared" si="194"/>
        <v>Completed</v>
      </c>
      <c r="AN780">
        <v>7</v>
      </c>
      <c r="AO780">
        <v>2024</v>
      </c>
      <c r="AP780" t="s">
        <v>79</v>
      </c>
    </row>
    <row r="781" spans="1:42">
      <c r="A781" t="s">
        <v>3660</v>
      </c>
      <c r="B781" s="3" t="s">
        <v>2261</v>
      </c>
      <c r="C781" s="3">
        <v>45306</v>
      </c>
      <c r="D781" t="s">
        <v>3661</v>
      </c>
      <c r="E781" s="3">
        <v>45311</v>
      </c>
      <c r="F781" t="s">
        <v>3662</v>
      </c>
      <c r="G781" t="s">
        <v>182</v>
      </c>
      <c r="H781" t="str">
        <f t="shared" si="180"/>
        <v>Priya Menon</v>
      </c>
      <c r="I781" t="s">
        <v>85</v>
      </c>
      <c r="J781" t="str">
        <f t="shared" si="181"/>
        <v>Small Business</v>
      </c>
      <c r="K781" t="s">
        <v>10</v>
      </c>
      <c r="L781" t="str">
        <f t="shared" si="182"/>
        <v>South</v>
      </c>
      <c r="M781" t="s">
        <v>139</v>
      </c>
      <c r="N781" t="str">
        <f t="shared" si="183"/>
        <v>Andhra Pradesh</v>
      </c>
      <c r="O781" t="s">
        <v>140</v>
      </c>
      <c r="P781" t="str">
        <f t="shared" si="184"/>
        <v>Vijayawada</v>
      </c>
      <c r="Q781" t="s">
        <v>19</v>
      </c>
      <c r="R781" t="str">
        <f t="shared" si="185"/>
        <v>Furniture</v>
      </c>
      <c r="S781" t="s">
        <v>116</v>
      </c>
      <c r="T781" t="str">
        <f t="shared" si="186"/>
        <v>Chairs</v>
      </c>
      <c r="U781" t="s">
        <v>3663</v>
      </c>
      <c r="V781" t="str">
        <f t="shared" si="187"/>
        <v>Prime Chairs 331</v>
      </c>
      <c r="W781" t="s">
        <v>108</v>
      </c>
      <c r="X781" t="str">
        <f t="shared" si="188"/>
        <v>Standard Class</v>
      </c>
      <c r="Y781">
        <v>5</v>
      </c>
      <c r="Z781">
        <v>4</v>
      </c>
      <c r="AA781">
        <v>3153.54</v>
      </c>
      <c r="AB781">
        <v>0.05</v>
      </c>
      <c r="AC781">
        <f t="shared" si="189"/>
        <v>0.05</v>
      </c>
      <c r="AD781">
        <v>11983.45</v>
      </c>
      <c r="AE781">
        <f t="shared" si="190"/>
        <v>11983.452</v>
      </c>
      <c r="AF781">
        <v>8572.9</v>
      </c>
      <c r="AG781">
        <v>3410.55</v>
      </c>
      <c r="AH781">
        <f t="shared" si="191"/>
        <v>3410.552</v>
      </c>
      <c r="AI781">
        <f t="shared" si="192"/>
        <v>0.284605137150798</v>
      </c>
      <c r="AJ781" t="s">
        <v>77</v>
      </c>
      <c r="AK781" t="str">
        <f t="shared" si="193"/>
        <v>Paid</v>
      </c>
      <c r="AL781" t="s">
        <v>78</v>
      </c>
      <c r="AM781" t="str">
        <f t="shared" si="194"/>
        <v>Completed</v>
      </c>
      <c r="AN781">
        <v>1</v>
      </c>
      <c r="AO781">
        <v>2024</v>
      </c>
      <c r="AP781" t="s">
        <v>79</v>
      </c>
    </row>
    <row r="782" spans="1:42">
      <c r="A782" t="s">
        <v>3664</v>
      </c>
      <c r="B782" s="3" t="s">
        <v>3665</v>
      </c>
      <c r="C782" s="3">
        <v>45508</v>
      </c>
      <c r="D782" t="s">
        <v>2711</v>
      </c>
      <c r="E782" s="3">
        <v>45514</v>
      </c>
      <c r="F782" t="s">
        <v>3666</v>
      </c>
      <c r="G782" t="s">
        <v>251</v>
      </c>
      <c r="H782" t="str">
        <f t="shared" si="180"/>
        <v>Diya Patel</v>
      </c>
      <c r="I782" t="s">
        <v>85</v>
      </c>
      <c r="J782" t="str">
        <f t="shared" si="181"/>
        <v>Small Business</v>
      </c>
      <c r="K782" t="s">
        <v>11</v>
      </c>
      <c r="L782" t="str">
        <f t="shared" si="182"/>
        <v>West</v>
      </c>
      <c r="M782" t="s">
        <v>72</v>
      </c>
      <c r="N782" t="str">
        <f t="shared" si="183"/>
        <v>Rajasthan</v>
      </c>
      <c r="O782" t="s">
        <v>175</v>
      </c>
      <c r="P782" t="str">
        <f t="shared" si="184"/>
        <v>Udaipur</v>
      </c>
      <c r="Q782" t="s">
        <v>19</v>
      </c>
      <c r="R782" t="str">
        <f t="shared" si="185"/>
        <v>Furniture</v>
      </c>
      <c r="S782" t="s">
        <v>116</v>
      </c>
      <c r="T782" t="str">
        <f t="shared" si="186"/>
        <v>Chairs</v>
      </c>
      <c r="U782" t="s">
        <v>3667</v>
      </c>
      <c r="V782" t="str">
        <f t="shared" si="187"/>
        <v>Classic Chairs 798</v>
      </c>
      <c r="W782" t="s">
        <v>90</v>
      </c>
      <c r="X782" t="str">
        <f t="shared" si="188"/>
        <v>Same Day</v>
      </c>
      <c r="Y782">
        <v>6</v>
      </c>
      <c r="Z782">
        <v>4</v>
      </c>
      <c r="AA782">
        <v>426.43</v>
      </c>
      <c r="AB782">
        <v>0.2</v>
      </c>
      <c r="AC782">
        <f t="shared" si="189"/>
        <v>0.2</v>
      </c>
      <c r="AD782">
        <v>1364.58</v>
      </c>
      <c r="AE782">
        <f t="shared" si="190"/>
        <v>1364.576</v>
      </c>
      <c r="AF782">
        <v>978.16</v>
      </c>
      <c r="AG782">
        <v>386.42</v>
      </c>
      <c r="AH782">
        <f t="shared" si="191"/>
        <v>386.416</v>
      </c>
      <c r="AI782">
        <f t="shared" si="192"/>
        <v>0.283176605773515</v>
      </c>
      <c r="AJ782" t="s">
        <v>77</v>
      </c>
      <c r="AK782" t="str">
        <f t="shared" si="193"/>
        <v>Paid</v>
      </c>
      <c r="AL782" t="s">
        <v>78</v>
      </c>
      <c r="AM782" t="str">
        <f t="shared" si="194"/>
        <v>Completed</v>
      </c>
      <c r="AN782">
        <v>8</v>
      </c>
      <c r="AO782">
        <v>2024</v>
      </c>
      <c r="AP782" t="s">
        <v>79</v>
      </c>
    </row>
    <row r="783" spans="1:42">
      <c r="A783" t="s">
        <v>3668</v>
      </c>
      <c r="B783" s="3" t="s">
        <v>3669</v>
      </c>
      <c r="C783" s="3">
        <v>45324</v>
      </c>
      <c r="D783" t="s">
        <v>2184</v>
      </c>
      <c r="E783" s="3">
        <v>45332</v>
      </c>
      <c r="F783" t="s">
        <v>3670</v>
      </c>
      <c r="G783" t="s">
        <v>70</v>
      </c>
      <c r="H783" t="str">
        <f t="shared" si="180"/>
        <v>Karan Malhotra</v>
      </c>
      <c r="I783" t="s">
        <v>154</v>
      </c>
      <c r="J783" t="str">
        <f t="shared" si="181"/>
        <v>Home Office</v>
      </c>
      <c r="K783" t="s">
        <v>11</v>
      </c>
      <c r="L783" t="str">
        <f t="shared" si="182"/>
        <v>West</v>
      </c>
      <c r="M783" t="s">
        <v>72</v>
      </c>
      <c r="N783" t="str">
        <f t="shared" si="183"/>
        <v>Rajasthan</v>
      </c>
      <c r="O783" t="s">
        <v>175</v>
      </c>
      <c r="P783" t="str">
        <f t="shared" si="184"/>
        <v>Udaipur</v>
      </c>
      <c r="Q783" t="s">
        <v>22</v>
      </c>
      <c r="R783" t="str">
        <f t="shared" si="185"/>
        <v>Office Supplies</v>
      </c>
      <c r="S783" t="s">
        <v>148</v>
      </c>
      <c r="T783" t="str">
        <f t="shared" si="186"/>
        <v>Labels</v>
      </c>
      <c r="U783" t="s">
        <v>3671</v>
      </c>
      <c r="V783" t="str">
        <f t="shared" si="187"/>
        <v>Classic Labels 204</v>
      </c>
      <c r="W783" t="s">
        <v>98</v>
      </c>
      <c r="X783" t="str">
        <f t="shared" si="188"/>
        <v>First Class</v>
      </c>
      <c r="Y783">
        <v>8</v>
      </c>
      <c r="Z783">
        <v>3</v>
      </c>
      <c r="AA783">
        <v>383.4</v>
      </c>
      <c r="AB783">
        <v>0.25</v>
      </c>
      <c r="AC783">
        <f t="shared" si="189"/>
        <v>0.25</v>
      </c>
      <c r="AD783">
        <v>862.65</v>
      </c>
      <c r="AE783">
        <f t="shared" si="190"/>
        <v>862.65</v>
      </c>
      <c r="AF783">
        <v>603.73</v>
      </c>
      <c r="AG783">
        <v>258.92</v>
      </c>
      <c r="AH783">
        <f t="shared" si="191"/>
        <v>258.92</v>
      </c>
      <c r="AI783">
        <f t="shared" si="192"/>
        <v>0.300144902335826</v>
      </c>
      <c r="AJ783" t="s">
        <v>177</v>
      </c>
      <c r="AK783" t="str">
        <f t="shared" si="193"/>
        <v>Pending</v>
      </c>
      <c r="AL783" t="s">
        <v>164</v>
      </c>
      <c r="AM783" t="str">
        <f t="shared" si="194"/>
        <v>Returned</v>
      </c>
      <c r="AN783">
        <v>2</v>
      </c>
      <c r="AO783">
        <v>2024</v>
      </c>
      <c r="AP783" t="s">
        <v>79</v>
      </c>
    </row>
    <row r="784" spans="1:42">
      <c r="A784" t="s">
        <v>3672</v>
      </c>
      <c r="B784" s="3" t="s">
        <v>1488</v>
      </c>
      <c r="C784" s="3">
        <v>45730</v>
      </c>
      <c r="D784" t="s">
        <v>3673</v>
      </c>
      <c r="E784" s="3">
        <v>45738</v>
      </c>
      <c r="F784" t="s">
        <v>3674</v>
      </c>
      <c r="G784" t="s">
        <v>84</v>
      </c>
      <c r="H784" t="str">
        <f t="shared" si="180"/>
        <v>Mira Das</v>
      </c>
      <c r="I784" t="s">
        <v>147</v>
      </c>
      <c r="J784" t="str">
        <f t="shared" si="181"/>
        <v>Corporate</v>
      </c>
      <c r="K784" t="s">
        <v>7</v>
      </c>
      <c r="L784" t="str">
        <f t="shared" si="182"/>
        <v>East</v>
      </c>
      <c r="M784" t="s">
        <v>160</v>
      </c>
      <c r="N784" t="str">
        <f t="shared" si="183"/>
        <v>West Bengal</v>
      </c>
      <c r="O784" t="s">
        <v>161</v>
      </c>
      <c r="P784" t="str">
        <f t="shared" si="184"/>
        <v>Kolkata</v>
      </c>
      <c r="Q784" t="s">
        <v>24</v>
      </c>
      <c r="R784" t="str">
        <f t="shared" si="185"/>
        <v>Technology</v>
      </c>
      <c r="S784" t="s">
        <v>133</v>
      </c>
      <c r="T784" t="str">
        <f t="shared" si="186"/>
        <v>Copiers</v>
      </c>
      <c r="U784" t="s">
        <v>3675</v>
      </c>
      <c r="V784" t="str">
        <f t="shared" si="187"/>
        <v>Basic Copiers 254</v>
      </c>
      <c r="W784" t="s">
        <v>108</v>
      </c>
      <c r="X784" t="str">
        <f t="shared" si="188"/>
        <v>Standard Class</v>
      </c>
      <c r="Y784">
        <v>8</v>
      </c>
      <c r="Z784">
        <v>2</v>
      </c>
      <c r="AA784">
        <v>669.63</v>
      </c>
      <c r="AB784">
        <v>0.15</v>
      </c>
      <c r="AC784">
        <f t="shared" si="189"/>
        <v>0.15</v>
      </c>
      <c r="AD784">
        <v>1138.37</v>
      </c>
      <c r="AE784">
        <f t="shared" si="190"/>
        <v>1138.371</v>
      </c>
      <c r="AF784">
        <v>797.34</v>
      </c>
      <c r="AG784">
        <v>341.03</v>
      </c>
      <c r="AH784">
        <f t="shared" si="191"/>
        <v>341.031</v>
      </c>
      <c r="AI784">
        <f t="shared" si="192"/>
        <v>0.299578081310926</v>
      </c>
      <c r="AJ784" t="s">
        <v>77</v>
      </c>
      <c r="AK784" t="str">
        <f t="shared" si="193"/>
        <v>Paid</v>
      </c>
      <c r="AL784" t="s">
        <v>78</v>
      </c>
      <c r="AM784" t="str">
        <f t="shared" si="194"/>
        <v>Completed</v>
      </c>
      <c r="AN784">
        <v>3</v>
      </c>
      <c r="AO784">
        <v>2025</v>
      </c>
      <c r="AP784" t="s">
        <v>79</v>
      </c>
    </row>
    <row r="785" spans="1:42">
      <c r="A785" t="s">
        <v>3676</v>
      </c>
      <c r="B785" s="3" t="s">
        <v>3677</v>
      </c>
      <c r="C785" s="3">
        <v>45450</v>
      </c>
      <c r="D785" t="s">
        <v>3678</v>
      </c>
      <c r="E785" s="3">
        <v>45450</v>
      </c>
      <c r="F785" t="s">
        <v>3679</v>
      </c>
      <c r="G785" t="s">
        <v>202</v>
      </c>
      <c r="H785" t="str">
        <f t="shared" si="180"/>
        <v>Aarav Sharma</v>
      </c>
      <c r="I785" t="s">
        <v>85</v>
      </c>
      <c r="J785" t="str">
        <f t="shared" si="181"/>
        <v>Small Business</v>
      </c>
      <c r="K785" t="s">
        <v>7</v>
      </c>
      <c r="L785" t="str">
        <f t="shared" si="182"/>
        <v>East</v>
      </c>
      <c r="M785" t="s">
        <v>227</v>
      </c>
      <c r="N785" t="str">
        <f t="shared" si="183"/>
        <v>Bihar</v>
      </c>
      <c r="O785" t="s">
        <v>228</v>
      </c>
      <c r="P785" t="str">
        <f t="shared" si="184"/>
        <v>Patna</v>
      </c>
      <c r="Q785" t="s">
        <v>22</v>
      </c>
      <c r="R785" t="str">
        <f t="shared" si="185"/>
        <v>Office Supplies</v>
      </c>
      <c r="S785" t="s">
        <v>96</v>
      </c>
      <c r="T785" t="str">
        <f t="shared" si="186"/>
        <v>Art</v>
      </c>
      <c r="U785" t="s">
        <v>3680</v>
      </c>
      <c r="V785" t="str">
        <f t="shared" si="187"/>
        <v>Basic Art 709</v>
      </c>
      <c r="W785" t="s">
        <v>76</v>
      </c>
      <c r="X785" t="str">
        <f t="shared" si="188"/>
        <v>Second Class</v>
      </c>
      <c r="Y785">
        <v>0</v>
      </c>
      <c r="Z785">
        <v>1</v>
      </c>
      <c r="AA785">
        <v>2581.93</v>
      </c>
      <c r="AB785">
        <v>0.05</v>
      </c>
      <c r="AC785">
        <f t="shared" si="189"/>
        <v>0.05</v>
      </c>
      <c r="AD785">
        <v>2452.83</v>
      </c>
      <c r="AE785">
        <f t="shared" si="190"/>
        <v>2452.8335</v>
      </c>
      <c r="AF785">
        <v>1906.7</v>
      </c>
      <c r="AG785">
        <v>546.13</v>
      </c>
      <c r="AH785">
        <f t="shared" si="191"/>
        <v>546.1335</v>
      </c>
      <c r="AI785">
        <f t="shared" si="192"/>
        <v>0.222654126340006</v>
      </c>
      <c r="AJ785" t="s">
        <v>77</v>
      </c>
      <c r="AK785" t="str">
        <f t="shared" si="193"/>
        <v>Paid</v>
      </c>
      <c r="AL785" t="s">
        <v>78</v>
      </c>
      <c r="AM785" t="str">
        <f t="shared" si="194"/>
        <v>Completed</v>
      </c>
      <c r="AN785">
        <v>6</v>
      </c>
      <c r="AO785">
        <v>2024</v>
      </c>
      <c r="AP785" t="s">
        <v>79</v>
      </c>
    </row>
    <row r="786" spans="1:42">
      <c r="A786" t="s">
        <v>3681</v>
      </c>
      <c r="B786" s="3" t="s">
        <v>3682</v>
      </c>
      <c r="C786" s="3">
        <v>45934</v>
      </c>
      <c r="D786" t="s">
        <v>2610</v>
      </c>
      <c r="E786" s="3">
        <v>45935</v>
      </c>
      <c r="F786" t="s">
        <v>3683</v>
      </c>
      <c r="G786" t="s">
        <v>182</v>
      </c>
      <c r="H786" t="str">
        <f t="shared" si="180"/>
        <v>Priya Menon</v>
      </c>
      <c r="I786" t="s">
        <v>147</v>
      </c>
      <c r="J786" t="str">
        <f t="shared" si="181"/>
        <v>Corporate</v>
      </c>
      <c r="K786" t="s">
        <v>3684</v>
      </c>
      <c r="L786" t="str">
        <f t="shared" si="182"/>
        <v>North</v>
      </c>
      <c r="M786" t="s">
        <v>194</v>
      </c>
      <c r="N786" t="str">
        <f t="shared" si="183"/>
        <v>Punjab</v>
      </c>
      <c r="O786" t="s">
        <v>195</v>
      </c>
      <c r="P786" t="str">
        <f t="shared" si="184"/>
        <v>Ludhiana</v>
      </c>
      <c r="Q786" t="s">
        <v>24</v>
      </c>
      <c r="R786" t="str">
        <f t="shared" si="185"/>
        <v>Technology</v>
      </c>
      <c r="S786" t="s">
        <v>133</v>
      </c>
      <c r="T786" t="str">
        <f t="shared" si="186"/>
        <v>Copiers</v>
      </c>
      <c r="U786" t="s">
        <v>3685</v>
      </c>
      <c r="V786" t="str">
        <f t="shared" si="187"/>
        <v>Max Copiers 551</v>
      </c>
      <c r="W786" t="s">
        <v>98</v>
      </c>
      <c r="X786" t="str">
        <f t="shared" si="188"/>
        <v>First Class</v>
      </c>
      <c r="Y786">
        <v>1</v>
      </c>
      <c r="Z786">
        <v>4</v>
      </c>
      <c r="AA786">
        <v>418.18</v>
      </c>
      <c r="AB786">
        <v>0.05</v>
      </c>
      <c r="AC786">
        <f t="shared" si="189"/>
        <v>0.05</v>
      </c>
      <c r="AD786">
        <v>1589.08</v>
      </c>
      <c r="AE786">
        <f t="shared" si="190"/>
        <v>1589.084</v>
      </c>
      <c r="AF786">
        <v>1084.66</v>
      </c>
      <c r="AG786">
        <v>504.42</v>
      </c>
      <c r="AH786">
        <f t="shared" si="191"/>
        <v>504.424</v>
      </c>
      <c r="AI786">
        <f t="shared" si="192"/>
        <v>0.3174306707512</v>
      </c>
      <c r="AJ786" t="s">
        <v>77</v>
      </c>
      <c r="AK786" t="str">
        <f t="shared" si="193"/>
        <v>Paid</v>
      </c>
      <c r="AL786" t="s">
        <v>78</v>
      </c>
      <c r="AM786" t="str">
        <f t="shared" si="194"/>
        <v>Completed</v>
      </c>
      <c r="AN786">
        <v>10</v>
      </c>
      <c r="AO786">
        <v>2025</v>
      </c>
      <c r="AP786" t="s">
        <v>79</v>
      </c>
    </row>
    <row r="787" spans="1:42">
      <c r="A787" t="s">
        <v>3686</v>
      </c>
      <c r="B787" s="3" t="s">
        <v>3687</v>
      </c>
      <c r="C787" s="3">
        <v>45435</v>
      </c>
      <c r="D787" t="s">
        <v>316</v>
      </c>
      <c r="E787" s="3">
        <v>45441</v>
      </c>
      <c r="F787" t="s">
        <v>3688</v>
      </c>
      <c r="G787" t="s">
        <v>251</v>
      </c>
      <c r="H787" t="str">
        <f t="shared" si="180"/>
        <v>Diya Patel</v>
      </c>
      <c r="I787" t="s">
        <v>85</v>
      </c>
      <c r="J787" t="str">
        <f t="shared" si="181"/>
        <v>Small Business</v>
      </c>
      <c r="K787" t="s">
        <v>8</v>
      </c>
      <c r="L787" t="str">
        <f t="shared" si="182"/>
        <v>North</v>
      </c>
      <c r="M787" t="s">
        <v>366</v>
      </c>
      <c r="N787" t="str">
        <f t="shared" si="183"/>
        <v>Haryana</v>
      </c>
      <c r="O787" t="s">
        <v>367</v>
      </c>
      <c r="P787" t="str">
        <f t="shared" si="184"/>
        <v>Gurugram</v>
      </c>
      <c r="Q787" t="s">
        <v>22</v>
      </c>
      <c r="R787" t="str">
        <f t="shared" si="185"/>
        <v>Office Supplies</v>
      </c>
      <c r="S787" t="s">
        <v>196</v>
      </c>
      <c r="T787" t="str">
        <f t="shared" si="186"/>
        <v>Storage</v>
      </c>
      <c r="U787" t="s">
        <v>3689</v>
      </c>
      <c r="V787" t="str">
        <f t="shared" si="187"/>
        <v>Eco Storage 183</v>
      </c>
      <c r="W787" t="s">
        <v>90</v>
      </c>
      <c r="X787" t="str">
        <f t="shared" si="188"/>
        <v>Same Day</v>
      </c>
      <c r="Y787">
        <v>6</v>
      </c>
      <c r="Z787">
        <v>2</v>
      </c>
      <c r="AA787">
        <v>3012.94</v>
      </c>
      <c r="AB787">
        <v>0.25</v>
      </c>
      <c r="AC787">
        <f t="shared" si="189"/>
        <v>0.25</v>
      </c>
      <c r="AD787">
        <v>4519.41</v>
      </c>
      <c r="AE787">
        <f t="shared" si="190"/>
        <v>4519.41</v>
      </c>
      <c r="AF787">
        <v>3504.16</v>
      </c>
      <c r="AG787">
        <v>1275.55</v>
      </c>
      <c r="AH787">
        <f t="shared" si="191"/>
        <v>1015.25</v>
      </c>
      <c r="AI787">
        <f t="shared" si="192"/>
        <v>0.224642154617528</v>
      </c>
      <c r="AJ787" t="s">
        <v>241</v>
      </c>
      <c r="AK787" t="str">
        <f t="shared" si="193"/>
        <v>Failed</v>
      </c>
      <c r="AL787" t="s">
        <v>118</v>
      </c>
      <c r="AM787" t="str">
        <f t="shared" si="194"/>
        <v>Cancelled</v>
      </c>
      <c r="AN787">
        <v>5</v>
      </c>
      <c r="AO787">
        <v>2024</v>
      </c>
      <c r="AP787" t="s">
        <v>79</v>
      </c>
    </row>
    <row r="788" spans="1:42">
      <c r="A788" t="s">
        <v>3690</v>
      </c>
      <c r="B788" s="3" t="s">
        <v>1323</v>
      </c>
      <c r="C788" s="3">
        <v>45844</v>
      </c>
      <c r="D788" t="s">
        <v>2912</v>
      </c>
      <c r="E788" s="3">
        <v>45846</v>
      </c>
      <c r="F788" t="s">
        <v>3691</v>
      </c>
      <c r="G788" t="s">
        <v>113</v>
      </c>
      <c r="H788" t="str">
        <f t="shared" si="180"/>
        <v>Ananya Rao</v>
      </c>
      <c r="I788" t="s">
        <v>147</v>
      </c>
      <c r="J788" t="str">
        <f t="shared" si="181"/>
        <v>Corporate</v>
      </c>
      <c r="K788" t="s">
        <v>8</v>
      </c>
      <c r="L788" t="str">
        <f t="shared" si="182"/>
        <v>North</v>
      </c>
      <c r="M788" t="s">
        <v>72</v>
      </c>
      <c r="N788" t="str">
        <f t="shared" si="183"/>
        <v>Rajasthan</v>
      </c>
      <c r="O788" t="s">
        <v>73</v>
      </c>
      <c r="P788" t="str">
        <f t="shared" si="184"/>
        <v>Jaipur</v>
      </c>
      <c r="Q788" t="s">
        <v>19</v>
      </c>
      <c r="R788" t="str">
        <f t="shared" si="185"/>
        <v>Furniture</v>
      </c>
      <c r="S788" t="s">
        <v>106</v>
      </c>
      <c r="T788" t="str">
        <f t="shared" si="186"/>
        <v>Furnishings</v>
      </c>
      <c r="U788" t="s">
        <v>3692</v>
      </c>
      <c r="V788" t="str">
        <f t="shared" si="187"/>
        <v>Pro Furnishings 233</v>
      </c>
      <c r="X788" t="str">
        <f t="shared" si="188"/>
        <v/>
      </c>
      <c r="Y788">
        <v>2</v>
      </c>
      <c r="Z788">
        <v>4</v>
      </c>
      <c r="AA788">
        <v>715.45</v>
      </c>
      <c r="AB788">
        <v>0.05</v>
      </c>
      <c r="AC788">
        <f t="shared" si="189"/>
        <v>0.05</v>
      </c>
      <c r="AD788">
        <v>2718.71</v>
      </c>
      <c r="AE788">
        <f t="shared" si="190"/>
        <v>2718.71</v>
      </c>
      <c r="AF788">
        <v>2065.05</v>
      </c>
      <c r="AG788">
        <v>653.66</v>
      </c>
      <c r="AH788">
        <f t="shared" si="191"/>
        <v>653.66</v>
      </c>
      <c r="AI788">
        <f t="shared" si="192"/>
        <v>0.240430204030588</v>
      </c>
      <c r="AJ788" t="s">
        <v>163</v>
      </c>
      <c r="AK788" t="str">
        <f t="shared" si="193"/>
        <v>Refunded</v>
      </c>
      <c r="AL788" t="s">
        <v>164</v>
      </c>
      <c r="AM788" t="str">
        <f t="shared" si="194"/>
        <v>Returned</v>
      </c>
      <c r="AN788">
        <v>7</v>
      </c>
      <c r="AO788">
        <v>2025</v>
      </c>
      <c r="AP788" t="s">
        <v>79</v>
      </c>
    </row>
    <row r="789" spans="1:42">
      <c r="A789" t="s">
        <v>3693</v>
      </c>
      <c r="B789" s="3" t="s">
        <v>1376</v>
      </c>
      <c r="C789" s="3">
        <v>45547</v>
      </c>
      <c r="D789" t="s">
        <v>3694</v>
      </c>
      <c r="E789" s="3">
        <v>45553</v>
      </c>
      <c r="F789" t="s">
        <v>3695</v>
      </c>
      <c r="G789" t="s">
        <v>113</v>
      </c>
      <c r="H789" t="str">
        <f t="shared" si="180"/>
        <v>Ananya Rao</v>
      </c>
      <c r="I789" t="s">
        <v>154</v>
      </c>
      <c r="J789" t="str">
        <f t="shared" si="181"/>
        <v>Home Office</v>
      </c>
      <c r="K789" t="s">
        <v>7</v>
      </c>
      <c r="L789" t="str">
        <f t="shared" si="182"/>
        <v>East</v>
      </c>
      <c r="M789" t="s">
        <v>227</v>
      </c>
      <c r="N789" t="str">
        <f t="shared" si="183"/>
        <v>Bihar</v>
      </c>
      <c r="O789" t="s">
        <v>228</v>
      </c>
      <c r="P789" t="str">
        <f t="shared" si="184"/>
        <v>Patna</v>
      </c>
      <c r="Q789" t="s">
        <v>22</v>
      </c>
      <c r="R789" t="str">
        <f t="shared" si="185"/>
        <v>Office Supplies</v>
      </c>
      <c r="S789" t="s">
        <v>74</v>
      </c>
      <c r="T789" t="str">
        <f t="shared" si="186"/>
        <v>Paper</v>
      </c>
      <c r="U789" t="s">
        <v>3696</v>
      </c>
      <c r="V789" t="str">
        <f t="shared" si="187"/>
        <v>Prime Paper 878</v>
      </c>
      <c r="W789" t="s">
        <v>76</v>
      </c>
      <c r="X789" t="str">
        <f t="shared" si="188"/>
        <v>Second Class</v>
      </c>
      <c r="Y789">
        <v>6</v>
      </c>
      <c r="Z789">
        <v>2</v>
      </c>
      <c r="AA789">
        <v>3718.77</v>
      </c>
      <c r="AB789">
        <v>0.05</v>
      </c>
      <c r="AC789">
        <f t="shared" si="189"/>
        <v>0.05</v>
      </c>
      <c r="AD789">
        <v>7065.66</v>
      </c>
      <c r="AE789">
        <f t="shared" si="190"/>
        <v>7065.663</v>
      </c>
      <c r="AF789">
        <v>4915.27</v>
      </c>
      <c r="AG789">
        <v>2150.39</v>
      </c>
      <c r="AH789">
        <f t="shared" si="191"/>
        <v>2150.393</v>
      </c>
      <c r="AI789">
        <f t="shared" si="192"/>
        <v>0.30434412170521</v>
      </c>
      <c r="AJ789" t="s">
        <v>267</v>
      </c>
      <c r="AK789" t="str">
        <f t="shared" si="193"/>
        <v>Paid</v>
      </c>
      <c r="AL789" t="s">
        <v>78</v>
      </c>
      <c r="AM789" t="str">
        <f t="shared" si="194"/>
        <v>Completed</v>
      </c>
      <c r="AN789">
        <v>9</v>
      </c>
      <c r="AO789">
        <v>2024</v>
      </c>
      <c r="AP789" t="s">
        <v>79</v>
      </c>
    </row>
    <row r="790" spans="1:42">
      <c r="A790" t="s">
        <v>3697</v>
      </c>
      <c r="B790" s="3" t="s">
        <v>1351</v>
      </c>
      <c r="C790" s="3">
        <v>45505</v>
      </c>
      <c r="D790" t="s">
        <v>584</v>
      </c>
      <c r="E790" s="3">
        <v>45506</v>
      </c>
      <c r="F790" t="s">
        <v>3698</v>
      </c>
      <c r="G790" t="s">
        <v>95</v>
      </c>
      <c r="H790" t="str">
        <f t="shared" si="180"/>
        <v>Isha Nair</v>
      </c>
      <c r="I790" t="s">
        <v>147</v>
      </c>
      <c r="J790" t="str">
        <f t="shared" si="181"/>
        <v>Corporate</v>
      </c>
      <c r="K790" t="s">
        <v>8</v>
      </c>
      <c r="L790" t="str">
        <f t="shared" si="182"/>
        <v>North</v>
      </c>
      <c r="M790" t="s">
        <v>214</v>
      </c>
      <c r="N790" t="str">
        <f t="shared" si="183"/>
        <v>Uttar Pradesh</v>
      </c>
      <c r="O790" t="s">
        <v>215</v>
      </c>
      <c r="P790" t="str">
        <f t="shared" si="184"/>
        <v>Noida</v>
      </c>
      <c r="Q790" t="s">
        <v>19</v>
      </c>
      <c r="R790" t="str">
        <f t="shared" si="185"/>
        <v>Furniture</v>
      </c>
      <c r="S790" t="s">
        <v>116</v>
      </c>
      <c r="T790" t="str">
        <f t="shared" si="186"/>
        <v>Chairs</v>
      </c>
      <c r="U790" t="s">
        <v>3699</v>
      </c>
      <c r="V790" t="str">
        <f t="shared" si="187"/>
        <v>Smart Chairs 353</v>
      </c>
      <c r="W790" t="s">
        <v>108</v>
      </c>
      <c r="X790" t="str">
        <f t="shared" si="188"/>
        <v>Standard Class</v>
      </c>
      <c r="Y790">
        <v>1</v>
      </c>
      <c r="Z790">
        <v>8</v>
      </c>
      <c r="AA790">
        <v>2487.64</v>
      </c>
      <c r="AB790">
        <v>0.1</v>
      </c>
      <c r="AC790">
        <f t="shared" si="189"/>
        <v>0.1</v>
      </c>
      <c r="AD790">
        <v>17911.01</v>
      </c>
      <c r="AE790">
        <f t="shared" si="190"/>
        <v>17911.008</v>
      </c>
      <c r="AF790">
        <v>11546.05</v>
      </c>
      <c r="AG790">
        <v>6364.96</v>
      </c>
      <c r="AH790">
        <f t="shared" si="191"/>
        <v>6364.958</v>
      </c>
      <c r="AI790">
        <f t="shared" si="192"/>
        <v>0.355365705827388</v>
      </c>
      <c r="AJ790" t="s">
        <v>241</v>
      </c>
      <c r="AK790" t="str">
        <f t="shared" si="193"/>
        <v>Failed</v>
      </c>
      <c r="AL790" t="s">
        <v>164</v>
      </c>
      <c r="AM790" t="str">
        <f t="shared" si="194"/>
        <v>Returned</v>
      </c>
      <c r="AN790">
        <v>8</v>
      </c>
      <c r="AO790">
        <v>2024</v>
      </c>
      <c r="AP790" t="s">
        <v>79</v>
      </c>
    </row>
    <row r="791" spans="1:42">
      <c r="A791" t="s">
        <v>3700</v>
      </c>
      <c r="B791" s="3" t="s">
        <v>3701</v>
      </c>
      <c r="C791" s="3">
        <v>45723</v>
      </c>
      <c r="D791" t="s">
        <v>2380</v>
      </c>
      <c r="E791" s="3">
        <v>45724</v>
      </c>
      <c r="F791" t="s">
        <v>3702</v>
      </c>
      <c r="G791" t="s">
        <v>182</v>
      </c>
      <c r="H791" t="str">
        <f t="shared" si="180"/>
        <v>Priya Menon</v>
      </c>
      <c r="I791" t="s">
        <v>154</v>
      </c>
      <c r="J791" t="str">
        <f t="shared" si="181"/>
        <v>Home Office</v>
      </c>
      <c r="L791" t="str">
        <f t="shared" si="182"/>
        <v/>
      </c>
      <c r="M791" t="s">
        <v>72</v>
      </c>
      <c r="N791" t="str">
        <f t="shared" si="183"/>
        <v>Rajasthan</v>
      </c>
      <c r="O791" t="s">
        <v>175</v>
      </c>
      <c r="P791" t="str">
        <f t="shared" si="184"/>
        <v>Udaipur</v>
      </c>
      <c r="Q791" t="s">
        <v>24</v>
      </c>
      <c r="R791" t="str">
        <f t="shared" si="185"/>
        <v>Technology</v>
      </c>
      <c r="S791" t="s">
        <v>133</v>
      </c>
      <c r="T791" t="str">
        <f t="shared" si="186"/>
        <v>Copiers</v>
      </c>
      <c r="U791" t="s">
        <v>3703</v>
      </c>
      <c r="V791" t="str">
        <f t="shared" si="187"/>
        <v>Smart Copiers 408</v>
      </c>
      <c r="W791" t="s">
        <v>90</v>
      </c>
      <c r="X791" t="str">
        <f t="shared" si="188"/>
        <v>Same Day</v>
      </c>
      <c r="Y791">
        <v>1</v>
      </c>
      <c r="Z791">
        <v>4</v>
      </c>
      <c r="AA791">
        <v>3537.48</v>
      </c>
      <c r="AB791">
        <v>0</v>
      </c>
      <c r="AC791">
        <f t="shared" si="189"/>
        <v>0</v>
      </c>
      <c r="AD791">
        <v>14149.92</v>
      </c>
      <c r="AE791">
        <f t="shared" si="190"/>
        <v>14149.92</v>
      </c>
      <c r="AF791">
        <v>9466.51</v>
      </c>
      <c r="AG791">
        <v>4683.41</v>
      </c>
      <c r="AH791">
        <f t="shared" si="191"/>
        <v>4683.41</v>
      </c>
      <c r="AI791">
        <f t="shared" si="192"/>
        <v>0.330984910162036</v>
      </c>
      <c r="AJ791" t="s">
        <v>77</v>
      </c>
      <c r="AK791" t="str">
        <f t="shared" si="193"/>
        <v>Paid</v>
      </c>
      <c r="AL791" t="s">
        <v>78</v>
      </c>
      <c r="AM791" t="str">
        <f t="shared" si="194"/>
        <v>Completed</v>
      </c>
      <c r="AN791">
        <v>3</v>
      </c>
      <c r="AO791">
        <v>2025</v>
      </c>
      <c r="AP791" t="s">
        <v>79</v>
      </c>
    </row>
    <row r="792" spans="1:42">
      <c r="A792" t="s">
        <v>3704</v>
      </c>
      <c r="B792" s="3" t="s">
        <v>3705</v>
      </c>
      <c r="C792" s="3">
        <v>45443</v>
      </c>
      <c r="D792" t="s">
        <v>3706</v>
      </c>
      <c r="E792" s="3">
        <v>45445</v>
      </c>
      <c r="F792" t="s">
        <v>3707</v>
      </c>
      <c r="G792" t="s">
        <v>188</v>
      </c>
      <c r="H792" t="str">
        <f t="shared" si="180"/>
        <v>Rahul Verma</v>
      </c>
      <c r="I792" t="s">
        <v>147</v>
      </c>
      <c r="J792" t="str">
        <f t="shared" si="181"/>
        <v>Corporate</v>
      </c>
      <c r="K792" t="s">
        <v>10</v>
      </c>
      <c r="L792" t="str">
        <f t="shared" si="182"/>
        <v>South</v>
      </c>
      <c r="M792" t="s">
        <v>139</v>
      </c>
      <c r="N792" t="str">
        <f t="shared" si="183"/>
        <v>Andhra Pradesh</v>
      </c>
      <c r="O792" t="s">
        <v>140</v>
      </c>
      <c r="P792" t="str">
        <f t="shared" si="184"/>
        <v>Vijayawada</v>
      </c>
      <c r="Q792" t="s">
        <v>22</v>
      </c>
      <c r="R792" t="str">
        <f t="shared" si="185"/>
        <v>Office Supplies</v>
      </c>
      <c r="S792" t="s">
        <v>96</v>
      </c>
      <c r="T792" t="str">
        <f t="shared" si="186"/>
        <v>Art</v>
      </c>
      <c r="U792" t="s">
        <v>3708</v>
      </c>
      <c r="V792" t="str">
        <f t="shared" si="187"/>
        <v>Classic Art 781</v>
      </c>
      <c r="W792" t="s">
        <v>108</v>
      </c>
      <c r="X792" t="str">
        <f t="shared" si="188"/>
        <v>Standard Class</v>
      </c>
      <c r="Y792">
        <v>2</v>
      </c>
      <c r="Z792">
        <v>8</v>
      </c>
      <c r="AA792">
        <v>667.59</v>
      </c>
      <c r="AB792">
        <v>0.2</v>
      </c>
      <c r="AC792">
        <f t="shared" si="189"/>
        <v>0.2</v>
      </c>
      <c r="AD792">
        <v>4272.58</v>
      </c>
      <c r="AE792">
        <f t="shared" si="190"/>
        <v>4272.576</v>
      </c>
      <c r="AF792">
        <v>3328.92</v>
      </c>
      <c r="AG792">
        <v>943.66</v>
      </c>
      <c r="AH792">
        <f t="shared" si="191"/>
        <v>943.656</v>
      </c>
      <c r="AI792">
        <f t="shared" si="192"/>
        <v>0.220863479081472</v>
      </c>
      <c r="AJ792" t="s">
        <v>77</v>
      </c>
      <c r="AK792" t="str">
        <f t="shared" si="193"/>
        <v>Paid</v>
      </c>
      <c r="AL792" t="s">
        <v>78</v>
      </c>
      <c r="AM792" t="str">
        <f t="shared" si="194"/>
        <v>Completed</v>
      </c>
      <c r="AN792">
        <v>5</v>
      </c>
      <c r="AO792">
        <v>2024</v>
      </c>
      <c r="AP792" t="s">
        <v>79</v>
      </c>
    </row>
    <row r="793" spans="1:42">
      <c r="A793" t="s">
        <v>3709</v>
      </c>
      <c r="B793" s="3" t="s">
        <v>3072</v>
      </c>
      <c r="C793" s="3">
        <v>45567</v>
      </c>
      <c r="D793" t="s">
        <v>3710</v>
      </c>
      <c r="E793" s="3">
        <v>45571</v>
      </c>
      <c r="F793" t="s">
        <v>3711</v>
      </c>
      <c r="G793" t="s">
        <v>188</v>
      </c>
      <c r="H793" t="str">
        <f t="shared" si="180"/>
        <v>Rahul Verma</v>
      </c>
      <c r="I793" t="s">
        <v>154</v>
      </c>
      <c r="J793" t="str">
        <f t="shared" si="181"/>
        <v>Home Office</v>
      </c>
      <c r="K793" t="s">
        <v>10</v>
      </c>
      <c r="L793" t="str">
        <f t="shared" si="182"/>
        <v>South</v>
      </c>
      <c r="M793" t="s">
        <v>272</v>
      </c>
      <c r="N793" t="str">
        <f t="shared" si="183"/>
        <v>Karnataka</v>
      </c>
      <c r="O793" t="s">
        <v>273</v>
      </c>
      <c r="P793" t="str">
        <f t="shared" si="184"/>
        <v>Bengaluru</v>
      </c>
      <c r="Q793" t="s">
        <v>19</v>
      </c>
      <c r="R793" t="str">
        <f t="shared" si="185"/>
        <v>Furniture</v>
      </c>
      <c r="S793" t="s">
        <v>245</v>
      </c>
      <c r="T793" t="str">
        <f t="shared" si="186"/>
        <v>Bookcases</v>
      </c>
      <c r="U793" t="s">
        <v>3712</v>
      </c>
      <c r="V793" t="str">
        <f t="shared" si="187"/>
        <v>Eco Bookcases 144</v>
      </c>
      <c r="W793" t="s">
        <v>90</v>
      </c>
      <c r="X793" t="str">
        <f t="shared" si="188"/>
        <v>Same Day</v>
      </c>
      <c r="Y793">
        <v>4</v>
      </c>
      <c r="Z793">
        <v>8</v>
      </c>
      <c r="AA793">
        <v>1558.77</v>
      </c>
      <c r="AB793">
        <v>0.25</v>
      </c>
      <c r="AC793">
        <f t="shared" si="189"/>
        <v>0.25</v>
      </c>
      <c r="AD793">
        <v>9352.62</v>
      </c>
      <c r="AE793">
        <f t="shared" si="190"/>
        <v>9352.62</v>
      </c>
      <c r="AF793">
        <v>5269.41</v>
      </c>
      <c r="AG793">
        <v>4083.21</v>
      </c>
      <c r="AH793">
        <f t="shared" si="191"/>
        <v>4083.21</v>
      </c>
      <c r="AI793">
        <f t="shared" si="192"/>
        <v>0.436584614792432</v>
      </c>
      <c r="AJ793" t="s">
        <v>77</v>
      </c>
      <c r="AK793" t="str">
        <f t="shared" si="193"/>
        <v>Paid</v>
      </c>
      <c r="AL793" t="s">
        <v>78</v>
      </c>
      <c r="AM793" t="str">
        <f t="shared" si="194"/>
        <v>Completed</v>
      </c>
      <c r="AN793">
        <v>10</v>
      </c>
      <c r="AO793">
        <v>2024</v>
      </c>
      <c r="AP793" t="s">
        <v>79</v>
      </c>
    </row>
    <row r="794" spans="1:42">
      <c r="A794" t="s">
        <v>3713</v>
      </c>
      <c r="B794" s="3" t="s">
        <v>1282</v>
      </c>
      <c r="C794" s="3">
        <v>45812</v>
      </c>
      <c r="D794" t="s">
        <v>3714</v>
      </c>
      <c r="E794" s="3">
        <v>45816</v>
      </c>
      <c r="F794" t="s">
        <v>3715</v>
      </c>
      <c r="G794" t="s">
        <v>103</v>
      </c>
      <c r="H794" t="str">
        <f t="shared" si="180"/>
        <v>Arjun Bose</v>
      </c>
      <c r="I794" t="s">
        <v>85</v>
      </c>
      <c r="J794" t="str">
        <f t="shared" si="181"/>
        <v>Small Business</v>
      </c>
      <c r="K794" t="s">
        <v>7</v>
      </c>
      <c r="L794" t="str">
        <f t="shared" si="182"/>
        <v>East</v>
      </c>
      <c r="M794" t="s">
        <v>258</v>
      </c>
      <c r="N794" t="str">
        <f t="shared" si="183"/>
        <v>Assam</v>
      </c>
      <c r="O794" t="s">
        <v>259</v>
      </c>
      <c r="P794" t="str">
        <f t="shared" si="184"/>
        <v>Guwahati</v>
      </c>
      <c r="Q794" t="s">
        <v>19</v>
      </c>
      <c r="R794" t="str">
        <f t="shared" si="185"/>
        <v>Furniture</v>
      </c>
      <c r="S794" t="s">
        <v>106</v>
      </c>
      <c r="T794" t="str">
        <f t="shared" si="186"/>
        <v>Furnishings</v>
      </c>
      <c r="U794" t="s">
        <v>3716</v>
      </c>
      <c r="V794" t="str">
        <f t="shared" si="187"/>
        <v>Elite Furnishings 852</v>
      </c>
      <c r="W794" t="s">
        <v>76</v>
      </c>
      <c r="X794" t="str">
        <f t="shared" si="188"/>
        <v>Second Class</v>
      </c>
      <c r="Y794">
        <v>4</v>
      </c>
      <c r="Z794">
        <v>1</v>
      </c>
      <c r="AA794">
        <v>3501.12</v>
      </c>
      <c r="AB794">
        <v>0.2</v>
      </c>
      <c r="AC794">
        <f t="shared" si="189"/>
        <v>0.2</v>
      </c>
      <c r="AD794">
        <v>2800.9</v>
      </c>
      <c r="AE794">
        <f t="shared" si="190"/>
        <v>2800.896</v>
      </c>
      <c r="AF794">
        <v>1735.98</v>
      </c>
      <c r="AG794">
        <v>1064.92</v>
      </c>
      <c r="AH794">
        <f t="shared" si="191"/>
        <v>1064.916</v>
      </c>
      <c r="AI794">
        <f t="shared" si="192"/>
        <v>0.380205477104469</v>
      </c>
      <c r="AJ794" t="s">
        <v>77</v>
      </c>
      <c r="AK794" t="str">
        <f t="shared" si="193"/>
        <v>Paid</v>
      </c>
      <c r="AL794" t="s">
        <v>164</v>
      </c>
      <c r="AM794" t="str">
        <f t="shared" si="194"/>
        <v>Returned</v>
      </c>
      <c r="AN794">
        <v>6</v>
      </c>
      <c r="AO794">
        <v>2025</v>
      </c>
      <c r="AP794" t="s">
        <v>79</v>
      </c>
    </row>
    <row r="795" spans="1:42">
      <c r="A795" t="s">
        <v>3717</v>
      </c>
      <c r="B795" s="3" t="s">
        <v>121</v>
      </c>
      <c r="C795" s="3">
        <v>45440</v>
      </c>
      <c r="D795" t="s">
        <v>3718</v>
      </c>
      <c r="E795" s="3">
        <v>45446</v>
      </c>
      <c r="F795" t="s">
        <v>3719</v>
      </c>
      <c r="G795" t="s">
        <v>123</v>
      </c>
      <c r="H795" t="str">
        <f t="shared" si="180"/>
        <v>Vikram Iyer</v>
      </c>
      <c r="I795" t="s">
        <v>147</v>
      </c>
      <c r="J795" t="str">
        <f t="shared" si="181"/>
        <v>Corporate</v>
      </c>
      <c r="K795" t="s">
        <v>8</v>
      </c>
      <c r="L795" t="str">
        <f t="shared" si="182"/>
        <v>North</v>
      </c>
      <c r="M795" t="s">
        <v>72</v>
      </c>
      <c r="N795" t="str">
        <f t="shared" si="183"/>
        <v>Rajasthan</v>
      </c>
      <c r="O795" t="s">
        <v>73</v>
      </c>
      <c r="P795" t="str">
        <f t="shared" si="184"/>
        <v>Jaipur</v>
      </c>
      <c r="Q795" t="s">
        <v>24</v>
      </c>
      <c r="R795" t="str">
        <f t="shared" si="185"/>
        <v>Technology</v>
      </c>
      <c r="S795" t="s">
        <v>133</v>
      </c>
      <c r="T795" t="str">
        <f t="shared" si="186"/>
        <v>Copiers</v>
      </c>
      <c r="U795" t="s">
        <v>3720</v>
      </c>
      <c r="V795" t="str">
        <f t="shared" si="187"/>
        <v>Basic Copiers 238</v>
      </c>
      <c r="W795" t="s">
        <v>76</v>
      </c>
      <c r="X795" t="str">
        <f t="shared" si="188"/>
        <v>Second Class</v>
      </c>
      <c r="Y795">
        <v>6</v>
      </c>
      <c r="Z795">
        <v>5</v>
      </c>
      <c r="AA795">
        <v>4302.32</v>
      </c>
      <c r="AB795">
        <v>0</v>
      </c>
      <c r="AC795">
        <f t="shared" si="189"/>
        <v>0</v>
      </c>
      <c r="AD795">
        <v>21511.6</v>
      </c>
      <c r="AE795">
        <f t="shared" si="190"/>
        <v>21511.6</v>
      </c>
      <c r="AF795">
        <v>15408.47</v>
      </c>
      <c r="AG795">
        <v>6103.13</v>
      </c>
      <c r="AH795">
        <f t="shared" si="191"/>
        <v>6103.13</v>
      </c>
      <c r="AI795">
        <f t="shared" si="192"/>
        <v>0.283713438330947</v>
      </c>
      <c r="AJ795" t="s">
        <v>77</v>
      </c>
      <c r="AK795" t="str">
        <f t="shared" si="193"/>
        <v>Paid</v>
      </c>
      <c r="AL795" t="s">
        <v>78</v>
      </c>
      <c r="AM795" t="str">
        <f t="shared" si="194"/>
        <v>Completed</v>
      </c>
      <c r="AN795">
        <v>5</v>
      </c>
      <c r="AO795">
        <v>2024</v>
      </c>
      <c r="AP795" t="s">
        <v>79</v>
      </c>
    </row>
    <row r="796" spans="1:42">
      <c r="A796" t="s">
        <v>3721</v>
      </c>
      <c r="B796" s="3" t="s">
        <v>3722</v>
      </c>
      <c r="C796" s="3">
        <v>45830</v>
      </c>
      <c r="D796" t="s">
        <v>1046</v>
      </c>
      <c r="E796" s="3">
        <v>45832</v>
      </c>
      <c r="F796" t="s">
        <v>3723</v>
      </c>
      <c r="G796" t="s">
        <v>208</v>
      </c>
      <c r="H796" t="str">
        <f t="shared" si="180"/>
        <v>Sneha Kapoor</v>
      </c>
      <c r="I796" t="s">
        <v>147</v>
      </c>
      <c r="J796" t="str">
        <f t="shared" si="181"/>
        <v>Corporate</v>
      </c>
      <c r="K796" t="s">
        <v>7</v>
      </c>
      <c r="L796" t="str">
        <f t="shared" si="182"/>
        <v>East</v>
      </c>
      <c r="M796" t="s">
        <v>258</v>
      </c>
      <c r="N796" t="str">
        <f t="shared" si="183"/>
        <v>Assam</v>
      </c>
      <c r="O796" t="s">
        <v>259</v>
      </c>
      <c r="P796" t="str">
        <f t="shared" si="184"/>
        <v>Guwahati</v>
      </c>
      <c r="Q796" t="s">
        <v>22</v>
      </c>
      <c r="R796" t="str">
        <f t="shared" si="185"/>
        <v>Office Supplies</v>
      </c>
      <c r="S796" t="s">
        <v>74</v>
      </c>
      <c r="T796" t="str">
        <f t="shared" si="186"/>
        <v>Paper</v>
      </c>
      <c r="U796" t="s">
        <v>3724</v>
      </c>
      <c r="V796" t="str">
        <f t="shared" si="187"/>
        <v>Elite Paper 847</v>
      </c>
      <c r="W796" t="s">
        <v>108</v>
      </c>
      <c r="X796" t="str">
        <f t="shared" si="188"/>
        <v>Standard Class</v>
      </c>
      <c r="Y796">
        <v>2</v>
      </c>
      <c r="Z796">
        <v>9</v>
      </c>
      <c r="AA796">
        <v>951.55</v>
      </c>
      <c r="AB796">
        <v>0.15</v>
      </c>
      <c r="AC796">
        <f t="shared" si="189"/>
        <v>0.15</v>
      </c>
      <c r="AD796">
        <v>7279.36</v>
      </c>
      <c r="AE796">
        <f t="shared" si="190"/>
        <v>7279.3575</v>
      </c>
      <c r="AF796">
        <v>4870.39</v>
      </c>
      <c r="AG796">
        <v>2408.97</v>
      </c>
      <c r="AH796">
        <f t="shared" si="191"/>
        <v>2408.9675</v>
      </c>
      <c r="AI796">
        <f t="shared" si="192"/>
        <v>0.330931335629552</v>
      </c>
      <c r="AJ796" t="s">
        <v>77</v>
      </c>
      <c r="AK796" t="str">
        <f t="shared" si="193"/>
        <v>Paid</v>
      </c>
      <c r="AL796" t="s">
        <v>78</v>
      </c>
      <c r="AM796" t="str">
        <f t="shared" si="194"/>
        <v>Completed</v>
      </c>
      <c r="AN796">
        <v>6</v>
      </c>
      <c r="AO796">
        <v>2025</v>
      </c>
      <c r="AP796" t="s">
        <v>79</v>
      </c>
    </row>
    <row r="797" spans="1:42">
      <c r="A797" t="s">
        <v>3725</v>
      </c>
      <c r="B797" s="3" t="s">
        <v>3726</v>
      </c>
      <c r="C797" s="3">
        <v>45503</v>
      </c>
      <c r="D797" t="s">
        <v>575</v>
      </c>
      <c r="E797" s="3">
        <v>45503</v>
      </c>
      <c r="F797" t="s">
        <v>3727</v>
      </c>
      <c r="G797" t="s">
        <v>251</v>
      </c>
      <c r="H797" t="str">
        <f t="shared" si="180"/>
        <v>Diya Patel</v>
      </c>
      <c r="I797" t="s">
        <v>154</v>
      </c>
      <c r="J797" t="str">
        <f t="shared" si="181"/>
        <v>Home Office</v>
      </c>
      <c r="K797" t="s">
        <v>7</v>
      </c>
      <c r="L797" t="str">
        <f t="shared" si="182"/>
        <v>East</v>
      </c>
      <c r="M797" t="s">
        <v>86</v>
      </c>
      <c r="N797" t="str">
        <f t="shared" si="183"/>
        <v>Odisha</v>
      </c>
      <c r="O797" t="s">
        <v>87</v>
      </c>
      <c r="P797" t="str">
        <f t="shared" si="184"/>
        <v>Bhubaneswar</v>
      </c>
      <c r="Q797" t="s">
        <v>24</v>
      </c>
      <c r="R797" t="str">
        <f t="shared" si="185"/>
        <v>Technology</v>
      </c>
      <c r="S797" t="s">
        <v>133</v>
      </c>
      <c r="T797" t="str">
        <f t="shared" si="186"/>
        <v>Copiers</v>
      </c>
      <c r="U797" t="s">
        <v>3728</v>
      </c>
      <c r="V797" t="str">
        <f t="shared" si="187"/>
        <v>Pro Copiers 653</v>
      </c>
      <c r="W797" t="s">
        <v>90</v>
      </c>
      <c r="X797" t="str">
        <f t="shared" si="188"/>
        <v>Same Day</v>
      </c>
      <c r="Y797">
        <v>0</v>
      </c>
      <c r="Z797">
        <v>9</v>
      </c>
      <c r="AA797">
        <v>2894.66</v>
      </c>
      <c r="AB797">
        <v>0</v>
      </c>
      <c r="AC797">
        <f t="shared" si="189"/>
        <v>0</v>
      </c>
      <c r="AD797">
        <v>26051.94</v>
      </c>
      <c r="AE797">
        <f t="shared" si="190"/>
        <v>26051.94</v>
      </c>
      <c r="AF797">
        <v>16883.59</v>
      </c>
      <c r="AG797">
        <v>9168.35</v>
      </c>
      <c r="AH797">
        <f t="shared" si="191"/>
        <v>9168.35</v>
      </c>
      <c r="AI797">
        <f t="shared" si="192"/>
        <v>0.351925806676969</v>
      </c>
      <c r="AJ797" t="s">
        <v>163</v>
      </c>
      <c r="AK797" t="str">
        <f t="shared" si="193"/>
        <v>Refunded</v>
      </c>
      <c r="AL797" t="s">
        <v>118</v>
      </c>
      <c r="AM797" t="str">
        <f t="shared" si="194"/>
        <v>Cancelled</v>
      </c>
      <c r="AN797">
        <v>7</v>
      </c>
      <c r="AO797">
        <v>2024</v>
      </c>
      <c r="AP797" t="s">
        <v>79</v>
      </c>
    </row>
    <row r="798" spans="1:42">
      <c r="A798" t="s">
        <v>3729</v>
      </c>
      <c r="B798" s="3" t="s">
        <v>846</v>
      </c>
      <c r="C798" s="3">
        <v>45374</v>
      </c>
      <c r="D798" t="s">
        <v>3730</v>
      </c>
      <c r="E798" s="3">
        <v>45381</v>
      </c>
      <c r="F798" t="s">
        <v>3731</v>
      </c>
      <c r="G798" t="s">
        <v>220</v>
      </c>
      <c r="H798" t="str">
        <f t="shared" si="180"/>
        <v>Rohan Mehta</v>
      </c>
      <c r="I798" t="s">
        <v>85</v>
      </c>
      <c r="J798" t="str">
        <f t="shared" si="181"/>
        <v>Small Business</v>
      </c>
      <c r="K798" t="s">
        <v>10</v>
      </c>
      <c r="L798" t="str">
        <f t="shared" si="182"/>
        <v>South</v>
      </c>
      <c r="M798" t="s">
        <v>139</v>
      </c>
      <c r="N798" t="str">
        <f t="shared" si="183"/>
        <v>Andhra Pradesh</v>
      </c>
      <c r="O798" t="s">
        <v>140</v>
      </c>
      <c r="P798" t="str">
        <f t="shared" si="184"/>
        <v>Vijayawada</v>
      </c>
      <c r="Q798" t="s">
        <v>24</v>
      </c>
      <c r="R798" t="str">
        <f t="shared" si="185"/>
        <v>Technology</v>
      </c>
      <c r="S798" t="s">
        <v>427</v>
      </c>
      <c r="T798" t="str">
        <f t="shared" si="186"/>
        <v>Machines</v>
      </c>
      <c r="U798" t="s">
        <v>3732</v>
      </c>
      <c r="V798" t="str">
        <f t="shared" si="187"/>
        <v>Elite Machines 459</v>
      </c>
      <c r="W798" t="s">
        <v>98</v>
      </c>
      <c r="X798" t="str">
        <f t="shared" si="188"/>
        <v>First Class</v>
      </c>
      <c r="Y798">
        <v>7</v>
      </c>
      <c r="Z798">
        <v>6</v>
      </c>
      <c r="AA798">
        <v>1894.44</v>
      </c>
      <c r="AB798">
        <v>0.15</v>
      </c>
      <c r="AC798">
        <f t="shared" si="189"/>
        <v>0.15</v>
      </c>
      <c r="AD798">
        <v>9661.64</v>
      </c>
      <c r="AE798">
        <f t="shared" si="190"/>
        <v>9661.644</v>
      </c>
      <c r="AF798">
        <v>6303.77</v>
      </c>
      <c r="AG798">
        <v>3357.87</v>
      </c>
      <c r="AH798">
        <f t="shared" si="191"/>
        <v>3357.874</v>
      </c>
      <c r="AI798">
        <f t="shared" si="192"/>
        <v>0.347546856414912</v>
      </c>
      <c r="AJ798" t="s">
        <v>77</v>
      </c>
      <c r="AK798" t="str">
        <f t="shared" si="193"/>
        <v>Paid</v>
      </c>
      <c r="AL798" t="s">
        <v>78</v>
      </c>
      <c r="AM798" t="str">
        <f t="shared" si="194"/>
        <v>Completed</v>
      </c>
      <c r="AN798">
        <v>3</v>
      </c>
      <c r="AO798">
        <v>2024</v>
      </c>
      <c r="AP798" t="s">
        <v>79</v>
      </c>
    </row>
    <row r="799" spans="1:42">
      <c r="A799" t="s">
        <v>3733</v>
      </c>
      <c r="B799" s="3" t="s">
        <v>3734</v>
      </c>
      <c r="C799" s="3">
        <v>45400</v>
      </c>
      <c r="D799" t="s">
        <v>3645</v>
      </c>
      <c r="E799" s="3">
        <v>45404</v>
      </c>
      <c r="F799" t="s">
        <v>3735</v>
      </c>
      <c r="G799" t="s">
        <v>202</v>
      </c>
      <c r="H799" t="str">
        <f t="shared" si="180"/>
        <v>Aarav Sharma</v>
      </c>
      <c r="I799" t="s">
        <v>71</v>
      </c>
      <c r="J799" t="str">
        <f t="shared" si="181"/>
        <v>Consumer</v>
      </c>
      <c r="K799" t="s">
        <v>7</v>
      </c>
      <c r="L799" t="str">
        <f t="shared" si="182"/>
        <v>East</v>
      </c>
      <c r="M799" t="s">
        <v>86</v>
      </c>
      <c r="N799" t="str">
        <f t="shared" si="183"/>
        <v>Odisha</v>
      </c>
      <c r="O799" t="s">
        <v>87</v>
      </c>
      <c r="P799" t="str">
        <f t="shared" si="184"/>
        <v>Bhubaneswar</v>
      </c>
      <c r="Q799" t="s">
        <v>22</v>
      </c>
      <c r="R799" t="str">
        <f t="shared" si="185"/>
        <v>Office Supplies</v>
      </c>
      <c r="S799" t="s">
        <v>239</v>
      </c>
      <c r="T799" t="str">
        <f t="shared" si="186"/>
        <v>Binders</v>
      </c>
      <c r="U799" t="s">
        <v>3736</v>
      </c>
      <c r="V799" t="str">
        <f t="shared" si="187"/>
        <v>Elite Binders 764</v>
      </c>
      <c r="W799" t="s">
        <v>98</v>
      </c>
      <c r="X799" t="str">
        <f t="shared" si="188"/>
        <v>First Class</v>
      </c>
      <c r="Y799">
        <v>4</v>
      </c>
      <c r="Z799">
        <v>8</v>
      </c>
      <c r="AA799">
        <v>1714.37</v>
      </c>
      <c r="AB799">
        <v>0</v>
      </c>
      <c r="AC799">
        <f t="shared" si="189"/>
        <v>0</v>
      </c>
      <c r="AD799">
        <v>13714.96</v>
      </c>
      <c r="AE799">
        <f t="shared" si="190"/>
        <v>13714.96</v>
      </c>
      <c r="AF799">
        <v>10550.47</v>
      </c>
      <c r="AG799">
        <v>3164.49</v>
      </c>
      <c r="AH799">
        <f t="shared" si="191"/>
        <v>3164.49</v>
      </c>
      <c r="AI799">
        <f t="shared" si="192"/>
        <v>0.230732718141358</v>
      </c>
      <c r="AJ799" t="s">
        <v>241</v>
      </c>
      <c r="AK799" t="str">
        <f t="shared" si="193"/>
        <v>Failed</v>
      </c>
      <c r="AL799" t="s">
        <v>118</v>
      </c>
      <c r="AM799" t="str">
        <f t="shared" si="194"/>
        <v>Cancelled</v>
      </c>
      <c r="AN799">
        <v>4</v>
      </c>
      <c r="AO799">
        <v>2024</v>
      </c>
      <c r="AP799" t="s">
        <v>79</v>
      </c>
    </row>
    <row r="800" spans="1:42">
      <c r="A800" t="s">
        <v>3737</v>
      </c>
      <c r="B800" s="3" t="s">
        <v>3738</v>
      </c>
      <c r="C800" s="3">
        <v>45849</v>
      </c>
      <c r="D800" t="s">
        <v>3739</v>
      </c>
      <c r="E800" s="3">
        <v>45847</v>
      </c>
      <c r="F800" t="s">
        <v>3740</v>
      </c>
      <c r="G800" t="s">
        <v>146</v>
      </c>
      <c r="H800" t="str">
        <f t="shared" si="180"/>
        <v>Aditi Sen</v>
      </c>
      <c r="I800" t="s">
        <v>147</v>
      </c>
      <c r="J800" t="str">
        <f t="shared" si="181"/>
        <v>Corporate</v>
      </c>
      <c r="K800" t="s">
        <v>8</v>
      </c>
      <c r="L800" t="str">
        <f t="shared" si="182"/>
        <v>North</v>
      </c>
      <c r="M800" t="s">
        <v>552</v>
      </c>
      <c r="N800" t="str">
        <f t="shared" si="183"/>
        <v>Delhi</v>
      </c>
      <c r="O800" t="s">
        <v>553</v>
      </c>
      <c r="P800" t="str">
        <f t="shared" si="184"/>
        <v>New Delhi</v>
      </c>
      <c r="Q800" t="s">
        <v>19</v>
      </c>
      <c r="R800" t="str">
        <f t="shared" si="185"/>
        <v>Furniture</v>
      </c>
      <c r="S800" t="s">
        <v>106</v>
      </c>
      <c r="T800" t="str">
        <f t="shared" si="186"/>
        <v>Furnishings</v>
      </c>
      <c r="U800" t="s">
        <v>3741</v>
      </c>
      <c r="V800" t="str">
        <f t="shared" si="187"/>
        <v>Classic Furnishings 348</v>
      </c>
      <c r="W800" t="s">
        <v>108</v>
      </c>
      <c r="X800" t="str">
        <f t="shared" si="188"/>
        <v>Standard Class</v>
      </c>
      <c r="Y800">
        <v>-2</v>
      </c>
      <c r="Z800">
        <v>9</v>
      </c>
      <c r="AA800">
        <v>1706.05</v>
      </c>
      <c r="AB800">
        <v>0</v>
      </c>
      <c r="AC800">
        <f t="shared" si="189"/>
        <v>0</v>
      </c>
      <c r="AD800">
        <v>15354.45</v>
      </c>
      <c r="AE800">
        <f t="shared" si="190"/>
        <v>15354.45</v>
      </c>
      <c r="AF800">
        <v>9656.5</v>
      </c>
      <c r="AG800">
        <v>5697.95</v>
      </c>
      <c r="AH800">
        <f t="shared" si="191"/>
        <v>5697.95</v>
      </c>
      <c r="AI800">
        <f t="shared" si="192"/>
        <v>0.371094373292433</v>
      </c>
      <c r="AJ800" t="s">
        <v>77</v>
      </c>
      <c r="AK800" t="str">
        <f t="shared" si="193"/>
        <v>Paid</v>
      </c>
      <c r="AL800" t="s">
        <v>78</v>
      </c>
      <c r="AM800" t="str">
        <f t="shared" si="194"/>
        <v>Completed</v>
      </c>
      <c r="AN800">
        <v>7</v>
      </c>
      <c r="AO800">
        <v>2025</v>
      </c>
      <c r="AP800" t="s">
        <v>253</v>
      </c>
    </row>
    <row r="801" spans="1:42">
      <c r="A801" t="s">
        <v>3742</v>
      </c>
      <c r="B801" s="3" t="s">
        <v>3427</v>
      </c>
      <c r="C801" s="3">
        <v>45575</v>
      </c>
      <c r="D801" t="s">
        <v>2600</v>
      </c>
      <c r="E801" s="3">
        <v>45582</v>
      </c>
      <c r="F801" t="s">
        <v>3743</v>
      </c>
      <c r="G801" t="s">
        <v>95</v>
      </c>
      <c r="H801" t="str">
        <f t="shared" si="180"/>
        <v>Isha Nair</v>
      </c>
      <c r="I801" t="s">
        <v>154</v>
      </c>
      <c r="J801" t="str">
        <f t="shared" si="181"/>
        <v>Home Office</v>
      </c>
      <c r="K801" t="s">
        <v>8</v>
      </c>
      <c r="L801" t="str">
        <f t="shared" si="182"/>
        <v>North</v>
      </c>
      <c r="M801" t="s">
        <v>366</v>
      </c>
      <c r="N801" t="str">
        <f t="shared" si="183"/>
        <v>Haryana</v>
      </c>
      <c r="O801" t="s">
        <v>367</v>
      </c>
      <c r="P801" t="str">
        <f t="shared" si="184"/>
        <v>Gurugram</v>
      </c>
      <c r="Q801" t="s">
        <v>24</v>
      </c>
      <c r="R801" t="str">
        <f t="shared" si="185"/>
        <v>Technology</v>
      </c>
      <c r="S801" t="s">
        <v>126</v>
      </c>
      <c r="T801" t="str">
        <f t="shared" si="186"/>
        <v>Accessories</v>
      </c>
      <c r="U801" t="s">
        <v>3744</v>
      </c>
      <c r="V801" t="str">
        <f t="shared" si="187"/>
        <v>Smart Accessories 487</v>
      </c>
      <c r="X801" t="str">
        <f t="shared" si="188"/>
        <v/>
      </c>
      <c r="Y801">
        <v>7</v>
      </c>
      <c r="Z801">
        <v>5</v>
      </c>
      <c r="AA801">
        <v>967.41</v>
      </c>
      <c r="AB801">
        <v>0.05</v>
      </c>
      <c r="AC801">
        <f t="shared" si="189"/>
        <v>0.05</v>
      </c>
      <c r="AD801">
        <v>4595.2</v>
      </c>
      <c r="AE801">
        <f t="shared" si="190"/>
        <v>4595.1975</v>
      </c>
      <c r="AF801">
        <v>3887.41</v>
      </c>
      <c r="AG801">
        <v>707.79</v>
      </c>
      <c r="AH801">
        <f t="shared" si="191"/>
        <v>707.7875</v>
      </c>
      <c r="AI801">
        <f t="shared" si="192"/>
        <v>0.154027656047428</v>
      </c>
      <c r="AJ801" t="s">
        <v>77</v>
      </c>
      <c r="AK801" t="str">
        <f t="shared" si="193"/>
        <v>Paid</v>
      </c>
      <c r="AL801" t="s">
        <v>164</v>
      </c>
      <c r="AM801" t="str">
        <f t="shared" si="194"/>
        <v>Returned</v>
      </c>
      <c r="AN801">
        <v>10</v>
      </c>
      <c r="AO801">
        <v>2024</v>
      </c>
      <c r="AP801" t="s">
        <v>79</v>
      </c>
    </row>
    <row r="802" spans="1:42">
      <c r="A802" t="s">
        <v>3745</v>
      </c>
      <c r="B802" s="3" t="s">
        <v>3746</v>
      </c>
      <c r="C802" s="3">
        <v>45352</v>
      </c>
      <c r="D802" t="s">
        <v>3747</v>
      </c>
      <c r="E802" s="3">
        <v>45358</v>
      </c>
      <c r="F802" t="s">
        <v>3748</v>
      </c>
      <c r="G802" t="s">
        <v>123</v>
      </c>
      <c r="H802" t="str">
        <f t="shared" si="180"/>
        <v>Vikram Iyer</v>
      </c>
      <c r="I802" t="s">
        <v>85</v>
      </c>
      <c r="J802" t="str">
        <f t="shared" si="181"/>
        <v>Small Business</v>
      </c>
      <c r="K802" t="s">
        <v>11</v>
      </c>
      <c r="L802" t="str">
        <f t="shared" si="182"/>
        <v>West</v>
      </c>
      <c r="M802" t="s">
        <v>114</v>
      </c>
      <c r="N802" t="str">
        <f t="shared" si="183"/>
        <v>Maharashtra</v>
      </c>
      <c r="O802" t="s">
        <v>115</v>
      </c>
      <c r="P802" t="str">
        <f t="shared" si="184"/>
        <v>Mumbai</v>
      </c>
      <c r="Q802" t="s">
        <v>22</v>
      </c>
      <c r="R802" t="str">
        <f t="shared" si="185"/>
        <v>Office Supplies</v>
      </c>
      <c r="S802" t="s">
        <v>196</v>
      </c>
      <c r="T802" t="str">
        <f t="shared" si="186"/>
        <v>Storage</v>
      </c>
      <c r="U802" t="s">
        <v>3749</v>
      </c>
      <c r="V802" t="str">
        <f t="shared" si="187"/>
        <v>Elite Storage 825</v>
      </c>
      <c r="W802" t="s">
        <v>76</v>
      </c>
      <c r="X802" t="str">
        <f t="shared" si="188"/>
        <v>Second Class</v>
      </c>
      <c r="Y802">
        <v>6</v>
      </c>
      <c r="Z802">
        <v>6</v>
      </c>
      <c r="AA802">
        <v>4163.72</v>
      </c>
      <c r="AB802">
        <v>0.15</v>
      </c>
      <c r="AC802">
        <f t="shared" si="189"/>
        <v>0.15</v>
      </c>
      <c r="AD802">
        <v>21234.97</v>
      </c>
      <c r="AE802">
        <f t="shared" si="190"/>
        <v>21234.972</v>
      </c>
      <c r="AF802">
        <v>16736.09</v>
      </c>
      <c r="AG802">
        <v>4498.88</v>
      </c>
      <c r="AH802">
        <f t="shared" si="191"/>
        <v>4498.882</v>
      </c>
      <c r="AI802">
        <f t="shared" si="192"/>
        <v>0.2118619228695</v>
      </c>
      <c r="AJ802" t="s">
        <v>77</v>
      </c>
      <c r="AK802" t="str">
        <f t="shared" si="193"/>
        <v>Paid</v>
      </c>
      <c r="AL802" t="s">
        <v>78</v>
      </c>
      <c r="AM802" t="str">
        <f t="shared" si="194"/>
        <v>Completed</v>
      </c>
      <c r="AN802">
        <v>3</v>
      </c>
      <c r="AO802">
        <v>2024</v>
      </c>
      <c r="AP802" t="s">
        <v>79</v>
      </c>
    </row>
    <row r="803" spans="1:42">
      <c r="A803" t="s">
        <v>3750</v>
      </c>
      <c r="B803" s="3" t="s">
        <v>3751</v>
      </c>
      <c r="C803" s="3">
        <v>45938</v>
      </c>
      <c r="D803" t="s">
        <v>352</v>
      </c>
      <c r="E803" s="3">
        <v>45945</v>
      </c>
      <c r="F803" t="s">
        <v>3752</v>
      </c>
      <c r="G803" t="s">
        <v>202</v>
      </c>
      <c r="H803" t="str">
        <f t="shared" si="180"/>
        <v>Aarav Sharma</v>
      </c>
      <c r="I803" t="s">
        <v>154</v>
      </c>
      <c r="J803" t="str">
        <f t="shared" si="181"/>
        <v>Home Office</v>
      </c>
      <c r="K803" t="s">
        <v>7</v>
      </c>
      <c r="L803" t="str">
        <f t="shared" si="182"/>
        <v>East</v>
      </c>
      <c r="M803" t="s">
        <v>86</v>
      </c>
      <c r="N803" t="str">
        <f t="shared" si="183"/>
        <v>Odisha</v>
      </c>
      <c r="O803" t="s">
        <v>87</v>
      </c>
      <c r="P803" t="str">
        <f t="shared" si="184"/>
        <v>Bhubaneswar</v>
      </c>
      <c r="Q803" t="s">
        <v>24</v>
      </c>
      <c r="R803" t="str">
        <f t="shared" si="185"/>
        <v>Technology</v>
      </c>
      <c r="S803" t="s">
        <v>126</v>
      </c>
      <c r="T803" t="str">
        <f t="shared" si="186"/>
        <v>Accessories</v>
      </c>
      <c r="U803" t="s">
        <v>3753</v>
      </c>
      <c r="V803" t="str">
        <f t="shared" si="187"/>
        <v>Pro Accessories 500</v>
      </c>
      <c r="W803" t="s">
        <v>76</v>
      </c>
      <c r="X803" t="str">
        <f t="shared" si="188"/>
        <v>Second Class</v>
      </c>
      <c r="Y803">
        <v>7</v>
      </c>
      <c r="Z803">
        <v>3</v>
      </c>
      <c r="AA803">
        <v>3372.21</v>
      </c>
      <c r="AB803">
        <v>0.2</v>
      </c>
      <c r="AC803">
        <f t="shared" si="189"/>
        <v>0.2</v>
      </c>
      <c r="AD803">
        <v>8093.3</v>
      </c>
      <c r="AE803">
        <f t="shared" si="190"/>
        <v>8093.304</v>
      </c>
      <c r="AF803">
        <v>6052.43</v>
      </c>
      <c r="AG803">
        <v>2040.87</v>
      </c>
      <c r="AH803">
        <f t="shared" si="191"/>
        <v>2040.874</v>
      </c>
      <c r="AI803">
        <f t="shared" si="192"/>
        <v>0.25216821214179</v>
      </c>
      <c r="AJ803" t="s">
        <v>177</v>
      </c>
      <c r="AK803" t="str">
        <f t="shared" si="193"/>
        <v>Pending</v>
      </c>
      <c r="AL803" t="s">
        <v>118</v>
      </c>
      <c r="AM803" t="str">
        <f t="shared" si="194"/>
        <v>Cancelled</v>
      </c>
      <c r="AN803">
        <v>10</v>
      </c>
      <c r="AO803">
        <v>2025</v>
      </c>
      <c r="AP803" t="s">
        <v>79</v>
      </c>
    </row>
    <row r="804" spans="1:42">
      <c r="A804" t="s">
        <v>3754</v>
      </c>
      <c r="B804" s="3" t="s">
        <v>3232</v>
      </c>
      <c r="C804" s="3">
        <v>45704</v>
      </c>
      <c r="D804" t="s">
        <v>3755</v>
      </c>
      <c r="E804" s="3">
        <v>45704</v>
      </c>
      <c r="F804" t="s">
        <v>3756</v>
      </c>
      <c r="G804" t="s">
        <v>220</v>
      </c>
      <c r="H804" t="str">
        <f t="shared" si="180"/>
        <v>Rohan Mehta</v>
      </c>
      <c r="I804" t="s">
        <v>85</v>
      </c>
      <c r="J804" t="str">
        <f t="shared" si="181"/>
        <v>Small Business</v>
      </c>
      <c r="K804" t="s">
        <v>7</v>
      </c>
      <c r="L804" t="str">
        <f t="shared" si="182"/>
        <v>East</v>
      </c>
      <c r="M804" t="s">
        <v>258</v>
      </c>
      <c r="N804" t="str">
        <f t="shared" si="183"/>
        <v>Assam</v>
      </c>
      <c r="O804" t="s">
        <v>259</v>
      </c>
      <c r="P804" t="str">
        <f t="shared" si="184"/>
        <v>Guwahati</v>
      </c>
      <c r="Q804" t="s">
        <v>19</v>
      </c>
      <c r="R804" t="str">
        <f t="shared" si="185"/>
        <v>Furniture</v>
      </c>
      <c r="S804" t="s">
        <v>106</v>
      </c>
      <c r="T804" t="str">
        <f t="shared" si="186"/>
        <v>Furnishings</v>
      </c>
      <c r="U804" t="s">
        <v>3757</v>
      </c>
      <c r="V804" t="str">
        <f t="shared" si="187"/>
        <v>Pro Furnishings 909</v>
      </c>
      <c r="W804" t="s">
        <v>76</v>
      </c>
      <c r="X804" t="str">
        <f t="shared" si="188"/>
        <v>Second Class</v>
      </c>
      <c r="Y804">
        <v>0</v>
      </c>
      <c r="Z804">
        <v>6</v>
      </c>
      <c r="AA804">
        <v>1441.91</v>
      </c>
      <c r="AB804">
        <v>0</v>
      </c>
      <c r="AC804">
        <f t="shared" si="189"/>
        <v>0</v>
      </c>
      <c r="AD804">
        <v>8651.46</v>
      </c>
      <c r="AE804">
        <f t="shared" si="190"/>
        <v>8651.46</v>
      </c>
      <c r="AF804">
        <v>5254.62</v>
      </c>
      <c r="AG804">
        <v>3396.84</v>
      </c>
      <c r="AH804">
        <f t="shared" si="191"/>
        <v>3396.84</v>
      </c>
      <c r="AI804">
        <f t="shared" si="192"/>
        <v>0.392631995062105</v>
      </c>
      <c r="AJ804" t="s">
        <v>3758</v>
      </c>
      <c r="AK804" t="str">
        <f t="shared" si="193"/>
        <v>Failed</v>
      </c>
      <c r="AL804" t="s">
        <v>164</v>
      </c>
      <c r="AM804" t="str">
        <f t="shared" si="194"/>
        <v>Returned</v>
      </c>
      <c r="AN804">
        <v>2</v>
      </c>
      <c r="AO804">
        <v>2025</v>
      </c>
      <c r="AP804" t="s">
        <v>79</v>
      </c>
    </row>
    <row r="805" spans="1:42">
      <c r="A805" t="s">
        <v>3759</v>
      </c>
      <c r="B805" s="3" t="s">
        <v>3760</v>
      </c>
      <c r="C805" s="3">
        <v>45635</v>
      </c>
      <c r="D805" t="s">
        <v>783</v>
      </c>
      <c r="E805" s="3">
        <v>45639</v>
      </c>
      <c r="F805" t="s">
        <v>3761</v>
      </c>
      <c r="G805" t="s">
        <v>220</v>
      </c>
      <c r="H805" t="str">
        <f t="shared" si="180"/>
        <v>Rohan Mehta</v>
      </c>
      <c r="I805" t="s">
        <v>71</v>
      </c>
      <c r="J805" t="str">
        <f t="shared" si="181"/>
        <v>Consumer</v>
      </c>
      <c r="L805" t="str">
        <f t="shared" si="182"/>
        <v/>
      </c>
      <c r="M805" t="s">
        <v>354</v>
      </c>
      <c r="N805" t="str">
        <f t="shared" si="183"/>
        <v>Jharkhand</v>
      </c>
      <c r="O805" t="s">
        <v>355</v>
      </c>
      <c r="P805" t="str">
        <f t="shared" si="184"/>
        <v>Ranchi</v>
      </c>
      <c r="Q805" t="s">
        <v>22</v>
      </c>
      <c r="R805" t="str">
        <f t="shared" si="185"/>
        <v>Office Supplies</v>
      </c>
      <c r="S805" t="s">
        <v>148</v>
      </c>
      <c r="T805" t="str">
        <f t="shared" si="186"/>
        <v>Labels</v>
      </c>
      <c r="U805" t="s">
        <v>3762</v>
      </c>
      <c r="V805" t="str">
        <f t="shared" si="187"/>
        <v>Basic Labels 359</v>
      </c>
      <c r="W805" t="s">
        <v>98</v>
      </c>
      <c r="X805" t="str">
        <f t="shared" si="188"/>
        <v>First Class</v>
      </c>
      <c r="Y805">
        <v>4</v>
      </c>
      <c r="Z805">
        <v>1</v>
      </c>
      <c r="AA805">
        <v>4306.65</v>
      </c>
      <c r="AB805">
        <v>0</v>
      </c>
      <c r="AC805">
        <f t="shared" si="189"/>
        <v>0</v>
      </c>
      <c r="AD805">
        <v>4306.65</v>
      </c>
      <c r="AE805">
        <f t="shared" si="190"/>
        <v>4306.65</v>
      </c>
      <c r="AF805">
        <v>2568.82</v>
      </c>
      <c r="AG805">
        <v>1737.83</v>
      </c>
      <c r="AH805">
        <f t="shared" si="191"/>
        <v>1737.83</v>
      </c>
      <c r="AI805">
        <f t="shared" si="192"/>
        <v>0.403522459452242</v>
      </c>
      <c r="AJ805" t="s">
        <v>77</v>
      </c>
      <c r="AK805" t="str">
        <f t="shared" si="193"/>
        <v>Paid</v>
      </c>
      <c r="AL805" t="s">
        <v>78</v>
      </c>
      <c r="AM805" t="str">
        <f t="shared" si="194"/>
        <v>Completed</v>
      </c>
      <c r="AN805">
        <v>12</v>
      </c>
      <c r="AO805">
        <v>2024</v>
      </c>
      <c r="AP805" t="s">
        <v>79</v>
      </c>
    </row>
    <row r="806" spans="1:42">
      <c r="A806" t="s">
        <v>3763</v>
      </c>
      <c r="B806" s="3" t="s">
        <v>1039</v>
      </c>
      <c r="C806" s="3">
        <v>45910</v>
      </c>
      <c r="D806" t="s">
        <v>2252</v>
      </c>
      <c r="E806" s="3">
        <v>45918</v>
      </c>
      <c r="F806" t="s">
        <v>3764</v>
      </c>
      <c r="G806" t="s">
        <v>188</v>
      </c>
      <c r="H806" t="str">
        <f t="shared" si="180"/>
        <v>Rahul Verma</v>
      </c>
      <c r="I806" t="s">
        <v>154</v>
      </c>
      <c r="J806" t="str">
        <f t="shared" si="181"/>
        <v>Home Office</v>
      </c>
      <c r="K806" t="s">
        <v>10</v>
      </c>
      <c r="L806" t="str">
        <f t="shared" si="182"/>
        <v>South</v>
      </c>
      <c r="M806" t="s">
        <v>104</v>
      </c>
      <c r="N806" t="str">
        <f t="shared" si="183"/>
        <v>Telangana</v>
      </c>
      <c r="O806" t="s">
        <v>105</v>
      </c>
      <c r="P806" t="str">
        <f t="shared" si="184"/>
        <v>Hyderabad</v>
      </c>
      <c r="Q806" t="s">
        <v>19</v>
      </c>
      <c r="R806" t="str">
        <f t="shared" si="185"/>
        <v>Furniture</v>
      </c>
      <c r="S806" t="s">
        <v>106</v>
      </c>
      <c r="T806" t="str">
        <f t="shared" si="186"/>
        <v>Furnishings</v>
      </c>
      <c r="U806" t="s">
        <v>3765</v>
      </c>
      <c r="V806" t="str">
        <f t="shared" si="187"/>
        <v>Eco Furnishings 541</v>
      </c>
      <c r="W806" t="s">
        <v>108</v>
      </c>
      <c r="X806" t="str">
        <f t="shared" si="188"/>
        <v>Standard Class</v>
      </c>
      <c r="Y806">
        <v>8</v>
      </c>
      <c r="Z806">
        <v>1</v>
      </c>
      <c r="AA806">
        <v>2050.62</v>
      </c>
      <c r="AB806">
        <v>0.05</v>
      </c>
      <c r="AC806">
        <f t="shared" si="189"/>
        <v>0.05</v>
      </c>
      <c r="AD806">
        <v>1948.09</v>
      </c>
      <c r="AE806">
        <f t="shared" si="190"/>
        <v>1948.089</v>
      </c>
      <c r="AF806">
        <v>1507.08</v>
      </c>
      <c r="AG806">
        <v>441.01</v>
      </c>
      <c r="AH806">
        <f t="shared" si="191"/>
        <v>441.009</v>
      </c>
      <c r="AI806">
        <f t="shared" si="192"/>
        <v>0.226380314246423</v>
      </c>
      <c r="AJ806" t="s">
        <v>77</v>
      </c>
      <c r="AK806" t="str">
        <f t="shared" si="193"/>
        <v>Paid</v>
      </c>
      <c r="AL806" t="s">
        <v>78</v>
      </c>
      <c r="AM806" t="str">
        <f t="shared" si="194"/>
        <v>Completed</v>
      </c>
      <c r="AN806">
        <v>9</v>
      </c>
      <c r="AO806">
        <v>2025</v>
      </c>
      <c r="AP806" t="s">
        <v>79</v>
      </c>
    </row>
    <row r="807" spans="1:42">
      <c r="A807" t="s">
        <v>3766</v>
      </c>
      <c r="B807" s="3" t="s">
        <v>1368</v>
      </c>
      <c r="C807" s="3">
        <v>45753</v>
      </c>
      <c r="D807" t="s">
        <v>1114</v>
      </c>
      <c r="E807" s="3">
        <v>45754</v>
      </c>
      <c r="F807" t="s">
        <v>3582</v>
      </c>
      <c r="G807" t="s">
        <v>182</v>
      </c>
      <c r="H807" t="str">
        <f t="shared" si="180"/>
        <v>Priya Menon</v>
      </c>
      <c r="I807" t="s">
        <v>154</v>
      </c>
      <c r="J807" t="str">
        <f t="shared" si="181"/>
        <v>Home Office</v>
      </c>
      <c r="K807" t="s">
        <v>7</v>
      </c>
      <c r="L807" t="str">
        <f t="shared" si="182"/>
        <v>East</v>
      </c>
      <c r="M807" t="s">
        <v>258</v>
      </c>
      <c r="N807" t="str">
        <f t="shared" si="183"/>
        <v>Assam</v>
      </c>
      <c r="O807" t="s">
        <v>259</v>
      </c>
      <c r="P807" t="str">
        <f t="shared" si="184"/>
        <v>Guwahati</v>
      </c>
      <c r="Q807" t="s">
        <v>22</v>
      </c>
      <c r="R807" t="str">
        <f t="shared" si="185"/>
        <v>Office Supplies</v>
      </c>
      <c r="S807" t="s">
        <v>239</v>
      </c>
      <c r="T807" t="str">
        <f t="shared" si="186"/>
        <v>Binders</v>
      </c>
      <c r="U807" t="s">
        <v>3767</v>
      </c>
      <c r="V807" t="str">
        <f t="shared" si="187"/>
        <v>Classic Binders 103</v>
      </c>
      <c r="W807" t="s">
        <v>76</v>
      </c>
      <c r="X807" t="str">
        <f t="shared" si="188"/>
        <v>Second Class</v>
      </c>
      <c r="Y807">
        <v>1</v>
      </c>
      <c r="Z807">
        <v>2</v>
      </c>
      <c r="AA807">
        <v>2030.06</v>
      </c>
      <c r="AB807">
        <v>0.25</v>
      </c>
      <c r="AC807">
        <f t="shared" si="189"/>
        <v>0.25</v>
      </c>
      <c r="AD807">
        <v>3045.09</v>
      </c>
      <c r="AE807">
        <f t="shared" si="190"/>
        <v>3045.09</v>
      </c>
      <c r="AF807">
        <v>2601.09</v>
      </c>
      <c r="AG807">
        <v>444</v>
      </c>
      <c r="AH807">
        <f t="shared" si="191"/>
        <v>444</v>
      </c>
      <c r="AI807">
        <f t="shared" si="192"/>
        <v>0.145808498270987</v>
      </c>
      <c r="AJ807" t="s">
        <v>77</v>
      </c>
      <c r="AK807" t="str">
        <f t="shared" si="193"/>
        <v>Paid</v>
      </c>
      <c r="AL807" t="s">
        <v>78</v>
      </c>
      <c r="AM807" t="str">
        <f t="shared" si="194"/>
        <v>Completed</v>
      </c>
      <c r="AN807">
        <v>4</v>
      </c>
      <c r="AO807">
        <v>2025</v>
      </c>
      <c r="AP807" t="s">
        <v>79</v>
      </c>
    </row>
    <row r="808" spans="1:42">
      <c r="A808" t="s">
        <v>3768</v>
      </c>
      <c r="B808" s="3" t="s">
        <v>3769</v>
      </c>
      <c r="C808" s="3">
        <v>45605</v>
      </c>
      <c r="D808" t="s">
        <v>3770</v>
      </c>
      <c r="E808" s="3">
        <v>45611</v>
      </c>
      <c r="F808" t="s">
        <v>3771</v>
      </c>
      <c r="G808" t="s">
        <v>95</v>
      </c>
      <c r="H808" t="str">
        <f t="shared" si="180"/>
        <v>Isha Nair</v>
      </c>
      <c r="I808" t="s">
        <v>154</v>
      </c>
      <c r="J808" t="str">
        <f t="shared" si="181"/>
        <v>Home Office</v>
      </c>
      <c r="K808" t="s">
        <v>8</v>
      </c>
      <c r="L808" t="str">
        <f t="shared" si="182"/>
        <v>North</v>
      </c>
      <c r="M808" t="s">
        <v>72</v>
      </c>
      <c r="N808" t="str">
        <f t="shared" si="183"/>
        <v>Rajasthan</v>
      </c>
      <c r="O808" t="s">
        <v>73</v>
      </c>
      <c r="P808" t="str">
        <f t="shared" si="184"/>
        <v>Jaipur</v>
      </c>
      <c r="Q808" t="s">
        <v>24</v>
      </c>
      <c r="R808" t="str">
        <f t="shared" si="185"/>
        <v>Technology</v>
      </c>
      <c r="S808" t="s">
        <v>133</v>
      </c>
      <c r="T808" t="str">
        <f t="shared" si="186"/>
        <v>Copiers</v>
      </c>
      <c r="U808" t="s">
        <v>3772</v>
      </c>
      <c r="V808" t="str">
        <f t="shared" si="187"/>
        <v>Max Copiers 560</v>
      </c>
      <c r="W808" t="s">
        <v>108</v>
      </c>
      <c r="X808" t="str">
        <f t="shared" si="188"/>
        <v>Standard Class</v>
      </c>
      <c r="Y808">
        <v>6</v>
      </c>
      <c r="Z808">
        <v>1</v>
      </c>
      <c r="AA808">
        <v>3665.97</v>
      </c>
      <c r="AB808">
        <v>0.2</v>
      </c>
      <c r="AC808">
        <f t="shared" si="189"/>
        <v>0.2</v>
      </c>
      <c r="AD808">
        <v>2932.78</v>
      </c>
      <c r="AE808">
        <f t="shared" si="190"/>
        <v>2932.776</v>
      </c>
      <c r="AF808">
        <v>1900.35</v>
      </c>
      <c r="AG808">
        <v>1032.43</v>
      </c>
      <c r="AH808">
        <f t="shared" si="191"/>
        <v>1032.426</v>
      </c>
      <c r="AI808">
        <f t="shared" si="192"/>
        <v>0.35203029484693</v>
      </c>
      <c r="AJ808" t="s">
        <v>241</v>
      </c>
      <c r="AK808" t="str">
        <f t="shared" si="193"/>
        <v>Failed</v>
      </c>
      <c r="AL808" t="s">
        <v>118</v>
      </c>
      <c r="AM808" t="str">
        <f t="shared" si="194"/>
        <v>Cancelled</v>
      </c>
      <c r="AN808">
        <v>11</v>
      </c>
      <c r="AO808">
        <v>2024</v>
      </c>
      <c r="AP808" t="s">
        <v>79</v>
      </c>
    </row>
    <row r="809" spans="1:42">
      <c r="A809" t="s">
        <v>3773</v>
      </c>
      <c r="B809" s="3" t="s">
        <v>1328</v>
      </c>
      <c r="C809" s="3">
        <v>45695</v>
      </c>
      <c r="D809" t="s">
        <v>2326</v>
      </c>
      <c r="E809" s="3">
        <v>45696</v>
      </c>
      <c r="F809" t="s">
        <v>3774</v>
      </c>
      <c r="G809" t="s">
        <v>70</v>
      </c>
      <c r="H809" t="str">
        <f t="shared" si="180"/>
        <v>Karan Malhotra</v>
      </c>
      <c r="I809" t="s">
        <v>85</v>
      </c>
      <c r="J809" t="str">
        <f t="shared" si="181"/>
        <v>Small Business</v>
      </c>
      <c r="K809" t="s">
        <v>10</v>
      </c>
      <c r="L809" t="str">
        <f t="shared" si="182"/>
        <v>South</v>
      </c>
      <c r="M809" t="s">
        <v>104</v>
      </c>
      <c r="N809" t="str">
        <f t="shared" si="183"/>
        <v>Telangana</v>
      </c>
      <c r="O809" t="s">
        <v>105</v>
      </c>
      <c r="P809" t="str">
        <f t="shared" si="184"/>
        <v>Hyderabad</v>
      </c>
      <c r="Q809" t="s">
        <v>22</v>
      </c>
      <c r="R809" t="str">
        <f t="shared" si="185"/>
        <v>Office Supplies</v>
      </c>
      <c r="S809" t="s">
        <v>148</v>
      </c>
      <c r="T809" t="str">
        <f t="shared" si="186"/>
        <v>Labels</v>
      </c>
      <c r="U809" t="s">
        <v>3775</v>
      </c>
      <c r="V809" t="str">
        <f t="shared" si="187"/>
        <v>Smart Labels 436</v>
      </c>
      <c r="W809" t="s">
        <v>3776</v>
      </c>
      <c r="X809" t="str">
        <f t="shared" si="188"/>
        <v>Standard Class</v>
      </c>
      <c r="Y809">
        <v>1</v>
      </c>
      <c r="Z809">
        <v>2</v>
      </c>
      <c r="AA809">
        <v>2432.98</v>
      </c>
      <c r="AB809">
        <v>0.1</v>
      </c>
      <c r="AC809">
        <f t="shared" si="189"/>
        <v>0.1</v>
      </c>
      <c r="AD809">
        <v>4379.36</v>
      </c>
      <c r="AE809">
        <f t="shared" si="190"/>
        <v>4379.364</v>
      </c>
      <c r="AF809">
        <v>3723.93</v>
      </c>
      <c r="AG809">
        <v>655.43</v>
      </c>
      <c r="AH809">
        <f t="shared" si="191"/>
        <v>655.434000000001</v>
      </c>
      <c r="AI809">
        <f t="shared" si="192"/>
        <v>0.149664197815025</v>
      </c>
      <c r="AJ809" t="s">
        <v>77</v>
      </c>
      <c r="AK809" t="str">
        <f t="shared" si="193"/>
        <v>Paid</v>
      </c>
      <c r="AL809" t="s">
        <v>78</v>
      </c>
      <c r="AM809" t="str">
        <f t="shared" si="194"/>
        <v>Completed</v>
      </c>
      <c r="AN809">
        <v>2</v>
      </c>
      <c r="AO809">
        <v>2025</v>
      </c>
      <c r="AP809" t="s">
        <v>79</v>
      </c>
    </row>
    <row r="810" spans="1:42">
      <c r="A810" t="s">
        <v>3777</v>
      </c>
      <c r="B810" s="3" t="s">
        <v>3778</v>
      </c>
      <c r="C810" s="3">
        <v>45900</v>
      </c>
      <c r="D810" t="s">
        <v>2089</v>
      </c>
      <c r="E810" s="3">
        <v>45897</v>
      </c>
      <c r="F810" t="s">
        <v>3779</v>
      </c>
      <c r="G810" t="s">
        <v>202</v>
      </c>
      <c r="H810" t="str">
        <f t="shared" si="180"/>
        <v>Aarav Sharma</v>
      </c>
      <c r="I810" t="s">
        <v>85</v>
      </c>
      <c r="J810" t="str">
        <f t="shared" si="181"/>
        <v>Small Business</v>
      </c>
      <c r="K810" t="s">
        <v>10</v>
      </c>
      <c r="L810" t="str">
        <f t="shared" si="182"/>
        <v>South</v>
      </c>
      <c r="M810" t="s">
        <v>382</v>
      </c>
      <c r="N810" t="str">
        <f t="shared" si="183"/>
        <v>Tamil Nadu</v>
      </c>
      <c r="O810" t="s">
        <v>383</v>
      </c>
      <c r="P810" t="str">
        <f t="shared" si="184"/>
        <v>Chennai</v>
      </c>
      <c r="Q810" t="s">
        <v>19</v>
      </c>
      <c r="R810" t="str">
        <f t="shared" si="185"/>
        <v>Furniture</v>
      </c>
      <c r="S810" t="s">
        <v>106</v>
      </c>
      <c r="T810" t="str">
        <f t="shared" si="186"/>
        <v>Furnishings</v>
      </c>
      <c r="U810" t="s">
        <v>3780</v>
      </c>
      <c r="V810" t="str">
        <f t="shared" si="187"/>
        <v>Pro Furnishings 386</v>
      </c>
      <c r="W810" t="s">
        <v>98</v>
      </c>
      <c r="X810" t="str">
        <f t="shared" si="188"/>
        <v>First Class</v>
      </c>
      <c r="Y810">
        <v>-3</v>
      </c>
      <c r="Z810">
        <v>7</v>
      </c>
      <c r="AA810">
        <v>977.28</v>
      </c>
      <c r="AB810">
        <v>0.2</v>
      </c>
      <c r="AC810">
        <f t="shared" si="189"/>
        <v>0.2</v>
      </c>
      <c r="AD810">
        <v>5472.77</v>
      </c>
      <c r="AE810">
        <f t="shared" si="190"/>
        <v>5472.768</v>
      </c>
      <c r="AF810">
        <v>4477.33</v>
      </c>
      <c r="AG810">
        <v>995.44</v>
      </c>
      <c r="AH810">
        <f t="shared" si="191"/>
        <v>995.438</v>
      </c>
      <c r="AI810">
        <f t="shared" si="192"/>
        <v>0.181889310856956</v>
      </c>
      <c r="AJ810" t="s">
        <v>77</v>
      </c>
      <c r="AK810" t="str">
        <f t="shared" si="193"/>
        <v>Paid</v>
      </c>
      <c r="AL810" t="s">
        <v>78</v>
      </c>
      <c r="AM810" t="str">
        <f t="shared" si="194"/>
        <v>Completed</v>
      </c>
      <c r="AN810">
        <v>8</v>
      </c>
      <c r="AO810">
        <v>2025</v>
      </c>
      <c r="AP810" t="s">
        <v>253</v>
      </c>
    </row>
    <row r="811" spans="1:42">
      <c r="A811" t="s">
        <v>3781</v>
      </c>
      <c r="B811" s="3" t="s">
        <v>1570</v>
      </c>
      <c r="C811" s="3">
        <v>45833</v>
      </c>
      <c r="D811" t="s">
        <v>1570</v>
      </c>
      <c r="E811" s="3">
        <v>45833</v>
      </c>
      <c r="F811" t="s">
        <v>3782</v>
      </c>
      <c r="G811" t="s">
        <v>103</v>
      </c>
      <c r="H811" t="str">
        <f t="shared" si="180"/>
        <v>Arjun Bose</v>
      </c>
      <c r="I811" t="s">
        <v>85</v>
      </c>
      <c r="J811" t="str">
        <f t="shared" si="181"/>
        <v>Small Business</v>
      </c>
      <c r="L811" t="str">
        <f t="shared" si="182"/>
        <v/>
      </c>
      <c r="M811" t="s">
        <v>194</v>
      </c>
      <c r="N811" t="str">
        <f t="shared" si="183"/>
        <v>Punjab</v>
      </c>
      <c r="O811" t="s">
        <v>195</v>
      </c>
      <c r="P811" t="str">
        <f t="shared" si="184"/>
        <v>Ludhiana</v>
      </c>
      <c r="Q811" t="s">
        <v>22</v>
      </c>
      <c r="R811" t="str">
        <f t="shared" si="185"/>
        <v>Office Supplies</v>
      </c>
      <c r="S811" t="s">
        <v>239</v>
      </c>
      <c r="T811" t="str">
        <f t="shared" si="186"/>
        <v>Binders</v>
      </c>
      <c r="U811" t="s">
        <v>3783</v>
      </c>
      <c r="V811" t="str">
        <f t="shared" si="187"/>
        <v>Eco Binders 601</v>
      </c>
      <c r="W811" t="s">
        <v>76</v>
      </c>
      <c r="X811" t="str">
        <f t="shared" si="188"/>
        <v>Second Class</v>
      </c>
      <c r="Y811">
        <v>0</v>
      </c>
      <c r="Z811">
        <v>6</v>
      </c>
      <c r="AA811">
        <v>1366.13</v>
      </c>
      <c r="AB811">
        <v>0.1</v>
      </c>
      <c r="AC811">
        <f t="shared" si="189"/>
        <v>0.1</v>
      </c>
      <c r="AD811">
        <v>7377.1</v>
      </c>
      <c r="AE811">
        <f t="shared" si="190"/>
        <v>7377.102</v>
      </c>
      <c r="AF811">
        <v>5085.21</v>
      </c>
      <c r="AG811">
        <v>2291.89</v>
      </c>
      <c r="AH811">
        <f t="shared" si="191"/>
        <v>2291.892</v>
      </c>
      <c r="AI811">
        <f t="shared" si="192"/>
        <v>0.310676468889816</v>
      </c>
      <c r="AJ811" t="s">
        <v>77</v>
      </c>
      <c r="AK811" t="str">
        <f t="shared" si="193"/>
        <v>Paid</v>
      </c>
      <c r="AL811" t="s">
        <v>78</v>
      </c>
      <c r="AM811" t="str">
        <f t="shared" si="194"/>
        <v>Completed</v>
      </c>
      <c r="AN811">
        <v>6</v>
      </c>
      <c r="AO811">
        <v>2025</v>
      </c>
      <c r="AP811" t="s">
        <v>79</v>
      </c>
    </row>
    <row r="812" spans="1:42">
      <c r="A812" t="s">
        <v>3784</v>
      </c>
      <c r="B812" s="3" t="s">
        <v>3785</v>
      </c>
      <c r="C812" s="3">
        <v>45385</v>
      </c>
      <c r="D812" t="s">
        <v>3786</v>
      </c>
      <c r="E812" s="3">
        <v>45390</v>
      </c>
      <c r="F812" t="s">
        <v>2591</v>
      </c>
      <c r="G812" t="s">
        <v>411</v>
      </c>
      <c r="H812" t="str">
        <f t="shared" si="180"/>
        <v>Kabir Singh</v>
      </c>
      <c r="I812" t="s">
        <v>3490</v>
      </c>
      <c r="J812" t="str">
        <f t="shared" si="181"/>
        <v>Home Office</v>
      </c>
      <c r="K812" t="s">
        <v>11</v>
      </c>
      <c r="L812" t="str">
        <f t="shared" si="182"/>
        <v>West</v>
      </c>
      <c r="M812" t="s">
        <v>278</v>
      </c>
      <c r="N812" t="str">
        <f t="shared" si="183"/>
        <v>Gujarat</v>
      </c>
      <c r="O812" t="s">
        <v>279</v>
      </c>
      <c r="P812" t="str">
        <f t="shared" si="184"/>
        <v>Ahmedabad</v>
      </c>
      <c r="Q812" t="s">
        <v>24</v>
      </c>
      <c r="R812" t="str">
        <f t="shared" si="185"/>
        <v>Technology</v>
      </c>
      <c r="S812" t="s">
        <v>133</v>
      </c>
      <c r="T812" t="str">
        <f t="shared" si="186"/>
        <v>Copiers</v>
      </c>
      <c r="U812" t="s">
        <v>3787</v>
      </c>
      <c r="V812" t="str">
        <f t="shared" si="187"/>
        <v>Pro Copiers 867</v>
      </c>
      <c r="W812" t="s">
        <v>98</v>
      </c>
      <c r="X812" t="str">
        <f t="shared" si="188"/>
        <v>First Class</v>
      </c>
      <c r="Y812">
        <v>5</v>
      </c>
      <c r="Z812">
        <v>1</v>
      </c>
      <c r="AA812">
        <v>3151.85</v>
      </c>
      <c r="AB812">
        <v>0.25</v>
      </c>
      <c r="AC812">
        <f t="shared" si="189"/>
        <v>0.25</v>
      </c>
      <c r="AD812">
        <v>2363.89</v>
      </c>
      <c r="AE812">
        <f t="shared" si="190"/>
        <v>2363.8875</v>
      </c>
      <c r="AF812">
        <v>1471.51</v>
      </c>
      <c r="AG812">
        <v>892.38</v>
      </c>
      <c r="AH812">
        <f t="shared" si="191"/>
        <v>892.3775</v>
      </c>
      <c r="AI812">
        <f t="shared" si="192"/>
        <v>0.37750421710001</v>
      </c>
      <c r="AJ812" t="s">
        <v>77</v>
      </c>
      <c r="AK812" t="str">
        <f t="shared" si="193"/>
        <v>Paid</v>
      </c>
      <c r="AL812" t="s">
        <v>78</v>
      </c>
      <c r="AM812" t="str">
        <f t="shared" si="194"/>
        <v>Completed</v>
      </c>
      <c r="AN812">
        <v>4</v>
      </c>
      <c r="AO812">
        <v>2024</v>
      </c>
      <c r="AP812" t="s">
        <v>79</v>
      </c>
    </row>
    <row r="813" spans="1:42">
      <c r="A813" t="s">
        <v>3788</v>
      </c>
      <c r="B813" s="3" t="s">
        <v>3789</v>
      </c>
      <c r="C813" s="3">
        <v>45638</v>
      </c>
      <c r="D813" t="s">
        <v>3790</v>
      </c>
      <c r="E813" s="3">
        <v>45645</v>
      </c>
      <c r="F813" t="s">
        <v>3791</v>
      </c>
      <c r="G813" t="s">
        <v>220</v>
      </c>
      <c r="H813" t="str">
        <f t="shared" si="180"/>
        <v>Rohan Mehta</v>
      </c>
      <c r="I813" t="s">
        <v>154</v>
      </c>
      <c r="J813" t="str">
        <f t="shared" si="181"/>
        <v>Home Office</v>
      </c>
      <c r="K813" t="s">
        <v>8</v>
      </c>
      <c r="L813" t="str">
        <f t="shared" si="182"/>
        <v>North</v>
      </c>
      <c r="M813" t="s">
        <v>366</v>
      </c>
      <c r="N813" t="str">
        <f t="shared" si="183"/>
        <v>Haryana</v>
      </c>
      <c r="O813" t="s">
        <v>367</v>
      </c>
      <c r="P813" t="str">
        <f t="shared" si="184"/>
        <v>Gurugram</v>
      </c>
      <c r="Q813" t="s">
        <v>24</v>
      </c>
      <c r="R813" t="str">
        <f t="shared" si="185"/>
        <v>Technology</v>
      </c>
      <c r="S813" t="s">
        <v>126</v>
      </c>
      <c r="T813" t="str">
        <f t="shared" si="186"/>
        <v>Accessories</v>
      </c>
      <c r="U813" t="s">
        <v>3792</v>
      </c>
      <c r="V813" t="str">
        <f t="shared" si="187"/>
        <v>Eco Accessories 122</v>
      </c>
      <c r="W813" t="s">
        <v>98</v>
      </c>
      <c r="X813" t="str">
        <f t="shared" si="188"/>
        <v>First Class</v>
      </c>
      <c r="Y813">
        <v>7</v>
      </c>
      <c r="Z813">
        <v>2</v>
      </c>
      <c r="AA813">
        <v>1610.75</v>
      </c>
      <c r="AB813">
        <v>0.2</v>
      </c>
      <c r="AC813">
        <f t="shared" si="189"/>
        <v>0.2</v>
      </c>
      <c r="AD813">
        <v>2577.2</v>
      </c>
      <c r="AE813">
        <f t="shared" si="190"/>
        <v>2577.2</v>
      </c>
      <c r="AF813">
        <v>1475.87</v>
      </c>
      <c r="AG813">
        <v>1101.33</v>
      </c>
      <c r="AH813">
        <f t="shared" si="191"/>
        <v>1101.33</v>
      </c>
      <c r="AI813">
        <f t="shared" si="192"/>
        <v>0.427335868384293</v>
      </c>
      <c r="AJ813" t="s">
        <v>77</v>
      </c>
      <c r="AK813" t="str">
        <f t="shared" si="193"/>
        <v>Paid</v>
      </c>
      <c r="AL813" t="s">
        <v>78</v>
      </c>
      <c r="AM813" t="str">
        <f t="shared" si="194"/>
        <v>Completed</v>
      </c>
      <c r="AN813">
        <v>12</v>
      </c>
      <c r="AO813">
        <v>2024</v>
      </c>
      <c r="AP813" t="s">
        <v>79</v>
      </c>
    </row>
    <row r="814" spans="1:42">
      <c r="A814" t="s">
        <v>3793</v>
      </c>
      <c r="B814" s="3" t="s">
        <v>860</v>
      </c>
      <c r="C814" s="3">
        <v>45458</v>
      </c>
      <c r="D814" t="s">
        <v>3794</v>
      </c>
      <c r="E814" s="3">
        <v>45463</v>
      </c>
      <c r="F814" t="s">
        <v>3795</v>
      </c>
      <c r="G814" t="s">
        <v>208</v>
      </c>
      <c r="H814" t="str">
        <f t="shared" si="180"/>
        <v>Sneha Kapoor</v>
      </c>
      <c r="I814" t="s">
        <v>85</v>
      </c>
      <c r="J814" t="str">
        <f t="shared" si="181"/>
        <v>Small Business</v>
      </c>
      <c r="K814" t="s">
        <v>7</v>
      </c>
      <c r="L814" t="str">
        <f t="shared" si="182"/>
        <v>East</v>
      </c>
      <c r="M814" t="s">
        <v>354</v>
      </c>
      <c r="N814" t="str">
        <f t="shared" si="183"/>
        <v>Jharkhand</v>
      </c>
      <c r="O814" t="s">
        <v>355</v>
      </c>
      <c r="P814" t="str">
        <f t="shared" si="184"/>
        <v>Ranchi</v>
      </c>
      <c r="Q814" t="s">
        <v>19</v>
      </c>
      <c r="R814" t="str">
        <f t="shared" si="185"/>
        <v>Furniture</v>
      </c>
      <c r="S814" t="s">
        <v>88</v>
      </c>
      <c r="T814" t="str">
        <f t="shared" si="186"/>
        <v>Tables</v>
      </c>
      <c r="U814" t="s">
        <v>3796</v>
      </c>
      <c r="V814" t="str">
        <f t="shared" si="187"/>
        <v>Basic Tables 127</v>
      </c>
      <c r="W814" t="s">
        <v>98</v>
      </c>
      <c r="X814" t="str">
        <f t="shared" si="188"/>
        <v>First Class</v>
      </c>
      <c r="Y814">
        <v>5</v>
      </c>
      <c r="Z814">
        <v>8</v>
      </c>
      <c r="AA814">
        <v>2228.47</v>
      </c>
      <c r="AB814">
        <v>0</v>
      </c>
      <c r="AC814">
        <f t="shared" si="189"/>
        <v>0</v>
      </c>
      <c r="AD814">
        <v>17827.76</v>
      </c>
      <c r="AE814">
        <f t="shared" si="190"/>
        <v>17827.76</v>
      </c>
      <c r="AF814">
        <v>14122.13</v>
      </c>
      <c r="AG814">
        <v>3705.63</v>
      </c>
      <c r="AH814">
        <f t="shared" si="191"/>
        <v>3705.63</v>
      </c>
      <c r="AI814">
        <f t="shared" si="192"/>
        <v>0.207857296710299</v>
      </c>
      <c r="AJ814" t="s">
        <v>77</v>
      </c>
      <c r="AK814" t="str">
        <f t="shared" si="193"/>
        <v>Paid</v>
      </c>
      <c r="AL814" t="s">
        <v>78</v>
      </c>
      <c r="AM814" t="str">
        <f t="shared" si="194"/>
        <v>Completed</v>
      </c>
      <c r="AN814">
        <v>6</v>
      </c>
      <c r="AO814">
        <v>2024</v>
      </c>
      <c r="AP814" t="s">
        <v>79</v>
      </c>
    </row>
    <row r="815" spans="1:42">
      <c r="A815" t="s">
        <v>3797</v>
      </c>
      <c r="B815" s="3" t="s">
        <v>3798</v>
      </c>
      <c r="C815" s="3">
        <v>45753</v>
      </c>
      <c r="D815" t="s">
        <v>3799</v>
      </c>
      <c r="E815" s="3">
        <v>45757</v>
      </c>
      <c r="F815" t="s">
        <v>3800</v>
      </c>
      <c r="G815" t="s">
        <v>220</v>
      </c>
      <c r="H815" t="str">
        <f t="shared" si="180"/>
        <v>Rohan Mehta</v>
      </c>
      <c r="I815" t="s">
        <v>71</v>
      </c>
      <c r="J815" t="str">
        <f t="shared" si="181"/>
        <v>Consumer</v>
      </c>
      <c r="K815" t="s">
        <v>7</v>
      </c>
      <c r="L815" t="str">
        <f t="shared" si="182"/>
        <v>East</v>
      </c>
      <c r="M815" t="s">
        <v>86</v>
      </c>
      <c r="N815" t="str">
        <f t="shared" si="183"/>
        <v>Odisha</v>
      </c>
      <c r="O815" t="s">
        <v>87</v>
      </c>
      <c r="P815" t="str">
        <f t="shared" si="184"/>
        <v>Bhubaneswar</v>
      </c>
      <c r="Q815" t="s">
        <v>19</v>
      </c>
      <c r="R815" t="str">
        <f t="shared" si="185"/>
        <v>Furniture</v>
      </c>
      <c r="S815" t="s">
        <v>245</v>
      </c>
      <c r="T815" t="str">
        <f t="shared" si="186"/>
        <v>Bookcases</v>
      </c>
      <c r="U815" t="s">
        <v>1771</v>
      </c>
      <c r="V815" t="str">
        <f t="shared" si="187"/>
        <v>Elite Bookcases 988</v>
      </c>
      <c r="W815" t="s">
        <v>108</v>
      </c>
      <c r="X815" t="str">
        <f t="shared" si="188"/>
        <v>Standard Class</v>
      </c>
      <c r="Y815">
        <v>4</v>
      </c>
      <c r="Z815">
        <v>2</v>
      </c>
      <c r="AA815">
        <v>1337.67</v>
      </c>
      <c r="AB815">
        <v>0</v>
      </c>
      <c r="AC815">
        <f t="shared" si="189"/>
        <v>0</v>
      </c>
      <c r="AD815">
        <v>2675.34</v>
      </c>
      <c r="AE815">
        <f t="shared" si="190"/>
        <v>2675.34</v>
      </c>
      <c r="AF815">
        <v>1595.87</v>
      </c>
      <c r="AG815">
        <v>1079.47</v>
      </c>
      <c r="AH815">
        <f t="shared" si="191"/>
        <v>1079.47</v>
      </c>
      <c r="AI815">
        <f t="shared" si="192"/>
        <v>0.403488902345123</v>
      </c>
      <c r="AJ815" t="s">
        <v>77</v>
      </c>
      <c r="AK815" t="str">
        <f t="shared" si="193"/>
        <v>Paid</v>
      </c>
      <c r="AL815" t="s">
        <v>78</v>
      </c>
      <c r="AM815" t="str">
        <f t="shared" si="194"/>
        <v>Completed</v>
      </c>
      <c r="AN815">
        <v>4</v>
      </c>
      <c r="AO815">
        <v>2025</v>
      </c>
      <c r="AP815" t="s">
        <v>79</v>
      </c>
    </row>
    <row r="816" spans="1:42">
      <c r="A816" t="s">
        <v>3801</v>
      </c>
      <c r="B816" s="3" t="s">
        <v>1423</v>
      </c>
      <c r="C816" s="3">
        <v>45875</v>
      </c>
      <c r="D816" t="s">
        <v>629</v>
      </c>
      <c r="E816" s="3">
        <v>45880</v>
      </c>
      <c r="F816" t="s">
        <v>3802</v>
      </c>
      <c r="G816" t="s">
        <v>103</v>
      </c>
      <c r="H816" t="str">
        <f t="shared" si="180"/>
        <v>Arjun Bose</v>
      </c>
      <c r="I816" t="s">
        <v>71</v>
      </c>
      <c r="J816" t="str">
        <f t="shared" si="181"/>
        <v>Consumer</v>
      </c>
      <c r="K816" t="s">
        <v>11</v>
      </c>
      <c r="L816" t="str">
        <f t="shared" si="182"/>
        <v>West</v>
      </c>
      <c r="M816" t="s">
        <v>124</v>
      </c>
      <c r="N816" t="str">
        <f t="shared" si="183"/>
        <v>Madhya Pradesh</v>
      </c>
      <c r="O816" t="s">
        <v>125</v>
      </c>
      <c r="P816" t="str">
        <f t="shared" si="184"/>
        <v>Indore</v>
      </c>
      <c r="Q816" t="s">
        <v>22</v>
      </c>
      <c r="R816" t="str">
        <f t="shared" si="185"/>
        <v>Office Supplies</v>
      </c>
      <c r="S816" t="s">
        <v>148</v>
      </c>
      <c r="T816" t="str">
        <f t="shared" si="186"/>
        <v>Labels</v>
      </c>
      <c r="U816" t="s">
        <v>3803</v>
      </c>
      <c r="V816" t="str">
        <f t="shared" si="187"/>
        <v>Smart Labels 126</v>
      </c>
      <c r="W816" t="s">
        <v>98</v>
      </c>
      <c r="X816" t="str">
        <f t="shared" si="188"/>
        <v>First Class</v>
      </c>
      <c r="Y816">
        <v>5</v>
      </c>
      <c r="Z816">
        <v>2</v>
      </c>
      <c r="AA816">
        <v>2375.94</v>
      </c>
      <c r="AB816">
        <v>0.25</v>
      </c>
      <c r="AC816">
        <f t="shared" si="189"/>
        <v>0.25</v>
      </c>
      <c r="AD816">
        <v>3563.91</v>
      </c>
      <c r="AE816">
        <f t="shared" si="190"/>
        <v>3563.91</v>
      </c>
      <c r="AF816">
        <v>2639.7</v>
      </c>
      <c r="AG816">
        <v>924.21</v>
      </c>
      <c r="AH816">
        <f t="shared" si="191"/>
        <v>924.21</v>
      </c>
      <c r="AI816">
        <f t="shared" si="192"/>
        <v>0.259324730422485</v>
      </c>
      <c r="AJ816" t="s">
        <v>77</v>
      </c>
      <c r="AK816" t="str">
        <f t="shared" si="193"/>
        <v>Paid</v>
      </c>
      <c r="AL816" t="s">
        <v>78</v>
      </c>
      <c r="AM816" t="str">
        <f t="shared" si="194"/>
        <v>Completed</v>
      </c>
      <c r="AN816">
        <v>8</v>
      </c>
      <c r="AO816">
        <v>2025</v>
      </c>
      <c r="AP816" t="s">
        <v>79</v>
      </c>
    </row>
    <row r="817" spans="1:42">
      <c r="A817" t="s">
        <v>3804</v>
      </c>
      <c r="B817" s="3" t="s">
        <v>2498</v>
      </c>
      <c r="C817" s="3">
        <v>45383</v>
      </c>
      <c r="D817" t="s">
        <v>3805</v>
      </c>
      <c r="E817" s="3">
        <v>45390</v>
      </c>
      <c r="F817" t="s">
        <v>3806</v>
      </c>
      <c r="G817" t="s">
        <v>251</v>
      </c>
      <c r="H817" t="str">
        <f t="shared" si="180"/>
        <v>Diya Patel</v>
      </c>
      <c r="I817" t="s">
        <v>71</v>
      </c>
      <c r="J817" t="str">
        <f t="shared" si="181"/>
        <v>Consumer</v>
      </c>
      <c r="K817" t="s">
        <v>7</v>
      </c>
      <c r="L817" t="str">
        <f t="shared" si="182"/>
        <v>East</v>
      </c>
      <c r="M817" t="s">
        <v>86</v>
      </c>
      <c r="N817" t="str">
        <f t="shared" si="183"/>
        <v>Odisha</v>
      </c>
      <c r="O817" t="s">
        <v>87</v>
      </c>
      <c r="P817" t="str">
        <f t="shared" si="184"/>
        <v>Bhubaneswar</v>
      </c>
      <c r="Q817" t="s">
        <v>24</v>
      </c>
      <c r="R817" t="str">
        <f t="shared" si="185"/>
        <v>Technology</v>
      </c>
      <c r="S817" t="s">
        <v>427</v>
      </c>
      <c r="T817" t="str">
        <f t="shared" si="186"/>
        <v>Machines</v>
      </c>
      <c r="U817" t="s">
        <v>3807</v>
      </c>
      <c r="V817" t="str">
        <f t="shared" si="187"/>
        <v>Max Machines 569</v>
      </c>
      <c r="W817" t="s">
        <v>108</v>
      </c>
      <c r="X817" t="str">
        <f t="shared" si="188"/>
        <v>Standard Class</v>
      </c>
      <c r="Y817">
        <v>7</v>
      </c>
      <c r="Z817">
        <v>7</v>
      </c>
      <c r="AA817">
        <v>715.81</v>
      </c>
      <c r="AB817">
        <v>0.15</v>
      </c>
      <c r="AC817">
        <f t="shared" si="189"/>
        <v>0.15</v>
      </c>
      <c r="AD817">
        <v>4259.07</v>
      </c>
      <c r="AE817">
        <f t="shared" si="190"/>
        <v>4259.0695</v>
      </c>
      <c r="AF817">
        <v>3130.32</v>
      </c>
      <c r="AG817">
        <v>1128.75</v>
      </c>
      <c r="AH817">
        <f t="shared" si="191"/>
        <v>1128.7495</v>
      </c>
      <c r="AI817">
        <f t="shared" si="192"/>
        <v>0.265022559505075</v>
      </c>
      <c r="AJ817" t="s">
        <v>177</v>
      </c>
      <c r="AK817" t="str">
        <f t="shared" si="193"/>
        <v>Pending</v>
      </c>
      <c r="AL817" t="s">
        <v>118</v>
      </c>
      <c r="AM817" t="str">
        <f t="shared" si="194"/>
        <v>Cancelled</v>
      </c>
      <c r="AN817">
        <v>4</v>
      </c>
      <c r="AO817">
        <v>2024</v>
      </c>
      <c r="AP817" t="s">
        <v>79</v>
      </c>
    </row>
    <row r="818" spans="1:42">
      <c r="A818" t="s">
        <v>3808</v>
      </c>
      <c r="B818" s="3" t="s">
        <v>3809</v>
      </c>
      <c r="C818" s="3">
        <v>45623</v>
      </c>
      <c r="D818" t="s">
        <v>3810</v>
      </c>
      <c r="E818" s="3">
        <v>45626</v>
      </c>
      <c r="F818" t="s">
        <v>3811</v>
      </c>
      <c r="G818" t="s">
        <v>188</v>
      </c>
      <c r="H818" t="str">
        <f t="shared" si="180"/>
        <v>Rahul Verma</v>
      </c>
      <c r="I818" t="s">
        <v>85</v>
      </c>
      <c r="J818" t="str">
        <f t="shared" si="181"/>
        <v>Small Business</v>
      </c>
      <c r="K818" t="s">
        <v>7</v>
      </c>
      <c r="L818" t="str">
        <f t="shared" si="182"/>
        <v>East</v>
      </c>
      <c r="M818" t="s">
        <v>354</v>
      </c>
      <c r="N818" t="str">
        <f t="shared" si="183"/>
        <v>Jharkhand</v>
      </c>
      <c r="O818" t="s">
        <v>355</v>
      </c>
      <c r="P818" t="str">
        <f t="shared" si="184"/>
        <v>Ranchi</v>
      </c>
      <c r="Q818" t="s">
        <v>19</v>
      </c>
      <c r="R818" t="str">
        <f t="shared" si="185"/>
        <v>Furniture</v>
      </c>
      <c r="S818" t="s">
        <v>106</v>
      </c>
      <c r="T818" t="str">
        <f t="shared" si="186"/>
        <v>Furnishings</v>
      </c>
      <c r="U818" t="s">
        <v>3812</v>
      </c>
      <c r="V818" t="str">
        <f t="shared" si="187"/>
        <v>Basic Furnishings 306</v>
      </c>
      <c r="W818" t="s">
        <v>98</v>
      </c>
      <c r="X818" t="str">
        <f t="shared" si="188"/>
        <v>First Class</v>
      </c>
      <c r="Y818">
        <v>3</v>
      </c>
      <c r="Z818">
        <v>1</v>
      </c>
      <c r="AA818">
        <v>874.3</v>
      </c>
      <c r="AB818">
        <v>0.1</v>
      </c>
      <c r="AC818">
        <f t="shared" si="189"/>
        <v>0.1</v>
      </c>
      <c r="AD818">
        <v>786.87</v>
      </c>
      <c r="AE818">
        <f t="shared" si="190"/>
        <v>786.87</v>
      </c>
      <c r="AF818">
        <v>498.5</v>
      </c>
      <c r="AG818">
        <v>288.37</v>
      </c>
      <c r="AH818">
        <f t="shared" si="191"/>
        <v>288.37</v>
      </c>
      <c r="AI818">
        <f t="shared" si="192"/>
        <v>0.366477308831192</v>
      </c>
      <c r="AJ818" t="s">
        <v>77</v>
      </c>
      <c r="AK818" t="str">
        <f t="shared" si="193"/>
        <v>Paid</v>
      </c>
      <c r="AL818" t="s">
        <v>78</v>
      </c>
      <c r="AM818" t="str">
        <f t="shared" si="194"/>
        <v>Completed</v>
      </c>
      <c r="AN818">
        <v>11</v>
      </c>
      <c r="AO818">
        <v>2024</v>
      </c>
      <c r="AP818" t="s">
        <v>79</v>
      </c>
    </row>
    <row r="819" spans="1:42">
      <c r="A819" t="s">
        <v>3813</v>
      </c>
      <c r="B819" s="3" t="s">
        <v>3814</v>
      </c>
      <c r="C819" s="3">
        <v>45752</v>
      </c>
      <c r="D819" t="s">
        <v>3815</v>
      </c>
      <c r="E819" s="3">
        <v>45752</v>
      </c>
      <c r="F819" t="s">
        <v>3816</v>
      </c>
      <c r="G819" t="s">
        <v>208</v>
      </c>
      <c r="H819" t="str">
        <f t="shared" si="180"/>
        <v>Sneha Kapoor</v>
      </c>
      <c r="I819" t="s">
        <v>71</v>
      </c>
      <c r="J819" t="str">
        <f t="shared" si="181"/>
        <v>Consumer</v>
      </c>
      <c r="K819" t="s">
        <v>7</v>
      </c>
      <c r="L819" t="str">
        <f t="shared" si="182"/>
        <v>East</v>
      </c>
      <c r="M819" t="s">
        <v>227</v>
      </c>
      <c r="N819" t="str">
        <f t="shared" si="183"/>
        <v>Bihar</v>
      </c>
      <c r="O819" t="s">
        <v>228</v>
      </c>
      <c r="P819" t="str">
        <f t="shared" si="184"/>
        <v>Patna</v>
      </c>
      <c r="Q819" t="s">
        <v>22</v>
      </c>
      <c r="R819" t="str">
        <f t="shared" si="185"/>
        <v>Office Supplies</v>
      </c>
      <c r="S819" t="s">
        <v>239</v>
      </c>
      <c r="T819" t="str">
        <f t="shared" si="186"/>
        <v>Binders</v>
      </c>
      <c r="U819" t="s">
        <v>3817</v>
      </c>
      <c r="V819" t="str">
        <f t="shared" si="187"/>
        <v>Classic Binders 873</v>
      </c>
      <c r="W819" t="s">
        <v>108</v>
      </c>
      <c r="X819" t="str">
        <f t="shared" si="188"/>
        <v>Standard Class</v>
      </c>
      <c r="Y819">
        <v>0</v>
      </c>
      <c r="Z819">
        <v>6</v>
      </c>
      <c r="AA819">
        <v>1829.69</v>
      </c>
      <c r="AB819">
        <v>0.25</v>
      </c>
      <c r="AC819">
        <f t="shared" si="189"/>
        <v>0.25</v>
      </c>
      <c r="AD819">
        <v>8233.6</v>
      </c>
      <c r="AE819">
        <f t="shared" si="190"/>
        <v>8233.605</v>
      </c>
      <c r="AF819">
        <v>4713.79</v>
      </c>
      <c r="AG819">
        <v>3519.81</v>
      </c>
      <c r="AH819">
        <f t="shared" si="191"/>
        <v>3519.815</v>
      </c>
      <c r="AI819">
        <f t="shared" si="192"/>
        <v>0.427493789172543</v>
      </c>
      <c r="AJ819" t="s">
        <v>77</v>
      </c>
      <c r="AK819" t="str">
        <f t="shared" si="193"/>
        <v>Paid</v>
      </c>
      <c r="AL819" t="s">
        <v>78</v>
      </c>
      <c r="AM819" t="str">
        <f t="shared" si="194"/>
        <v>Completed</v>
      </c>
      <c r="AN819">
        <v>4</v>
      </c>
      <c r="AO819">
        <v>2025</v>
      </c>
      <c r="AP819" t="s">
        <v>79</v>
      </c>
    </row>
    <row r="820" spans="1:42">
      <c r="A820" t="s">
        <v>3818</v>
      </c>
      <c r="B820" s="3" t="s">
        <v>3819</v>
      </c>
      <c r="C820" s="3">
        <v>45564</v>
      </c>
      <c r="D820" t="s">
        <v>3298</v>
      </c>
      <c r="E820" s="3">
        <v>45570</v>
      </c>
      <c r="F820" t="s">
        <v>3820</v>
      </c>
      <c r="G820" t="s">
        <v>182</v>
      </c>
      <c r="H820" t="str">
        <f t="shared" si="180"/>
        <v>Priya Menon</v>
      </c>
      <c r="I820" t="s">
        <v>85</v>
      </c>
      <c r="J820" t="str">
        <f t="shared" si="181"/>
        <v>Small Business</v>
      </c>
      <c r="K820" t="s">
        <v>11</v>
      </c>
      <c r="L820" t="str">
        <f t="shared" si="182"/>
        <v>West</v>
      </c>
      <c r="M820" t="s">
        <v>114</v>
      </c>
      <c r="N820" t="str">
        <f t="shared" si="183"/>
        <v>Maharashtra</v>
      </c>
      <c r="O820" t="s">
        <v>115</v>
      </c>
      <c r="P820" t="str">
        <f t="shared" si="184"/>
        <v>Mumbai</v>
      </c>
      <c r="Q820" t="s">
        <v>22</v>
      </c>
      <c r="R820" t="str">
        <f t="shared" si="185"/>
        <v>Office Supplies</v>
      </c>
      <c r="S820" t="s">
        <v>148</v>
      </c>
      <c r="T820" t="str">
        <f t="shared" si="186"/>
        <v>Labels</v>
      </c>
      <c r="U820" t="s">
        <v>3821</v>
      </c>
      <c r="V820" t="str">
        <f t="shared" si="187"/>
        <v>Pro Labels 611</v>
      </c>
      <c r="W820" t="s">
        <v>98</v>
      </c>
      <c r="X820" t="str">
        <f t="shared" si="188"/>
        <v>First Class</v>
      </c>
      <c r="Y820">
        <v>6</v>
      </c>
      <c r="Z820">
        <v>8</v>
      </c>
      <c r="AA820">
        <v>1981.04</v>
      </c>
      <c r="AB820">
        <v>-0.14</v>
      </c>
      <c r="AC820">
        <f t="shared" si="189"/>
        <v>0</v>
      </c>
      <c r="AD820">
        <v>12678.66</v>
      </c>
      <c r="AE820">
        <f t="shared" si="190"/>
        <v>15848.32</v>
      </c>
      <c r="AF820">
        <v>10088.65</v>
      </c>
      <c r="AG820">
        <v>2590.01</v>
      </c>
      <c r="AH820">
        <f t="shared" si="191"/>
        <v>5759.67</v>
      </c>
      <c r="AI820">
        <f t="shared" si="192"/>
        <v>0.36342464059282</v>
      </c>
      <c r="AJ820" t="s">
        <v>77</v>
      </c>
      <c r="AK820" t="str">
        <f t="shared" si="193"/>
        <v>Paid</v>
      </c>
      <c r="AL820" t="s">
        <v>78</v>
      </c>
      <c r="AM820" t="str">
        <f t="shared" si="194"/>
        <v>Completed</v>
      </c>
      <c r="AN820">
        <v>9</v>
      </c>
      <c r="AO820">
        <v>2024</v>
      </c>
      <c r="AP820" t="s">
        <v>222</v>
      </c>
    </row>
    <row r="821" spans="1:42">
      <c r="A821" t="s">
        <v>3822</v>
      </c>
      <c r="B821" s="3" t="s">
        <v>1648</v>
      </c>
      <c r="C821" s="3">
        <v>45504</v>
      </c>
      <c r="D821" t="s">
        <v>3823</v>
      </c>
      <c r="E821" s="3">
        <v>45504</v>
      </c>
      <c r="F821" t="s">
        <v>3824</v>
      </c>
      <c r="G821" t="s">
        <v>70</v>
      </c>
      <c r="H821" t="str">
        <f t="shared" si="180"/>
        <v>Karan Malhotra</v>
      </c>
      <c r="I821" t="s">
        <v>154</v>
      </c>
      <c r="J821" t="str">
        <f t="shared" si="181"/>
        <v>Home Office</v>
      </c>
      <c r="K821" t="s">
        <v>10</v>
      </c>
      <c r="L821" t="str">
        <f t="shared" si="182"/>
        <v>South</v>
      </c>
      <c r="M821" t="s">
        <v>285</v>
      </c>
      <c r="N821" t="str">
        <f t="shared" si="183"/>
        <v>Kerala</v>
      </c>
      <c r="O821" t="s">
        <v>286</v>
      </c>
      <c r="P821" t="str">
        <f t="shared" si="184"/>
        <v>Kochi</v>
      </c>
      <c r="Q821" t="s">
        <v>24</v>
      </c>
      <c r="R821" t="str">
        <f t="shared" si="185"/>
        <v>Technology</v>
      </c>
      <c r="S821" t="s">
        <v>3825</v>
      </c>
      <c r="T821" t="str">
        <f t="shared" si="186"/>
        <v>Machines</v>
      </c>
      <c r="U821" t="s">
        <v>3826</v>
      </c>
      <c r="V821" t="str">
        <f t="shared" si="187"/>
        <v>Prime Machines 524</v>
      </c>
      <c r="W821" t="s">
        <v>108</v>
      </c>
      <c r="X821" t="str">
        <f t="shared" si="188"/>
        <v>Standard Class</v>
      </c>
      <c r="Y821">
        <v>0</v>
      </c>
      <c r="Z821">
        <v>8</v>
      </c>
      <c r="AA821">
        <v>4246.01</v>
      </c>
      <c r="AB821">
        <v>0</v>
      </c>
      <c r="AC821">
        <f t="shared" si="189"/>
        <v>0</v>
      </c>
      <c r="AD821">
        <v>33968.08</v>
      </c>
      <c r="AE821">
        <f t="shared" si="190"/>
        <v>33968.08</v>
      </c>
      <c r="AF821">
        <v>26902.44</v>
      </c>
      <c r="AG821">
        <v>7065.64</v>
      </c>
      <c r="AH821">
        <f t="shared" si="191"/>
        <v>7065.64</v>
      </c>
      <c r="AI821">
        <f t="shared" si="192"/>
        <v>0.208008224191653</v>
      </c>
      <c r="AJ821" t="s">
        <v>241</v>
      </c>
      <c r="AK821" t="str">
        <f t="shared" si="193"/>
        <v>Failed</v>
      </c>
      <c r="AL821" t="s">
        <v>118</v>
      </c>
      <c r="AM821" t="str">
        <f t="shared" si="194"/>
        <v>Cancelled</v>
      </c>
      <c r="AN821">
        <v>7</v>
      </c>
      <c r="AO821">
        <v>2024</v>
      </c>
      <c r="AP821" t="s">
        <v>79</v>
      </c>
    </row>
    <row r="822" spans="1:42">
      <c r="A822" t="s">
        <v>3827</v>
      </c>
      <c r="B822" s="3" t="s">
        <v>3828</v>
      </c>
      <c r="C822" s="3">
        <v>45694</v>
      </c>
      <c r="D822" t="s">
        <v>3829</v>
      </c>
      <c r="E822" s="3">
        <v>45698</v>
      </c>
      <c r="F822" t="s">
        <v>3830</v>
      </c>
      <c r="G822" t="s">
        <v>113</v>
      </c>
      <c r="H822" t="str">
        <f t="shared" si="180"/>
        <v>Ananya Rao</v>
      </c>
      <c r="I822" t="s">
        <v>154</v>
      </c>
      <c r="J822" t="str">
        <f t="shared" si="181"/>
        <v>Home Office</v>
      </c>
      <c r="K822" t="s">
        <v>8</v>
      </c>
      <c r="L822" t="str">
        <f t="shared" si="182"/>
        <v>North</v>
      </c>
      <c r="M822" t="s">
        <v>214</v>
      </c>
      <c r="N822" t="str">
        <f t="shared" si="183"/>
        <v>Uttar Pradesh</v>
      </c>
      <c r="O822" t="s">
        <v>215</v>
      </c>
      <c r="P822" t="str">
        <f t="shared" si="184"/>
        <v>Noida</v>
      </c>
      <c r="Q822" t="s">
        <v>19</v>
      </c>
      <c r="R822" t="str">
        <f t="shared" si="185"/>
        <v>Furniture</v>
      </c>
      <c r="S822" t="s">
        <v>245</v>
      </c>
      <c r="T822" t="str">
        <f t="shared" si="186"/>
        <v>Bookcases</v>
      </c>
      <c r="U822" t="s">
        <v>3831</v>
      </c>
      <c r="V822" t="str">
        <f t="shared" si="187"/>
        <v>Classic Bookcases 882</v>
      </c>
      <c r="W822" t="s">
        <v>108</v>
      </c>
      <c r="X822" t="str">
        <f t="shared" si="188"/>
        <v>Standard Class</v>
      </c>
      <c r="Y822">
        <v>4</v>
      </c>
      <c r="Z822">
        <v>2</v>
      </c>
      <c r="AA822">
        <v>319.57</v>
      </c>
      <c r="AB822">
        <v>0.2</v>
      </c>
      <c r="AC822">
        <f t="shared" si="189"/>
        <v>0.2</v>
      </c>
      <c r="AD822">
        <v>511.31</v>
      </c>
      <c r="AE822">
        <f t="shared" si="190"/>
        <v>511.312</v>
      </c>
      <c r="AF822">
        <v>436.43</v>
      </c>
      <c r="AG822">
        <v>74.88</v>
      </c>
      <c r="AH822">
        <f t="shared" si="191"/>
        <v>74.882</v>
      </c>
      <c r="AI822">
        <f t="shared" si="192"/>
        <v>0.146450699377288</v>
      </c>
      <c r="AJ822" t="s">
        <v>77</v>
      </c>
      <c r="AK822" t="str">
        <f t="shared" si="193"/>
        <v>Paid</v>
      </c>
      <c r="AL822" t="s">
        <v>78</v>
      </c>
      <c r="AM822" t="str">
        <f t="shared" si="194"/>
        <v>Completed</v>
      </c>
      <c r="AN822">
        <v>2</v>
      </c>
      <c r="AO822">
        <v>2025</v>
      </c>
      <c r="AP822" t="s">
        <v>79</v>
      </c>
    </row>
    <row r="823" spans="1:42">
      <c r="A823" t="s">
        <v>3832</v>
      </c>
      <c r="B823" s="3" t="s">
        <v>3833</v>
      </c>
      <c r="C823" s="3">
        <v>45476</v>
      </c>
      <c r="D823" t="s">
        <v>3834</v>
      </c>
      <c r="E823" s="3">
        <v>45479</v>
      </c>
      <c r="F823" t="s">
        <v>3835</v>
      </c>
      <c r="G823" t="s">
        <v>202</v>
      </c>
      <c r="H823" t="str">
        <f t="shared" si="180"/>
        <v>Aarav Sharma</v>
      </c>
      <c r="I823" t="s">
        <v>147</v>
      </c>
      <c r="J823" t="str">
        <f t="shared" si="181"/>
        <v>Corporate</v>
      </c>
      <c r="K823" t="s">
        <v>10</v>
      </c>
      <c r="L823" t="str">
        <f t="shared" si="182"/>
        <v>South</v>
      </c>
      <c r="M823" t="s">
        <v>272</v>
      </c>
      <c r="N823" t="str">
        <f t="shared" si="183"/>
        <v>Karnataka</v>
      </c>
      <c r="O823" t="s">
        <v>273</v>
      </c>
      <c r="P823" t="str">
        <f t="shared" si="184"/>
        <v>Bengaluru</v>
      </c>
      <c r="Q823" t="s">
        <v>24</v>
      </c>
      <c r="R823" t="str">
        <f t="shared" si="185"/>
        <v>Technology</v>
      </c>
      <c r="S823" t="s">
        <v>126</v>
      </c>
      <c r="T823" t="str">
        <f t="shared" si="186"/>
        <v>Accessories</v>
      </c>
      <c r="U823" t="s">
        <v>3836</v>
      </c>
      <c r="V823" t="str">
        <f t="shared" si="187"/>
        <v>Classic Accessories 471</v>
      </c>
      <c r="W823" t="s">
        <v>98</v>
      </c>
      <c r="X823" t="str">
        <f t="shared" si="188"/>
        <v>First Class</v>
      </c>
      <c r="Y823">
        <v>3</v>
      </c>
      <c r="Z823">
        <v>7</v>
      </c>
      <c r="AA823">
        <v>1942.49</v>
      </c>
      <c r="AB823">
        <v>0.2</v>
      </c>
      <c r="AC823">
        <f t="shared" si="189"/>
        <v>0.2</v>
      </c>
      <c r="AD823">
        <v>10877.94</v>
      </c>
      <c r="AE823">
        <f t="shared" si="190"/>
        <v>10877.944</v>
      </c>
      <c r="AF823">
        <v>9110.14</v>
      </c>
      <c r="AG823">
        <v>1767.8</v>
      </c>
      <c r="AH823">
        <f t="shared" si="191"/>
        <v>1767.804</v>
      </c>
      <c r="AI823">
        <f t="shared" si="192"/>
        <v>0.162512695413766</v>
      </c>
      <c r="AJ823" t="s">
        <v>77</v>
      </c>
      <c r="AK823" t="str">
        <f t="shared" si="193"/>
        <v>Paid</v>
      </c>
      <c r="AL823" t="s">
        <v>78</v>
      </c>
      <c r="AM823" t="str">
        <f t="shared" si="194"/>
        <v>Completed</v>
      </c>
      <c r="AN823">
        <v>7</v>
      </c>
      <c r="AO823">
        <v>2024</v>
      </c>
      <c r="AP823" t="s">
        <v>79</v>
      </c>
    </row>
    <row r="824" spans="1:42">
      <c r="A824" t="s">
        <v>3837</v>
      </c>
      <c r="B824" s="3" t="s">
        <v>3838</v>
      </c>
      <c r="C824" s="3">
        <v>45577</v>
      </c>
      <c r="D824" t="s">
        <v>3839</v>
      </c>
      <c r="E824" s="3">
        <v>45573</v>
      </c>
      <c r="F824" t="s">
        <v>3840</v>
      </c>
      <c r="G824" t="s">
        <v>84</v>
      </c>
      <c r="H824" t="str">
        <f t="shared" si="180"/>
        <v>Mira Das</v>
      </c>
      <c r="I824" t="s">
        <v>147</v>
      </c>
      <c r="J824" t="str">
        <f t="shared" si="181"/>
        <v>Corporate</v>
      </c>
      <c r="K824" t="s">
        <v>7</v>
      </c>
      <c r="L824" t="str">
        <f t="shared" si="182"/>
        <v>East</v>
      </c>
      <c r="M824" t="s">
        <v>258</v>
      </c>
      <c r="N824" t="str">
        <f t="shared" si="183"/>
        <v>Assam</v>
      </c>
      <c r="O824" t="s">
        <v>259</v>
      </c>
      <c r="P824" t="str">
        <f t="shared" si="184"/>
        <v>Guwahati</v>
      </c>
      <c r="Q824" t="s">
        <v>19</v>
      </c>
      <c r="R824" t="str">
        <f t="shared" si="185"/>
        <v>Furniture</v>
      </c>
      <c r="S824" t="s">
        <v>106</v>
      </c>
      <c r="T824" t="str">
        <f t="shared" si="186"/>
        <v>Furnishings</v>
      </c>
      <c r="U824" t="s">
        <v>3841</v>
      </c>
      <c r="V824" t="str">
        <f t="shared" si="187"/>
        <v>Smart Furnishings 175</v>
      </c>
      <c r="W824" t="s">
        <v>76</v>
      </c>
      <c r="X824" t="str">
        <f t="shared" si="188"/>
        <v>Second Class</v>
      </c>
      <c r="Y824">
        <v>-4</v>
      </c>
      <c r="Z824">
        <v>4</v>
      </c>
      <c r="AA824">
        <v>3202.04</v>
      </c>
      <c r="AB824">
        <v>0.2</v>
      </c>
      <c r="AC824">
        <f t="shared" si="189"/>
        <v>0.2</v>
      </c>
      <c r="AD824">
        <v>10246.53</v>
      </c>
      <c r="AE824">
        <f t="shared" si="190"/>
        <v>10246.528</v>
      </c>
      <c r="AF824">
        <v>8634.42</v>
      </c>
      <c r="AG824">
        <v>1612.11</v>
      </c>
      <c r="AH824">
        <f t="shared" si="191"/>
        <v>1612.108</v>
      </c>
      <c r="AI824">
        <f t="shared" si="192"/>
        <v>0.157332122646813</v>
      </c>
      <c r="AJ824" t="s">
        <v>177</v>
      </c>
      <c r="AK824" t="str">
        <f t="shared" si="193"/>
        <v>Pending</v>
      </c>
      <c r="AL824" t="s">
        <v>164</v>
      </c>
      <c r="AM824" t="str">
        <f t="shared" si="194"/>
        <v>Returned</v>
      </c>
      <c r="AN824">
        <v>10</v>
      </c>
      <c r="AO824">
        <v>2024</v>
      </c>
      <c r="AP824" t="s">
        <v>253</v>
      </c>
    </row>
    <row r="825" spans="1:42">
      <c r="A825" t="s">
        <v>3842</v>
      </c>
      <c r="B825" s="3" t="s">
        <v>3843</v>
      </c>
      <c r="C825" s="3">
        <v>45663</v>
      </c>
      <c r="D825" t="s">
        <v>2234</v>
      </c>
      <c r="E825" s="3">
        <v>45669</v>
      </c>
      <c r="F825" t="s">
        <v>3844</v>
      </c>
      <c r="G825" t="s">
        <v>84</v>
      </c>
      <c r="H825" t="str">
        <f t="shared" si="180"/>
        <v>Mira Das</v>
      </c>
      <c r="I825" t="s">
        <v>154</v>
      </c>
      <c r="J825" t="str">
        <f t="shared" si="181"/>
        <v>Home Office</v>
      </c>
      <c r="K825" t="s">
        <v>11</v>
      </c>
      <c r="L825" t="str">
        <f t="shared" si="182"/>
        <v>West</v>
      </c>
      <c r="M825" t="s">
        <v>292</v>
      </c>
      <c r="N825" t="str">
        <f t="shared" si="183"/>
        <v>Goa</v>
      </c>
      <c r="O825" t="s">
        <v>293</v>
      </c>
      <c r="P825" t="str">
        <f t="shared" si="184"/>
        <v>Panaji</v>
      </c>
      <c r="Q825" t="s">
        <v>22</v>
      </c>
      <c r="R825" t="str">
        <f t="shared" si="185"/>
        <v>Office Supplies</v>
      </c>
      <c r="S825" t="s">
        <v>74</v>
      </c>
      <c r="T825" t="str">
        <f t="shared" si="186"/>
        <v>Paper</v>
      </c>
      <c r="U825" t="s">
        <v>3845</v>
      </c>
      <c r="V825" t="str">
        <f t="shared" si="187"/>
        <v>Basic Paper 899</v>
      </c>
      <c r="W825" t="s">
        <v>90</v>
      </c>
      <c r="X825" t="str">
        <f t="shared" si="188"/>
        <v>Same Day</v>
      </c>
      <c r="Y825">
        <v>6</v>
      </c>
      <c r="Z825">
        <v>3</v>
      </c>
      <c r="AA825">
        <v>668.33</v>
      </c>
      <c r="AB825">
        <v>0.15</v>
      </c>
      <c r="AC825">
        <f t="shared" si="189"/>
        <v>0.15</v>
      </c>
      <c r="AD825">
        <v>1704.24</v>
      </c>
      <c r="AE825">
        <f t="shared" si="190"/>
        <v>1704.2415</v>
      </c>
      <c r="AF825">
        <v>957.55</v>
      </c>
      <c r="AG825">
        <v>746.69</v>
      </c>
      <c r="AH825">
        <f t="shared" si="191"/>
        <v>746.6915</v>
      </c>
      <c r="AI825">
        <f t="shared" si="192"/>
        <v>0.438137141948486</v>
      </c>
      <c r="AJ825" t="s">
        <v>77</v>
      </c>
      <c r="AK825" t="str">
        <f t="shared" si="193"/>
        <v>Paid</v>
      </c>
      <c r="AL825" t="s">
        <v>78</v>
      </c>
      <c r="AM825" t="str">
        <f t="shared" si="194"/>
        <v>Completed</v>
      </c>
      <c r="AN825">
        <v>1</v>
      </c>
      <c r="AO825">
        <v>2025</v>
      </c>
      <c r="AP825" t="s">
        <v>79</v>
      </c>
    </row>
    <row r="826" spans="1:42">
      <c r="A826" t="s">
        <v>3846</v>
      </c>
      <c r="B826" s="3" t="s">
        <v>3847</v>
      </c>
      <c r="C826" s="3">
        <v>45737</v>
      </c>
      <c r="D826" t="s">
        <v>2170</v>
      </c>
      <c r="E826" s="3">
        <v>45738</v>
      </c>
      <c r="F826" t="s">
        <v>3848</v>
      </c>
      <c r="G826" t="s">
        <v>182</v>
      </c>
      <c r="H826" t="str">
        <f t="shared" si="180"/>
        <v>Priya Menon</v>
      </c>
      <c r="I826" t="s">
        <v>71</v>
      </c>
      <c r="J826" t="str">
        <f t="shared" si="181"/>
        <v>Consumer</v>
      </c>
      <c r="K826" t="s">
        <v>11</v>
      </c>
      <c r="L826" t="str">
        <f t="shared" si="182"/>
        <v>West</v>
      </c>
      <c r="M826" t="s">
        <v>292</v>
      </c>
      <c r="N826" t="str">
        <f t="shared" si="183"/>
        <v>Goa</v>
      </c>
      <c r="O826" t="s">
        <v>293</v>
      </c>
      <c r="P826" t="str">
        <f t="shared" si="184"/>
        <v>Panaji</v>
      </c>
      <c r="Q826" t="s">
        <v>22</v>
      </c>
      <c r="R826" t="str">
        <f t="shared" si="185"/>
        <v>Office Supplies</v>
      </c>
      <c r="S826" t="s">
        <v>74</v>
      </c>
      <c r="T826" t="str">
        <f t="shared" si="186"/>
        <v>Paper</v>
      </c>
      <c r="U826" t="s">
        <v>3849</v>
      </c>
      <c r="V826" t="str">
        <f t="shared" si="187"/>
        <v>Pro Paper 267</v>
      </c>
      <c r="W826" t="s">
        <v>98</v>
      </c>
      <c r="X826" t="str">
        <f t="shared" si="188"/>
        <v>First Class</v>
      </c>
      <c r="Y826">
        <v>1</v>
      </c>
      <c r="Z826">
        <v>8</v>
      </c>
      <c r="AA826">
        <v>4436.74</v>
      </c>
      <c r="AB826">
        <v>0.05</v>
      </c>
      <c r="AC826">
        <f t="shared" si="189"/>
        <v>0.05</v>
      </c>
      <c r="AD826">
        <v>33719.22</v>
      </c>
      <c r="AE826">
        <f t="shared" si="190"/>
        <v>33719.224</v>
      </c>
      <c r="AF826">
        <v>28924.43</v>
      </c>
      <c r="AG826">
        <v>4794.79</v>
      </c>
      <c r="AH826">
        <f t="shared" si="191"/>
        <v>4794.79399999999</v>
      </c>
      <c r="AI826">
        <f t="shared" si="192"/>
        <v>0.142197637762957</v>
      </c>
      <c r="AJ826" t="s">
        <v>77</v>
      </c>
      <c r="AK826" t="str">
        <f t="shared" si="193"/>
        <v>Paid</v>
      </c>
      <c r="AL826" t="s">
        <v>78</v>
      </c>
      <c r="AM826" t="str">
        <f t="shared" si="194"/>
        <v>Completed</v>
      </c>
      <c r="AN826">
        <v>3</v>
      </c>
      <c r="AO826">
        <v>2025</v>
      </c>
      <c r="AP826" t="s">
        <v>79</v>
      </c>
    </row>
    <row r="827" spans="1:42">
      <c r="A827" t="s">
        <v>3850</v>
      </c>
      <c r="B827" s="3" t="s">
        <v>3851</v>
      </c>
      <c r="C827" s="3">
        <v>45763</v>
      </c>
      <c r="D827" t="s">
        <v>3852</v>
      </c>
      <c r="E827" s="3">
        <v>45764</v>
      </c>
      <c r="F827" t="s">
        <v>3853</v>
      </c>
      <c r="G827" t="s">
        <v>123</v>
      </c>
      <c r="H827" t="str">
        <f t="shared" si="180"/>
        <v>Vikram Iyer</v>
      </c>
      <c r="I827" t="s">
        <v>85</v>
      </c>
      <c r="J827" t="str">
        <f t="shared" si="181"/>
        <v>Small Business</v>
      </c>
      <c r="K827" t="s">
        <v>8</v>
      </c>
      <c r="L827" t="str">
        <f t="shared" si="182"/>
        <v>North</v>
      </c>
      <c r="M827" t="s">
        <v>214</v>
      </c>
      <c r="N827" t="str">
        <f t="shared" si="183"/>
        <v>Uttar Pradesh</v>
      </c>
      <c r="O827" t="s">
        <v>215</v>
      </c>
      <c r="P827" t="str">
        <f t="shared" si="184"/>
        <v>Noida</v>
      </c>
      <c r="Q827" t="s">
        <v>24</v>
      </c>
      <c r="R827" t="str">
        <f t="shared" si="185"/>
        <v>Technology</v>
      </c>
      <c r="S827" t="s">
        <v>427</v>
      </c>
      <c r="T827" t="str">
        <f t="shared" si="186"/>
        <v>Machines</v>
      </c>
      <c r="U827" t="s">
        <v>3854</v>
      </c>
      <c r="V827" t="str">
        <f t="shared" si="187"/>
        <v>Basic Machines 832</v>
      </c>
      <c r="W827" t="s">
        <v>98</v>
      </c>
      <c r="X827" t="str">
        <f t="shared" si="188"/>
        <v>First Class</v>
      </c>
      <c r="Y827">
        <v>1</v>
      </c>
      <c r="Z827">
        <v>1</v>
      </c>
      <c r="AA827">
        <v>2720.17</v>
      </c>
      <c r="AB827">
        <v>0</v>
      </c>
      <c r="AC827">
        <f t="shared" si="189"/>
        <v>0</v>
      </c>
      <c r="AD827">
        <v>2720.17</v>
      </c>
      <c r="AE827">
        <f t="shared" si="190"/>
        <v>2720.17</v>
      </c>
      <c r="AF827">
        <v>1834.23</v>
      </c>
      <c r="AG827">
        <v>885.94</v>
      </c>
      <c r="AH827">
        <f t="shared" si="191"/>
        <v>885.94</v>
      </c>
      <c r="AI827">
        <f t="shared" si="192"/>
        <v>0.32569287948915</v>
      </c>
      <c r="AJ827" t="s">
        <v>77</v>
      </c>
      <c r="AK827" t="str">
        <f t="shared" si="193"/>
        <v>Paid</v>
      </c>
      <c r="AL827" t="s">
        <v>78</v>
      </c>
      <c r="AM827" t="str">
        <f t="shared" si="194"/>
        <v>Completed</v>
      </c>
      <c r="AN827">
        <v>4</v>
      </c>
      <c r="AO827">
        <v>2025</v>
      </c>
      <c r="AP827" t="s">
        <v>79</v>
      </c>
    </row>
    <row r="828" spans="1:42">
      <c r="A828" t="s">
        <v>3855</v>
      </c>
      <c r="B828" s="3" t="s">
        <v>3162</v>
      </c>
      <c r="C828" s="3">
        <v>45879</v>
      </c>
      <c r="D828" t="s">
        <v>3856</v>
      </c>
      <c r="E828" s="3">
        <v>45883</v>
      </c>
      <c r="F828" t="s">
        <v>3857</v>
      </c>
      <c r="G828" t="s">
        <v>146</v>
      </c>
      <c r="H828" t="str">
        <f t="shared" si="180"/>
        <v>Aditi Sen</v>
      </c>
      <c r="I828" t="s">
        <v>71</v>
      </c>
      <c r="J828" t="str">
        <f t="shared" si="181"/>
        <v>Consumer</v>
      </c>
      <c r="K828" t="s">
        <v>11</v>
      </c>
      <c r="L828" t="str">
        <f t="shared" si="182"/>
        <v>West</v>
      </c>
      <c r="M828" t="s">
        <v>72</v>
      </c>
      <c r="N828" t="str">
        <f t="shared" si="183"/>
        <v>Rajasthan</v>
      </c>
      <c r="O828" t="s">
        <v>175</v>
      </c>
      <c r="P828" t="str">
        <f t="shared" si="184"/>
        <v>Udaipur</v>
      </c>
      <c r="Q828" t="s">
        <v>24</v>
      </c>
      <c r="R828" t="str">
        <f t="shared" si="185"/>
        <v>Technology</v>
      </c>
      <c r="S828" t="s">
        <v>126</v>
      </c>
      <c r="T828" t="str">
        <f t="shared" si="186"/>
        <v>Accessories</v>
      </c>
      <c r="U828" t="s">
        <v>3858</v>
      </c>
      <c r="V828" t="str">
        <f t="shared" si="187"/>
        <v>Elite Accessories 790</v>
      </c>
      <c r="W828" t="s">
        <v>108</v>
      </c>
      <c r="X828" t="str">
        <f t="shared" si="188"/>
        <v>Standard Class</v>
      </c>
      <c r="Y828">
        <v>4</v>
      </c>
      <c r="Z828">
        <v>5</v>
      </c>
      <c r="AA828">
        <v>2190.14</v>
      </c>
      <c r="AB828">
        <v>0.25</v>
      </c>
      <c r="AC828">
        <f t="shared" si="189"/>
        <v>0.25</v>
      </c>
      <c r="AD828">
        <v>8213.02</v>
      </c>
      <c r="AE828">
        <f t="shared" si="190"/>
        <v>8213.025</v>
      </c>
      <c r="AF828">
        <v>5569.3</v>
      </c>
      <c r="AG828">
        <v>2643.72</v>
      </c>
      <c r="AH828">
        <f t="shared" si="191"/>
        <v>2643.725</v>
      </c>
      <c r="AI828">
        <f t="shared" si="192"/>
        <v>0.321894186368603</v>
      </c>
      <c r="AJ828" t="s">
        <v>77</v>
      </c>
      <c r="AK828" t="str">
        <f t="shared" si="193"/>
        <v>Paid</v>
      </c>
      <c r="AL828" t="s">
        <v>78</v>
      </c>
      <c r="AM828" t="str">
        <f t="shared" si="194"/>
        <v>Completed</v>
      </c>
      <c r="AN828">
        <v>8</v>
      </c>
      <c r="AO828">
        <v>2025</v>
      </c>
      <c r="AP828" t="s">
        <v>79</v>
      </c>
    </row>
    <row r="829" spans="1:42">
      <c r="A829" t="s">
        <v>3859</v>
      </c>
      <c r="B829" s="3" t="s">
        <v>3860</v>
      </c>
      <c r="C829" s="3">
        <v>45620</v>
      </c>
      <c r="D829" t="s">
        <v>1804</v>
      </c>
      <c r="E829" s="3">
        <v>45627</v>
      </c>
      <c r="F829" t="s">
        <v>3861</v>
      </c>
      <c r="G829" t="s">
        <v>182</v>
      </c>
      <c r="H829" t="str">
        <f t="shared" si="180"/>
        <v>Priya Menon</v>
      </c>
      <c r="I829" t="s">
        <v>154</v>
      </c>
      <c r="J829" t="str">
        <f t="shared" si="181"/>
        <v>Home Office</v>
      </c>
      <c r="K829" t="s">
        <v>10</v>
      </c>
      <c r="L829" t="str">
        <f t="shared" si="182"/>
        <v>South</v>
      </c>
      <c r="M829" t="s">
        <v>382</v>
      </c>
      <c r="N829" t="str">
        <f t="shared" si="183"/>
        <v>Tamil Nadu</v>
      </c>
      <c r="O829" t="s">
        <v>383</v>
      </c>
      <c r="P829" t="str">
        <f t="shared" si="184"/>
        <v>Chennai</v>
      </c>
      <c r="Q829" t="s">
        <v>22</v>
      </c>
      <c r="R829" t="str">
        <f t="shared" si="185"/>
        <v>Office Supplies</v>
      </c>
      <c r="S829" t="s">
        <v>74</v>
      </c>
      <c r="T829" t="str">
        <f t="shared" si="186"/>
        <v>Paper</v>
      </c>
      <c r="U829" t="s">
        <v>3862</v>
      </c>
      <c r="V829" t="str">
        <f t="shared" si="187"/>
        <v>Basic Paper 707</v>
      </c>
      <c r="W829" t="s">
        <v>90</v>
      </c>
      <c r="X829" t="str">
        <f t="shared" si="188"/>
        <v>Same Day</v>
      </c>
      <c r="Y829">
        <v>7</v>
      </c>
      <c r="Z829">
        <v>1</v>
      </c>
      <c r="AA829">
        <v>844.89</v>
      </c>
      <c r="AB829">
        <v>0.25</v>
      </c>
      <c r="AC829">
        <f t="shared" si="189"/>
        <v>0.25</v>
      </c>
      <c r="AD829">
        <v>633.67</v>
      </c>
      <c r="AE829">
        <f t="shared" si="190"/>
        <v>633.6675</v>
      </c>
      <c r="AF829">
        <v>520.47</v>
      </c>
      <c r="AG829">
        <v>113.2</v>
      </c>
      <c r="AH829">
        <f t="shared" si="191"/>
        <v>113.1975</v>
      </c>
      <c r="AI829">
        <f t="shared" si="192"/>
        <v>0.178638639349501</v>
      </c>
      <c r="AJ829" t="s">
        <v>77</v>
      </c>
      <c r="AK829" t="str">
        <f t="shared" si="193"/>
        <v>Paid</v>
      </c>
      <c r="AL829" t="s">
        <v>118</v>
      </c>
      <c r="AM829" t="str">
        <f t="shared" si="194"/>
        <v>Cancelled</v>
      </c>
      <c r="AN829">
        <v>11</v>
      </c>
      <c r="AO829">
        <v>2024</v>
      </c>
      <c r="AP829" t="s">
        <v>79</v>
      </c>
    </row>
    <row r="830" spans="1:42">
      <c r="A830" t="s">
        <v>3863</v>
      </c>
      <c r="B830" s="3" t="s">
        <v>3864</v>
      </c>
      <c r="C830" s="3">
        <v>45940</v>
      </c>
      <c r="D830" t="s">
        <v>3865</v>
      </c>
      <c r="E830" s="3">
        <v>45941</v>
      </c>
      <c r="F830" t="s">
        <v>3866</v>
      </c>
      <c r="G830" t="s">
        <v>3867</v>
      </c>
      <c r="H830" t="str">
        <f t="shared" si="180"/>
        <v>Karan Malhotra</v>
      </c>
      <c r="I830" t="s">
        <v>147</v>
      </c>
      <c r="J830" t="str">
        <f t="shared" si="181"/>
        <v>Corporate</v>
      </c>
      <c r="K830" t="s">
        <v>7</v>
      </c>
      <c r="L830" t="str">
        <f t="shared" si="182"/>
        <v>East</v>
      </c>
      <c r="M830" t="s">
        <v>86</v>
      </c>
      <c r="N830" t="str">
        <f t="shared" si="183"/>
        <v>Odisha</v>
      </c>
      <c r="O830" t="s">
        <v>87</v>
      </c>
      <c r="P830" t="str">
        <f t="shared" si="184"/>
        <v>Bhubaneswar</v>
      </c>
      <c r="Q830" t="s">
        <v>19</v>
      </c>
      <c r="R830" t="str">
        <f t="shared" si="185"/>
        <v>Furniture</v>
      </c>
      <c r="S830" t="s">
        <v>116</v>
      </c>
      <c r="T830" t="str">
        <f t="shared" si="186"/>
        <v>Chairs</v>
      </c>
      <c r="U830" t="s">
        <v>3868</v>
      </c>
      <c r="V830" t="str">
        <f t="shared" si="187"/>
        <v>Elite Chairs 979</v>
      </c>
      <c r="W830" t="s">
        <v>76</v>
      </c>
      <c r="X830" t="str">
        <f t="shared" si="188"/>
        <v>Second Class</v>
      </c>
      <c r="Y830">
        <v>1</v>
      </c>
      <c r="Z830">
        <v>7</v>
      </c>
      <c r="AA830">
        <v>3791.96</v>
      </c>
      <c r="AB830">
        <v>0.05</v>
      </c>
      <c r="AC830">
        <f t="shared" si="189"/>
        <v>0.05</v>
      </c>
      <c r="AD830">
        <v>25216.53</v>
      </c>
      <c r="AE830">
        <f t="shared" si="190"/>
        <v>25216.534</v>
      </c>
      <c r="AF830">
        <v>14216.94</v>
      </c>
      <c r="AG830">
        <v>10999.59</v>
      </c>
      <c r="AH830">
        <f t="shared" si="191"/>
        <v>10999.594</v>
      </c>
      <c r="AI830">
        <f t="shared" si="192"/>
        <v>0.436205626038852</v>
      </c>
      <c r="AJ830" t="s">
        <v>241</v>
      </c>
      <c r="AK830" t="str">
        <f t="shared" si="193"/>
        <v>Failed</v>
      </c>
      <c r="AL830" t="s">
        <v>118</v>
      </c>
      <c r="AM830" t="str">
        <f t="shared" si="194"/>
        <v>Cancelled</v>
      </c>
      <c r="AN830">
        <v>10</v>
      </c>
      <c r="AO830">
        <v>2025</v>
      </c>
      <c r="AP830" t="s">
        <v>79</v>
      </c>
    </row>
    <row r="831" spans="1:42">
      <c r="A831" t="s">
        <v>3869</v>
      </c>
      <c r="B831" s="3" t="s">
        <v>3870</v>
      </c>
      <c r="C831" s="3">
        <v>45348</v>
      </c>
      <c r="D831" t="s">
        <v>1528</v>
      </c>
      <c r="E831" s="3">
        <v>45350</v>
      </c>
      <c r="F831" t="s">
        <v>3871</v>
      </c>
      <c r="G831" t="s">
        <v>146</v>
      </c>
      <c r="H831" t="str">
        <f t="shared" si="180"/>
        <v>Aditi Sen</v>
      </c>
      <c r="I831" t="s">
        <v>85</v>
      </c>
      <c r="J831" t="str">
        <f t="shared" si="181"/>
        <v>Small Business</v>
      </c>
      <c r="K831" t="s">
        <v>11</v>
      </c>
      <c r="L831" t="str">
        <f t="shared" si="182"/>
        <v>West</v>
      </c>
      <c r="M831" t="s">
        <v>292</v>
      </c>
      <c r="N831" t="str">
        <f t="shared" si="183"/>
        <v>Goa</v>
      </c>
      <c r="O831" t="s">
        <v>293</v>
      </c>
      <c r="P831" t="str">
        <f t="shared" si="184"/>
        <v>Panaji</v>
      </c>
      <c r="Q831" t="s">
        <v>19</v>
      </c>
      <c r="R831" t="str">
        <f t="shared" si="185"/>
        <v>Furniture</v>
      </c>
      <c r="S831" t="s">
        <v>106</v>
      </c>
      <c r="T831" t="str">
        <f t="shared" si="186"/>
        <v>Furnishings</v>
      </c>
      <c r="U831" t="s">
        <v>3872</v>
      </c>
      <c r="V831" t="str">
        <f t="shared" si="187"/>
        <v>Pro Furnishings 192</v>
      </c>
      <c r="W831" t="s">
        <v>76</v>
      </c>
      <c r="X831" t="str">
        <f t="shared" si="188"/>
        <v>Second Class</v>
      </c>
      <c r="Y831">
        <v>2</v>
      </c>
      <c r="Z831">
        <v>7</v>
      </c>
      <c r="AA831">
        <v>1035.14</v>
      </c>
      <c r="AB831">
        <v>0.1</v>
      </c>
      <c r="AC831">
        <f t="shared" si="189"/>
        <v>0.1</v>
      </c>
      <c r="AD831">
        <v>6521.38</v>
      </c>
      <c r="AE831">
        <f t="shared" si="190"/>
        <v>6521.382</v>
      </c>
      <c r="AF831">
        <v>4511.1</v>
      </c>
      <c r="AG831">
        <v>2010.28</v>
      </c>
      <c r="AH831">
        <f t="shared" si="191"/>
        <v>2010.282</v>
      </c>
      <c r="AI831">
        <f t="shared" si="192"/>
        <v>0.308260120324189</v>
      </c>
      <c r="AJ831" t="s">
        <v>77</v>
      </c>
      <c r="AK831" t="str">
        <f t="shared" si="193"/>
        <v>Paid</v>
      </c>
      <c r="AL831" t="s">
        <v>78</v>
      </c>
      <c r="AM831" t="str">
        <f t="shared" si="194"/>
        <v>Completed</v>
      </c>
      <c r="AN831">
        <v>2</v>
      </c>
      <c r="AO831">
        <v>2024</v>
      </c>
      <c r="AP831" t="s">
        <v>79</v>
      </c>
    </row>
    <row r="832" spans="1:42">
      <c r="A832" t="s">
        <v>3873</v>
      </c>
      <c r="B832" s="3" t="s">
        <v>2967</v>
      </c>
      <c r="C832" s="3">
        <v>45853</v>
      </c>
      <c r="D832" t="s">
        <v>770</v>
      </c>
      <c r="E832" s="3">
        <v>45856</v>
      </c>
      <c r="F832" t="s">
        <v>3874</v>
      </c>
      <c r="G832" t="s">
        <v>146</v>
      </c>
      <c r="H832" t="str">
        <f t="shared" si="180"/>
        <v>Aditi Sen</v>
      </c>
      <c r="I832" t="s">
        <v>85</v>
      </c>
      <c r="J832" t="str">
        <f t="shared" si="181"/>
        <v>Small Business</v>
      </c>
      <c r="L832" t="str">
        <f t="shared" si="182"/>
        <v/>
      </c>
      <c r="M832" t="s">
        <v>382</v>
      </c>
      <c r="N832" t="str">
        <f t="shared" si="183"/>
        <v>Tamil Nadu</v>
      </c>
      <c r="O832" t="s">
        <v>383</v>
      </c>
      <c r="P832" t="str">
        <f t="shared" si="184"/>
        <v>Chennai</v>
      </c>
      <c r="Q832" t="s">
        <v>24</v>
      </c>
      <c r="R832" t="str">
        <f t="shared" si="185"/>
        <v>Technology</v>
      </c>
      <c r="S832" t="s">
        <v>427</v>
      </c>
      <c r="T832" t="str">
        <f t="shared" si="186"/>
        <v>Machines</v>
      </c>
      <c r="U832" t="s">
        <v>3875</v>
      </c>
      <c r="V832" t="str">
        <f t="shared" si="187"/>
        <v>Smart Machines 951</v>
      </c>
      <c r="W832" t="s">
        <v>98</v>
      </c>
      <c r="X832" t="str">
        <f t="shared" si="188"/>
        <v>First Class</v>
      </c>
      <c r="Y832">
        <v>3</v>
      </c>
      <c r="Z832">
        <v>6</v>
      </c>
      <c r="AA832">
        <v>2382.88</v>
      </c>
      <c r="AB832">
        <v>0.1</v>
      </c>
      <c r="AC832">
        <f t="shared" si="189"/>
        <v>0.1</v>
      </c>
      <c r="AD832">
        <v>12867.55</v>
      </c>
      <c r="AE832">
        <f t="shared" si="190"/>
        <v>12867.552</v>
      </c>
      <c r="AF832">
        <v>10068.94</v>
      </c>
      <c r="AG832">
        <v>2798.61</v>
      </c>
      <c r="AH832">
        <f t="shared" si="191"/>
        <v>2798.612</v>
      </c>
      <c r="AI832">
        <f t="shared" si="192"/>
        <v>0.217493739290892</v>
      </c>
      <c r="AJ832" t="s">
        <v>77</v>
      </c>
      <c r="AK832" t="str">
        <f t="shared" si="193"/>
        <v>Paid</v>
      </c>
      <c r="AL832" t="s">
        <v>78</v>
      </c>
      <c r="AM832" t="str">
        <f t="shared" si="194"/>
        <v>Completed</v>
      </c>
      <c r="AN832">
        <v>7</v>
      </c>
      <c r="AO832">
        <v>2025</v>
      </c>
      <c r="AP832" t="s">
        <v>79</v>
      </c>
    </row>
    <row r="833" spans="1:42">
      <c r="A833" t="s">
        <v>3876</v>
      </c>
      <c r="B833" s="3" t="s">
        <v>515</v>
      </c>
      <c r="C833" s="3">
        <v>45750</v>
      </c>
      <c r="D833" t="s">
        <v>3315</v>
      </c>
      <c r="E833" s="3">
        <v>45750</v>
      </c>
      <c r="F833" t="s">
        <v>3877</v>
      </c>
      <c r="G833" t="s">
        <v>251</v>
      </c>
      <c r="H833" t="str">
        <f t="shared" si="180"/>
        <v>Diya Patel</v>
      </c>
      <c r="I833" t="s">
        <v>154</v>
      </c>
      <c r="J833" t="str">
        <f t="shared" si="181"/>
        <v>Home Office</v>
      </c>
      <c r="L833" t="str">
        <f t="shared" si="182"/>
        <v/>
      </c>
      <c r="M833" t="s">
        <v>366</v>
      </c>
      <c r="N833" t="str">
        <f t="shared" si="183"/>
        <v>Haryana</v>
      </c>
      <c r="O833" t="s">
        <v>367</v>
      </c>
      <c r="P833" t="str">
        <f t="shared" si="184"/>
        <v>Gurugram</v>
      </c>
      <c r="Q833" t="s">
        <v>19</v>
      </c>
      <c r="R833" t="str">
        <f t="shared" si="185"/>
        <v>Furniture</v>
      </c>
      <c r="S833" t="s">
        <v>116</v>
      </c>
      <c r="T833" t="str">
        <f t="shared" si="186"/>
        <v>Chairs</v>
      </c>
      <c r="U833" t="s">
        <v>3878</v>
      </c>
      <c r="V833" t="str">
        <f t="shared" si="187"/>
        <v>Smart Chairs 794</v>
      </c>
      <c r="W833" t="s">
        <v>98</v>
      </c>
      <c r="X833" t="str">
        <f t="shared" si="188"/>
        <v>First Class</v>
      </c>
      <c r="Y833">
        <v>0</v>
      </c>
      <c r="Z833">
        <v>9</v>
      </c>
      <c r="AA833">
        <v>3462.7</v>
      </c>
      <c r="AB833">
        <v>0.15</v>
      </c>
      <c r="AC833">
        <f t="shared" si="189"/>
        <v>0.15</v>
      </c>
      <c r="AD833">
        <v>26489.65</v>
      </c>
      <c r="AE833">
        <f t="shared" si="190"/>
        <v>26489.655</v>
      </c>
      <c r="AF833">
        <v>15818.46</v>
      </c>
      <c r="AG833">
        <v>10671.19</v>
      </c>
      <c r="AH833">
        <f t="shared" si="191"/>
        <v>10671.195</v>
      </c>
      <c r="AI833">
        <f t="shared" si="192"/>
        <v>0.402843864897448</v>
      </c>
      <c r="AJ833" t="s">
        <v>241</v>
      </c>
      <c r="AK833" t="str">
        <f t="shared" si="193"/>
        <v>Failed</v>
      </c>
      <c r="AL833" t="s">
        <v>164</v>
      </c>
      <c r="AM833" t="str">
        <f t="shared" si="194"/>
        <v>Returned</v>
      </c>
      <c r="AN833">
        <v>4</v>
      </c>
      <c r="AO833">
        <v>2025</v>
      </c>
      <c r="AP833" t="s">
        <v>79</v>
      </c>
    </row>
    <row r="834" spans="1:42">
      <c r="A834" t="s">
        <v>3879</v>
      </c>
      <c r="B834" s="3" t="s">
        <v>3880</v>
      </c>
      <c r="C834" s="3">
        <v>45803</v>
      </c>
      <c r="D834" t="s">
        <v>3881</v>
      </c>
      <c r="E834" s="3">
        <v>45805</v>
      </c>
      <c r="F834" t="s">
        <v>3882</v>
      </c>
      <c r="G834" t="s">
        <v>411</v>
      </c>
      <c r="H834" t="str">
        <f t="shared" ref="H834:H897" si="195">PROPER(TRIM(G834))</f>
        <v>Kabir Singh</v>
      </c>
      <c r="I834" t="s">
        <v>85</v>
      </c>
      <c r="J834" t="str">
        <f t="shared" ref="J834:J897" si="196">PROPER(TRIM(I834))</f>
        <v>Small Business</v>
      </c>
      <c r="K834" t="s">
        <v>10</v>
      </c>
      <c r="L834" t="str">
        <f t="shared" ref="L834:L897" si="197">PROPER(TRIM(K834))</f>
        <v>South</v>
      </c>
      <c r="M834" t="s">
        <v>139</v>
      </c>
      <c r="N834" t="str">
        <f t="shared" ref="N834:N897" si="198">PROPER(TRIM(M834))</f>
        <v>Andhra Pradesh</v>
      </c>
      <c r="O834" t="s">
        <v>140</v>
      </c>
      <c r="P834" t="str">
        <f t="shared" ref="P834:P897" si="199">PROPER(TRIM(O834))</f>
        <v>Vijayawada</v>
      </c>
      <c r="Q834" t="s">
        <v>24</v>
      </c>
      <c r="R834" t="str">
        <f t="shared" ref="R834:R897" si="200">PROPER(TRIM(Q834))</f>
        <v>Technology</v>
      </c>
      <c r="S834" t="s">
        <v>265</v>
      </c>
      <c r="T834" t="str">
        <f t="shared" ref="T834:T897" si="201">PROPER(TRIM(S834))</f>
        <v>Phones</v>
      </c>
      <c r="U834" t="s">
        <v>3883</v>
      </c>
      <c r="V834" t="str">
        <f t="shared" ref="V834:V897" si="202">PROPER(TRIM(U834))</f>
        <v>Max Phones 919</v>
      </c>
      <c r="W834" t="s">
        <v>76</v>
      </c>
      <c r="X834" t="str">
        <f t="shared" ref="X834:X897" si="203">PROPER(TRIM(W834))</f>
        <v>Second Class</v>
      </c>
      <c r="Y834">
        <v>2</v>
      </c>
      <c r="Z834">
        <v>9</v>
      </c>
      <c r="AA834">
        <v>4302.02</v>
      </c>
      <c r="AB834">
        <v>0.05</v>
      </c>
      <c r="AC834">
        <f t="shared" ref="AC834:AC897" si="204">IF(OR(AB834="",AB834&lt;0),0,AB834)</f>
        <v>0.05</v>
      </c>
      <c r="AD834">
        <v>36782.27</v>
      </c>
      <c r="AE834">
        <f t="shared" ref="AE834:AE897" si="205">Z834*AA834*(1-AC834)</f>
        <v>36782.271</v>
      </c>
      <c r="AF834">
        <v>25902.81</v>
      </c>
      <c r="AG834">
        <v>10879.46</v>
      </c>
      <c r="AH834">
        <f t="shared" ref="AH834:AH897" si="206">AE834-AF834</f>
        <v>10879.461</v>
      </c>
      <c r="AI834">
        <f t="shared" ref="AI834:AI897" si="207">AH834/AE834</f>
        <v>0.295780024022987</v>
      </c>
      <c r="AJ834" t="s">
        <v>77</v>
      </c>
      <c r="AK834" t="str">
        <f t="shared" ref="AK834:AK897" si="208">PROPER(TRIM(AJ834))</f>
        <v>Paid</v>
      </c>
      <c r="AL834" t="s">
        <v>78</v>
      </c>
      <c r="AM834" t="str">
        <f t="shared" ref="AM834:AM897" si="209">PROPER(TRIM(AL834))</f>
        <v>Completed</v>
      </c>
      <c r="AN834">
        <v>5</v>
      </c>
      <c r="AO834">
        <v>2025</v>
      </c>
      <c r="AP834" t="s">
        <v>79</v>
      </c>
    </row>
    <row r="835" spans="1:42">
      <c r="A835" t="s">
        <v>3884</v>
      </c>
      <c r="B835" s="3" t="s">
        <v>3885</v>
      </c>
      <c r="C835" s="3">
        <v>45447</v>
      </c>
      <c r="D835" t="s">
        <v>3886</v>
      </c>
      <c r="E835" s="3">
        <v>45447</v>
      </c>
      <c r="F835" t="s">
        <v>3887</v>
      </c>
      <c r="G835" t="s">
        <v>188</v>
      </c>
      <c r="H835" t="str">
        <f t="shared" si="195"/>
        <v>Rahul Verma</v>
      </c>
      <c r="I835" t="s">
        <v>154</v>
      </c>
      <c r="J835" t="str">
        <f t="shared" si="196"/>
        <v>Home Office</v>
      </c>
      <c r="K835" t="s">
        <v>7</v>
      </c>
      <c r="L835" t="str">
        <f t="shared" si="197"/>
        <v>East</v>
      </c>
      <c r="M835" t="s">
        <v>160</v>
      </c>
      <c r="N835" t="str">
        <f t="shared" si="198"/>
        <v>West Bengal</v>
      </c>
      <c r="O835" t="s">
        <v>161</v>
      </c>
      <c r="P835" t="str">
        <f t="shared" si="199"/>
        <v>Kolkata</v>
      </c>
      <c r="Q835" t="s">
        <v>19</v>
      </c>
      <c r="R835" t="str">
        <f t="shared" si="200"/>
        <v>Furniture</v>
      </c>
      <c r="S835" t="s">
        <v>245</v>
      </c>
      <c r="T835" t="str">
        <f t="shared" si="201"/>
        <v>Bookcases</v>
      </c>
      <c r="U835" t="s">
        <v>3888</v>
      </c>
      <c r="V835" t="str">
        <f t="shared" si="202"/>
        <v>Basic Bookcases 499</v>
      </c>
      <c r="W835" t="s">
        <v>98</v>
      </c>
      <c r="X835" t="str">
        <f t="shared" si="203"/>
        <v>First Class</v>
      </c>
      <c r="Y835">
        <v>0</v>
      </c>
      <c r="Z835">
        <v>6</v>
      </c>
      <c r="AA835">
        <v>3949.4</v>
      </c>
      <c r="AB835">
        <v>0</v>
      </c>
      <c r="AC835">
        <f t="shared" si="204"/>
        <v>0</v>
      </c>
      <c r="AD835">
        <v>23696.4</v>
      </c>
      <c r="AE835">
        <f t="shared" si="205"/>
        <v>23696.4</v>
      </c>
      <c r="AF835">
        <v>18109.77</v>
      </c>
      <c r="AG835">
        <v>5586.63</v>
      </c>
      <c r="AH835">
        <f t="shared" si="206"/>
        <v>5586.63</v>
      </c>
      <c r="AI835">
        <f t="shared" si="207"/>
        <v>0.235758596242467</v>
      </c>
      <c r="AJ835" t="s">
        <v>77</v>
      </c>
      <c r="AK835" t="str">
        <f t="shared" si="208"/>
        <v>Paid</v>
      </c>
      <c r="AL835" t="s">
        <v>78</v>
      </c>
      <c r="AM835" t="str">
        <f t="shared" si="209"/>
        <v>Completed</v>
      </c>
      <c r="AN835">
        <v>6</v>
      </c>
      <c r="AO835">
        <v>2024</v>
      </c>
      <c r="AP835" t="s">
        <v>79</v>
      </c>
    </row>
    <row r="836" spans="1:42">
      <c r="A836" t="s">
        <v>3889</v>
      </c>
      <c r="B836" s="3" t="s">
        <v>276</v>
      </c>
      <c r="C836" s="3">
        <v>45583</v>
      </c>
      <c r="D836" t="s">
        <v>3890</v>
      </c>
      <c r="E836" s="3">
        <v>45587</v>
      </c>
      <c r="F836" t="s">
        <v>3891</v>
      </c>
      <c r="G836" t="s">
        <v>202</v>
      </c>
      <c r="H836" t="str">
        <f t="shared" si="195"/>
        <v>Aarav Sharma</v>
      </c>
      <c r="I836" t="s">
        <v>154</v>
      </c>
      <c r="J836" t="str">
        <f t="shared" si="196"/>
        <v>Home Office</v>
      </c>
      <c r="K836" t="s">
        <v>10</v>
      </c>
      <c r="L836" t="str">
        <f t="shared" si="197"/>
        <v>South</v>
      </c>
      <c r="M836" t="s">
        <v>104</v>
      </c>
      <c r="N836" t="str">
        <f t="shared" si="198"/>
        <v>Telangana</v>
      </c>
      <c r="O836" t="s">
        <v>105</v>
      </c>
      <c r="P836" t="str">
        <f t="shared" si="199"/>
        <v>Hyderabad</v>
      </c>
      <c r="Q836" t="s">
        <v>22</v>
      </c>
      <c r="R836" t="str">
        <f t="shared" si="200"/>
        <v>Office Supplies</v>
      </c>
      <c r="S836" t="s">
        <v>96</v>
      </c>
      <c r="T836" t="str">
        <f t="shared" si="201"/>
        <v>Art</v>
      </c>
      <c r="U836" t="s">
        <v>3892</v>
      </c>
      <c r="V836" t="str">
        <f t="shared" si="202"/>
        <v>Basic Art 143</v>
      </c>
      <c r="W836" t="s">
        <v>98</v>
      </c>
      <c r="X836" t="str">
        <f t="shared" si="203"/>
        <v>First Class</v>
      </c>
      <c r="Y836">
        <v>4</v>
      </c>
      <c r="Z836">
        <v>6</v>
      </c>
      <c r="AA836">
        <v>674.61</v>
      </c>
      <c r="AB836">
        <v>0</v>
      </c>
      <c r="AC836">
        <f t="shared" si="204"/>
        <v>0</v>
      </c>
      <c r="AD836">
        <v>4047.66</v>
      </c>
      <c r="AE836">
        <f t="shared" si="205"/>
        <v>4047.66</v>
      </c>
      <c r="AF836">
        <v>3078.93</v>
      </c>
      <c r="AG836">
        <v>1279.79</v>
      </c>
      <c r="AH836">
        <f t="shared" si="206"/>
        <v>968.73</v>
      </c>
      <c r="AI836">
        <f t="shared" si="207"/>
        <v>0.239330872652347</v>
      </c>
      <c r="AJ836" t="s">
        <v>77</v>
      </c>
      <c r="AK836" t="str">
        <f t="shared" si="208"/>
        <v>Paid</v>
      </c>
      <c r="AL836" t="s">
        <v>78</v>
      </c>
      <c r="AM836" t="str">
        <f t="shared" si="209"/>
        <v>Completed</v>
      </c>
      <c r="AN836">
        <v>10</v>
      </c>
      <c r="AO836">
        <v>2024</v>
      </c>
      <c r="AP836" t="s">
        <v>79</v>
      </c>
    </row>
    <row r="837" spans="1:42">
      <c r="A837" t="s">
        <v>3893</v>
      </c>
      <c r="B837" s="3" t="s">
        <v>2808</v>
      </c>
      <c r="C837" s="3">
        <v>45926</v>
      </c>
      <c r="D837" t="s">
        <v>1005</v>
      </c>
      <c r="E837" s="3">
        <v>45934</v>
      </c>
      <c r="F837" t="s">
        <v>3894</v>
      </c>
      <c r="G837" t="s">
        <v>182</v>
      </c>
      <c r="H837" t="str">
        <f t="shared" si="195"/>
        <v>Priya Menon</v>
      </c>
      <c r="I837" t="s">
        <v>85</v>
      </c>
      <c r="J837" t="str">
        <f t="shared" si="196"/>
        <v>Small Business</v>
      </c>
      <c r="K837" t="s">
        <v>7</v>
      </c>
      <c r="L837" t="str">
        <f t="shared" si="197"/>
        <v>East</v>
      </c>
      <c r="M837" t="s">
        <v>258</v>
      </c>
      <c r="N837" t="str">
        <f t="shared" si="198"/>
        <v>Assam</v>
      </c>
      <c r="O837" t="s">
        <v>259</v>
      </c>
      <c r="P837" t="str">
        <f t="shared" si="199"/>
        <v>Guwahati</v>
      </c>
      <c r="Q837" t="s">
        <v>24</v>
      </c>
      <c r="R837" t="str">
        <f t="shared" si="200"/>
        <v>Technology</v>
      </c>
      <c r="S837" t="s">
        <v>265</v>
      </c>
      <c r="T837" t="str">
        <f t="shared" si="201"/>
        <v>Phones</v>
      </c>
      <c r="U837" t="s">
        <v>3895</v>
      </c>
      <c r="V837" t="str">
        <f t="shared" si="202"/>
        <v>Prime Phones 338</v>
      </c>
      <c r="W837" t="s">
        <v>76</v>
      </c>
      <c r="X837" t="str">
        <f t="shared" si="203"/>
        <v>Second Class</v>
      </c>
      <c r="Y837">
        <v>8</v>
      </c>
      <c r="Z837">
        <v>7</v>
      </c>
      <c r="AA837">
        <v>1509.59</v>
      </c>
      <c r="AB837">
        <v>0.05</v>
      </c>
      <c r="AC837">
        <f t="shared" si="204"/>
        <v>0.05</v>
      </c>
      <c r="AD837">
        <v>10038.77</v>
      </c>
      <c r="AE837">
        <f t="shared" si="205"/>
        <v>10038.7735</v>
      </c>
      <c r="AF837">
        <v>5673.1</v>
      </c>
      <c r="AG837">
        <v>4365.67</v>
      </c>
      <c r="AH837">
        <f t="shared" si="206"/>
        <v>4365.6735</v>
      </c>
      <c r="AI837">
        <f t="shared" si="207"/>
        <v>0.434881163520623</v>
      </c>
      <c r="AJ837" t="s">
        <v>77</v>
      </c>
      <c r="AK837" t="str">
        <f t="shared" si="208"/>
        <v>Paid</v>
      </c>
      <c r="AL837" t="s">
        <v>78</v>
      </c>
      <c r="AM837" t="str">
        <f t="shared" si="209"/>
        <v>Completed</v>
      </c>
      <c r="AN837">
        <v>9</v>
      </c>
      <c r="AO837">
        <v>2025</v>
      </c>
      <c r="AP837" t="s">
        <v>79</v>
      </c>
    </row>
    <row r="838" spans="1:42">
      <c r="A838" t="s">
        <v>3896</v>
      </c>
      <c r="B838" s="3" t="s">
        <v>2518</v>
      </c>
      <c r="C838" s="3">
        <v>45641</v>
      </c>
      <c r="D838" t="s">
        <v>3897</v>
      </c>
      <c r="E838" s="3">
        <v>45644</v>
      </c>
      <c r="F838" t="s">
        <v>3898</v>
      </c>
      <c r="G838" t="s">
        <v>95</v>
      </c>
      <c r="H838" t="str">
        <f t="shared" si="195"/>
        <v>Isha Nair</v>
      </c>
      <c r="I838" t="s">
        <v>85</v>
      </c>
      <c r="J838" t="str">
        <f t="shared" si="196"/>
        <v>Small Business</v>
      </c>
      <c r="K838" t="s">
        <v>8</v>
      </c>
      <c r="L838" t="str">
        <f t="shared" si="197"/>
        <v>North</v>
      </c>
      <c r="M838" t="s">
        <v>72</v>
      </c>
      <c r="N838" t="str">
        <f t="shared" si="198"/>
        <v>Rajasthan</v>
      </c>
      <c r="O838" t="s">
        <v>73</v>
      </c>
      <c r="P838" t="str">
        <f t="shared" si="199"/>
        <v>Jaipur</v>
      </c>
      <c r="Q838" t="s">
        <v>22</v>
      </c>
      <c r="R838" t="str">
        <f t="shared" si="200"/>
        <v>Office Supplies</v>
      </c>
      <c r="S838" t="s">
        <v>148</v>
      </c>
      <c r="T838" t="str">
        <f t="shared" si="201"/>
        <v>Labels</v>
      </c>
      <c r="U838" t="s">
        <v>3899</v>
      </c>
      <c r="V838" t="str">
        <f t="shared" si="202"/>
        <v>Smart Labels 814</v>
      </c>
      <c r="W838" t="s">
        <v>76</v>
      </c>
      <c r="X838" t="str">
        <f t="shared" si="203"/>
        <v>Second Class</v>
      </c>
      <c r="Y838">
        <v>3</v>
      </c>
      <c r="Z838">
        <v>2</v>
      </c>
      <c r="AA838">
        <v>537.11</v>
      </c>
      <c r="AB838">
        <v>0</v>
      </c>
      <c r="AC838">
        <f t="shared" si="204"/>
        <v>0</v>
      </c>
      <c r="AD838">
        <v>1074.22</v>
      </c>
      <c r="AE838">
        <f t="shared" si="205"/>
        <v>1074.22</v>
      </c>
      <c r="AF838">
        <v>850.86</v>
      </c>
      <c r="AG838">
        <v>223.36</v>
      </c>
      <c r="AH838">
        <f t="shared" si="206"/>
        <v>223.36</v>
      </c>
      <c r="AI838">
        <f t="shared" si="207"/>
        <v>0.207927612593324</v>
      </c>
      <c r="AJ838" t="s">
        <v>77</v>
      </c>
      <c r="AK838" t="str">
        <f t="shared" si="208"/>
        <v>Paid</v>
      </c>
      <c r="AL838" t="s">
        <v>78</v>
      </c>
      <c r="AM838" t="str">
        <f t="shared" si="209"/>
        <v>Completed</v>
      </c>
      <c r="AN838">
        <v>12</v>
      </c>
      <c r="AO838">
        <v>2024</v>
      </c>
      <c r="AP838" t="s">
        <v>79</v>
      </c>
    </row>
    <row r="839" spans="1:42">
      <c r="A839" t="s">
        <v>3900</v>
      </c>
      <c r="B839" s="3" t="s">
        <v>544</v>
      </c>
      <c r="C839" s="3">
        <v>45927</v>
      </c>
      <c r="D839" t="s">
        <v>3901</v>
      </c>
      <c r="E839" s="3">
        <v>45928</v>
      </c>
      <c r="F839" t="s">
        <v>3902</v>
      </c>
      <c r="G839" t="s">
        <v>70</v>
      </c>
      <c r="H839" t="str">
        <f t="shared" si="195"/>
        <v>Karan Malhotra</v>
      </c>
      <c r="I839" t="s">
        <v>154</v>
      </c>
      <c r="J839" t="str">
        <f t="shared" si="196"/>
        <v>Home Office</v>
      </c>
      <c r="K839" t="s">
        <v>11</v>
      </c>
      <c r="L839" t="str">
        <f t="shared" si="197"/>
        <v>West</v>
      </c>
      <c r="M839" t="s">
        <v>114</v>
      </c>
      <c r="N839" t="str">
        <f t="shared" si="198"/>
        <v>Maharashtra</v>
      </c>
      <c r="O839" t="s">
        <v>115</v>
      </c>
      <c r="P839" t="str">
        <f t="shared" si="199"/>
        <v>Mumbai</v>
      </c>
      <c r="Q839" t="s">
        <v>22</v>
      </c>
      <c r="R839" t="str">
        <f t="shared" si="200"/>
        <v>Office Supplies</v>
      </c>
      <c r="S839" t="s">
        <v>74</v>
      </c>
      <c r="T839" t="str">
        <f t="shared" si="201"/>
        <v>Paper</v>
      </c>
      <c r="U839" t="s">
        <v>3903</v>
      </c>
      <c r="V839" t="str">
        <f t="shared" si="202"/>
        <v>Prime Paper 812</v>
      </c>
      <c r="W839" t="s">
        <v>98</v>
      </c>
      <c r="X839" t="str">
        <f t="shared" si="203"/>
        <v>First Class</v>
      </c>
      <c r="Y839">
        <v>1</v>
      </c>
      <c r="Z839">
        <v>3</v>
      </c>
      <c r="AA839">
        <v>4177.63</v>
      </c>
      <c r="AB839">
        <v>0.25</v>
      </c>
      <c r="AC839">
        <f t="shared" si="204"/>
        <v>0.25</v>
      </c>
      <c r="AD839">
        <v>9399.67</v>
      </c>
      <c r="AE839">
        <f t="shared" si="205"/>
        <v>9399.6675</v>
      </c>
      <c r="AF839">
        <v>6540.37</v>
      </c>
      <c r="AG839">
        <v>2859.3</v>
      </c>
      <c r="AH839">
        <f t="shared" si="206"/>
        <v>2859.2975</v>
      </c>
      <c r="AI839">
        <f t="shared" si="207"/>
        <v>0.304191345066195</v>
      </c>
      <c r="AJ839" t="s">
        <v>77</v>
      </c>
      <c r="AK839" t="str">
        <f t="shared" si="208"/>
        <v>Paid</v>
      </c>
      <c r="AL839" t="s">
        <v>78</v>
      </c>
      <c r="AM839" t="str">
        <f t="shared" si="209"/>
        <v>Completed</v>
      </c>
      <c r="AN839">
        <v>9</v>
      </c>
      <c r="AO839">
        <v>2025</v>
      </c>
      <c r="AP839" t="s">
        <v>79</v>
      </c>
    </row>
    <row r="840" spans="1:42">
      <c r="A840" t="s">
        <v>3904</v>
      </c>
      <c r="B840" s="3" t="s">
        <v>515</v>
      </c>
      <c r="C840" s="3">
        <v>45750</v>
      </c>
      <c r="D840" t="s">
        <v>3905</v>
      </c>
      <c r="E840" s="3">
        <v>45754</v>
      </c>
      <c r="F840" t="s">
        <v>3906</v>
      </c>
      <c r="G840" t="s">
        <v>113</v>
      </c>
      <c r="H840" t="str">
        <f t="shared" si="195"/>
        <v>Ananya Rao</v>
      </c>
      <c r="I840" t="s">
        <v>85</v>
      </c>
      <c r="J840" t="str">
        <f t="shared" si="196"/>
        <v>Small Business</v>
      </c>
      <c r="K840" t="s">
        <v>11</v>
      </c>
      <c r="L840" t="str">
        <f t="shared" si="197"/>
        <v>West</v>
      </c>
      <c r="M840" t="s">
        <v>292</v>
      </c>
      <c r="N840" t="str">
        <f t="shared" si="198"/>
        <v>Goa</v>
      </c>
      <c r="O840" t="s">
        <v>293</v>
      </c>
      <c r="P840" t="str">
        <f t="shared" si="199"/>
        <v>Panaji</v>
      </c>
      <c r="Q840" t="s">
        <v>22</v>
      </c>
      <c r="R840" t="str">
        <f t="shared" si="200"/>
        <v>Office Supplies</v>
      </c>
      <c r="S840" t="s">
        <v>74</v>
      </c>
      <c r="T840" t="str">
        <f t="shared" si="201"/>
        <v>Paper</v>
      </c>
      <c r="U840" t="s">
        <v>3907</v>
      </c>
      <c r="V840" t="str">
        <f t="shared" si="202"/>
        <v>Pro Paper 355</v>
      </c>
      <c r="W840" t="s">
        <v>90</v>
      </c>
      <c r="X840" t="str">
        <f t="shared" si="203"/>
        <v>Same Day</v>
      </c>
      <c r="Y840">
        <v>4</v>
      </c>
      <c r="Z840">
        <v>1</v>
      </c>
      <c r="AA840">
        <v>1470.57</v>
      </c>
      <c r="AB840">
        <v>0</v>
      </c>
      <c r="AC840">
        <f t="shared" si="204"/>
        <v>0</v>
      </c>
      <c r="AD840">
        <v>1470.57</v>
      </c>
      <c r="AE840">
        <f t="shared" si="205"/>
        <v>1470.57</v>
      </c>
      <c r="AF840">
        <v>834.02</v>
      </c>
      <c r="AG840">
        <v>636.55</v>
      </c>
      <c r="AH840">
        <f t="shared" si="206"/>
        <v>636.55</v>
      </c>
      <c r="AI840">
        <f t="shared" si="207"/>
        <v>0.432859367456156</v>
      </c>
      <c r="AJ840" t="s">
        <v>77</v>
      </c>
      <c r="AK840" t="str">
        <f t="shared" si="208"/>
        <v>Paid</v>
      </c>
      <c r="AL840" t="s">
        <v>164</v>
      </c>
      <c r="AM840" t="str">
        <f t="shared" si="209"/>
        <v>Returned</v>
      </c>
      <c r="AN840">
        <v>4</v>
      </c>
      <c r="AO840">
        <v>2025</v>
      </c>
      <c r="AP840" t="s">
        <v>79</v>
      </c>
    </row>
    <row r="841" spans="1:42">
      <c r="A841" t="s">
        <v>3908</v>
      </c>
      <c r="B841" s="3" t="s">
        <v>3909</v>
      </c>
      <c r="C841" s="3">
        <v>45555</v>
      </c>
      <c r="D841" t="s">
        <v>3910</v>
      </c>
      <c r="E841" s="3">
        <v>45557</v>
      </c>
      <c r="F841" t="s">
        <v>3911</v>
      </c>
      <c r="G841" t="s">
        <v>220</v>
      </c>
      <c r="H841" t="str">
        <f t="shared" si="195"/>
        <v>Rohan Mehta</v>
      </c>
      <c r="I841" t="s">
        <v>154</v>
      </c>
      <c r="J841" t="str">
        <f t="shared" si="196"/>
        <v>Home Office</v>
      </c>
      <c r="K841" t="s">
        <v>7</v>
      </c>
      <c r="L841" t="str">
        <f t="shared" si="197"/>
        <v>East</v>
      </c>
      <c r="M841" t="s">
        <v>86</v>
      </c>
      <c r="N841" t="str">
        <f t="shared" si="198"/>
        <v>Odisha</v>
      </c>
      <c r="O841" t="s">
        <v>87</v>
      </c>
      <c r="P841" t="str">
        <f t="shared" si="199"/>
        <v>Bhubaneswar</v>
      </c>
      <c r="Q841" t="s">
        <v>24</v>
      </c>
      <c r="R841" t="str">
        <f t="shared" si="200"/>
        <v>Technology</v>
      </c>
      <c r="S841" t="s">
        <v>265</v>
      </c>
      <c r="T841" t="str">
        <f t="shared" si="201"/>
        <v>Phones</v>
      </c>
      <c r="U841" t="s">
        <v>3912</v>
      </c>
      <c r="V841" t="str">
        <f t="shared" si="202"/>
        <v>Basic Phones 398</v>
      </c>
      <c r="W841" t="s">
        <v>108</v>
      </c>
      <c r="X841" t="str">
        <f t="shared" si="203"/>
        <v>Standard Class</v>
      </c>
      <c r="Y841">
        <v>2</v>
      </c>
      <c r="Z841">
        <v>8</v>
      </c>
      <c r="AA841">
        <v>531.43</v>
      </c>
      <c r="AB841">
        <v>0.1</v>
      </c>
      <c r="AC841">
        <f t="shared" si="204"/>
        <v>0.1</v>
      </c>
      <c r="AD841">
        <v>3826.3</v>
      </c>
      <c r="AE841">
        <f t="shared" si="205"/>
        <v>3826.296</v>
      </c>
      <c r="AF841">
        <v>2194.12</v>
      </c>
      <c r="AG841">
        <v>1632.18</v>
      </c>
      <c r="AH841">
        <f t="shared" si="206"/>
        <v>1632.176</v>
      </c>
      <c r="AI841">
        <f t="shared" si="207"/>
        <v>0.426568148412982</v>
      </c>
      <c r="AJ841" t="s">
        <v>77</v>
      </c>
      <c r="AK841" t="str">
        <f t="shared" si="208"/>
        <v>Paid</v>
      </c>
      <c r="AL841" t="s">
        <v>78</v>
      </c>
      <c r="AM841" t="str">
        <f t="shared" si="209"/>
        <v>Completed</v>
      </c>
      <c r="AN841">
        <v>9</v>
      </c>
      <c r="AO841">
        <v>2024</v>
      </c>
      <c r="AP841" t="s">
        <v>79</v>
      </c>
    </row>
    <row r="842" spans="1:42">
      <c r="A842" t="s">
        <v>3913</v>
      </c>
      <c r="B842" s="3" t="s">
        <v>1952</v>
      </c>
      <c r="C842" s="3">
        <v>45919</v>
      </c>
      <c r="D842" t="s">
        <v>2253</v>
      </c>
      <c r="E842" s="3">
        <v>45919</v>
      </c>
      <c r="F842" t="s">
        <v>3914</v>
      </c>
      <c r="G842" t="s">
        <v>132</v>
      </c>
      <c r="H842" t="str">
        <f t="shared" si="195"/>
        <v>Neha Gupta</v>
      </c>
      <c r="I842" t="s">
        <v>154</v>
      </c>
      <c r="J842" t="str">
        <f t="shared" si="196"/>
        <v>Home Office</v>
      </c>
      <c r="K842" t="s">
        <v>8</v>
      </c>
      <c r="L842" t="str">
        <f t="shared" si="197"/>
        <v>North</v>
      </c>
      <c r="M842" t="s">
        <v>552</v>
      </c>
      <c r="N842" t="str">
        <f t="shared" si="198"/>
        <v>Delhi</v>
      </c>
      <c r="O842" t="s">
        <v>553</v>
      </c>
      <c r="P842" t="str">
        <f t="shared" si="199"/>
        <v>New Delhi</v>
      </c>
      <c r="Q842" t="s">
        <v>19</v>
      </c>
      <c r="R842" t="str">
        <f t="shared" si="200"/>
        <v>Furniture</v>
      </c>
      <c r="S842" t="s">
        <v>116</v>
      </c>
      <c r="T842" t="str">
        <f t="shared" si="201"/>
        <v>Chairs</v>
      </c>
      <c r="U842" t="s">
        <v>3915</v>
      </c>
      <c r="V842" t="str">
        <f t="shared" si="202"/>
        <v>Classic Chairs 204</v>
      </c>
      <c r="W842" t="s">
        <v>90</v>
      </c>
      <c r="X842" t="str">
        <f t="shared" si="203"/>
        <v>Same Day</v>
      </c>
      <c r="Y842">
        <v>0</v>
      </c>
      <c r="Z842">
        <v>4</v>
      </c>
      <c r="AA842">
        <v>1584.11</v>
      </c>
      <c r="AB842">
        <v>0</v>
      </c>
      <c r="AC842">
        <f t="shared" si="204"/>
        <v>0</v>
      </c>
      <c r="AD842">
        <v>6336.44</v>
      </c>
      <c r="AE842">
        <f t="shared" si="205"/>
        <v>6336.44</v>
      </c>
      <c r="AF842">
        <v>4680.68</v>
      </c>
      <c r="AG842">
        <v>1655.76</v>
      </c>
      <c r="AH842">
        <f t="shared" si="206"/>
        <v>1655.76</v>
      </c>
      <c r="AI842">
        <f t="shared" si="207"/>
        <v>0.261307611213868</v>
      </c>
      <c r="AJ842" t="s">
        <v>77</v>
      </c>
      <c r="AK842" t="str">
        <f t="shared" si="208"/>
        <v>Paid</v>
      </c>
      <c r="AL842" t="s">
        <v>78</v>
      </c>
      <c r="AM842" t="str">
        <f t="shared" si="209"/>
        <v>Completed</v>
      </c>
      <c r="AN842">
        <v>9</v>
      </c>
      <c r="AO842">
        <v>2025</v>
      </c>
      <c r="AP842" t="s">
        <v>79</v>
      </c>
    </row>
    <row r="843" spans="1:42">
      <c r="A843" t="s">
        <v>3916</v>
      </c>
      <c r="B843" s="3" t="s">
        <v>3917</v>
      </c>
      <c r="C843" s="3">
        <v>45694</v>
      </c>
      <c r="D843" t="s">
        <v>3918</v>
      </c>
      <c r="E843" s="3">
        <v>45700</v>
      </c>
      <c r="F843" t="s">
        <v>3919</v>
      </c>
      <c r="G843" t="s">
        <v>113</v>
      </c>
      <c r="H843" t="str">
        <f t="shared" si="195"/>
        <v>Ananya Rao</v>
      </c>
      <c r="I843" t="s">
        <v>85</v>
      </c>
      <c r="J843" t="str">
        <f t="shared" si="196"/>
        <v>Small Business</v>
      </c>
      <c r="K843" t="s">
        <v>7</v>
      </c>
      <c r="L843" t="str">
        <f t="shared" si="197"/>
        <v>East</v>
      </c>
      <c r="M843" t="s">
        <v>227</v>
      </c>
      <c r="N843" t="str">
        <f t="shared" si="198"/>
        <v>Bihar</v>
      </c>
      <c r="O843" t="s">
        <v>228</v>
      </c>
      <c r="P843" t="str">
        <f t="shared" si="199"/>
        <v>Patna</v>
      </c>
      <c r="Q843" t="s">
        <v>22</v>
      </c>
      <c r="R843" t="str">
        <f t="shared" si="200"/>
        <v>Office Supplies</v>
      </c>
      <c r="S843" t="s">
        <v>96</v>
      </c>
      <c r="T843" t="str">
        <f t="shared" si="201"/>
        <v>Art</v>
      </c>
      <c r="U843" t="s">
        <v>3920</v>
      </c>
      <c r="V843" t="str">
        <f t="shared" si="202"/>
        <v>Max Art 339</v>
      </c>
      <c r="W843" t="s">
        <v>108</v>
      </c>
      <c r="X843" t="str">
        <f t="shared" si="203"/>
        <v>Standard Class</v>
      </c>
      <c r="Y843">
        <v>6</v>
      </c>
      <c r="Z843">
        <v>9</v>
      </c>
      <c r="AA843">
        <v>3237.16</v>
      </c>
      <c r="AB843">
        <v>0.25</v>
      </c>
      <c r="AC843">
        <f t="shared" si="204"/>
        <v>0.25</v>
      </c>
      <c r="AD843">
        <v>21850.83</v>
      </c>
      <c r="AE843">
        <f t="shared" si="205"/>
        <v>21850.83</v>
      </c>
      <c r="AF843">
        <v>16600.13</v>
      </c>
      <c r="AG843">
        <v>5250.7</v>
      </c>
      <c r="AH843">
        <f t="shared" si="206"/>
        <v>5250.7</v>
      </c>
      <c r="AI843">
        <f t="shared" si="207"/>
        <v>0.240297508149576</v>
      </c>
      <c r="AJ843" t="s">
        <v>77</v>
      </c>
      <c r="AK843" t="str">
        <f t="shared" si="208"/>
        <v>Paid</v>
      </c>
      <c r="AL843" t="s">
        <v>78</v>
      </c>
      <c r="AM843" t="str">
        <f t="shared" si="209"/>
        <v>Completed</v>
      </c>
      <c r="AN843">
        <v>2</v>
      </c>
      <c r="AO843">
        <v>2025</v>
      </c>
      <c r="AP843" t="s">
        <v>79</v>
      </c>
    </row>
    <row r="844" spans="1:42">
      <c r="A844" t="s">
        <v>3921</v>
      </c>
      <c r="B844" s="3" t="s">
        <v>3922</v>
      </c>
      <c r="C844" s="3">
        <v>45382</v>
      </c>
      <c r="D844" t="s">
        <v>3923</v>
      </c>
      <c r="E844" s="3">
        <v>45381</v>
      </c>
      <c r="F844" t="s">
        <v>3924</v>
      </c>
      <c r="G844" t="s">
        <v>3925</v>
      </c>
      <c r="H844" t="str">
        <f t="shared" si="195"/>
        <v>Kabir Singh</v>
      </c>
      <c r="I844" t="s">
        <v>71</v>
      </c>
      <c r="J844" t="str">
        <f t="shared" si="196"/>
        <v>Consumer</v>
      </c>
      <c r="K844" t="s">
        <v>8</v>
      </c>
      <c r="L844" t="str">
        <f t="shared" si="197"/>
        <v>North</v>
      </c>
      <c r="M844" t="s">
        <v>366</v>
      </c>
      <c r="N844" t="str">
        <f t="shared" si="198"/>
        <v>Haryana</v>
      </c>
      <c r="O844" t="s">
        <v>367</v>
      </c>
      <c r="P844" t="str">
        <f t="shared" si="199"/>
        <v>Gurugram</v>
      </c>
      <c r="Q844" t="s">
        <v>24</v>
      </c>
      <c r="R844" t="str">
        <f t="shared" si="200"/>
        <v>Technology</v>
      </c>
      <c r="S844" t="s">
        <v>427</v>
      </c>
      <c r="T844" t="str">
        <f t="shared" si="201"/>
        <v>Machines</v>
      </c>
      <c r="U844" t="s">
        <v>3926</v>
      </c>
      <c r="V844" t="str">
        <f t="shared" si="202"/>
        <v>Smart Machines 581</v>
      </c>
      <c r="W844" t="s">
        <v>98</v>
      </c>
      <c r="X844" t="str">
        <f t="shared" si="203"/>
        <v>First Class</v>
      </c>
      <c r="Y844">
        <v>-1</v>
      </c>
      <c r="Z844">
        <v>4</v>
      </c>
      <c r="AA844">
        <v>2192.08</v>
      </c>
      <c r="AB844">
        <v>0.15</v>
      </c>
      <c r="AC844">
        <f t="shared" si="204"/>
        <v>0.15</v>
      </c>
      <c r="AD844">
        <v>7453.07</v>
      </c>
      <c r="AE844">
        <f t="shared" si="205"/>
        <v>7453.072</v>
      </c>
      <c r="AF844">
        <v>5133.78</v>
      </c>
      <c r="AG844">
        <v>2319.29</v>
      </c>
      <c r="AH844">
        <f t="shared" si="206"/>
        <v>2319.292</v>
      </c>
      <c r="AI844">
        <f t="shared" si="207"/>
        <v>0.311186045163659</v>
      </c>
      <c r="AJ844" t="s">
        <v>77</v>
      </c>
      <c r="AK844" t="str">
        <f t="shared" si="208"/>
        <v>Paid</v>
      </c>
      <c r="AL844" t="s">
        <v>164</v>
      </c>
      <c r="AM844" t="str">
        <f t="shared" si="209"/>
        <v>Returned</v>
      </c>
      <c r="AN844">
        <v>3</v>
      </c>
      <c r="AO844">
        <v>2024</v>
      </c>
      <c r="AP844" t="s">
        <v>253</v>
      </c>
    </row>
    <row r="845" spans="1:42">
      <c r="A845" t="s">
        <v>3927</v>
      </c>
      <c r="B845" s="3" t="s">
        <v>2757</v>
      </c>
      <c r="C845" s="3">
        <v>45856</v>
      </c>
      <c r="D845" t="s">
        <v>3928</v>
      </c>
      <c r="E845" s="3">
        <v>45863</v>
      </c>
      <c r="F845" t="s">
        <v>3929</v>
      </c>
      <c r="G845" t="s">
        <v>182</v>
      </c>
      <c r="H845" t="str">
        <f t="shared" si="195"/>
        <v>Priya Menon</v>
      </c>
      <c r="I845" t="s">
        <v>85</v>
      </c>
      <c r="J845" t="str">
        <f t="shared" si="196"/>
        <v>Small Business</v>
      </c>
      <c r="K845" t="s">
        <v>8</v>
      </c>
      <c r="L845" t="str">
        <f t="shared" si="197"/>
        <v>North</v>
      </c>
      <c r="M845" t="s">
        <v>214</v>
      </c>
      <c r="N845" t="str">
        <f t="shared" si="198"/>
        <v>Uttar Pradesh</v>
      </c>
      <c r="O845" t="s">
        <v>215</v>
      </c>
      <c r="P845" t="str">
        <f t="shared" si="199"/>
        <v>Noida</v>
      </c>
      <c r="Q845" t="s">
        <v>24</v>
      </c>
      <c r="R845" t="str">
        <f t="shared" si="200"/>
        <v>Technology</v>
      </c>
      <c r="S845" t="s">
        <v>265</v>
      </c>
      <c r="T845" t="str">
        <f t="shared" si="201"/>
        <v>Phones</v>
      </c>
      <c r="U845" t="s">
        <v>3930</v>
      </c>
      <c r="V845" t="str">
        <f t="shared" si="202"/>
        <v>Prime Phones 482</v>
      </c>
      <c r="W845" t="s">
        <v>98</v>
      </c>
      <c r="X845" t="str">
        <f t="shared" si="203"/>
        <v>First Class</v>
      </c>
      <c r="Y845">
        <v>7</v>
      </c>
      <c r="Z845">
        <v>9</v>
      </c>
      <c r="AA845">
        <v>3989.52</v>
      </c>
      <c r="AB845">
        <v>-0.02</v>
      </c>
      <c r="AC845">
        <f t="shared" si="204"/>
        <v>0</v>
      </c>
      <c r="AD845">
        <v>35905.68</v>
      </c>
      <c r="AE845">
        <f t="shared" si="205"/>
        <v>35905.68</v>
      </c>
      <c r="AF845">
        <v>23916.1</v>
      </c>
      <c r="AG845">
        <v>11989.58</v>
      </c>
      <c r="AH845">
        <f t="shared" si="206"/>
        <v>11989.58</v>
      </c>
      <c r="AI845">
        <f t="shared" si="207"/>
        <v>0.333918756029687</v>
      </c>
      <c r="AJ845" t="s">
        <v>77</v>
      </c>
      <c r="AK845" t="str">
        <f t="shared" si="208"/>
        <v>Paid</v>
      </c>
      <c r="AL845" t="s">
        <v>78</v>
      </c>
      <c r="AM845" t="str">
        <f t="shared" si="209"/>
        <v>Completed</v>
      </c>
      <c r="AN845">
        <v>7</v>
      </c>
      <c r="AO845">
        <v>2025</v>
      </c>
      <c r="AP845" t="s">
        <v>222</v>
      </c>
    </row>
    <row r="846" spans="1:42">
      <c r="A846" t="s">
        <v>3931</v>
      </c>
      <c r="B846" s="3" t="s">
        <v>3932</v>
      </c>
      <c r="C846" s="3">
        <v>45677</v>
      </c>
      <c r="D846" t="s">
        <v>3933</v>
      </c>
      <c r="E846" s="3">
        <v>45682</v>
      </c>
      <c r="F846" t="s">
        <v>3934</v>
      </c>
      <c r="G846" t="s">
        <v>146</v>
      </c>
      <c r="H846" t="str">
        <f t="shared" si="195"/>
        <v>Aditi Sen</v>
      </c>
      <c r="I846" t="s">
        <v>154</v>
      </c>
      <c r="J846" t="str">
        <f t="shared" si="196"/>
        <v>Home Office</v>
      </c>
      <c r="K846" t="s">
        <v>11</v>
      </c>
      <c r="L846" t="str">
        <f t="shared" si="197"/>
        <v>West</v>
      </c>
      <c r="M846" t="s">
        <v>292</v>
      </c>
      <c r="N846" t="str">
        <f t="shared" si="198"/>
        <v>Goa</v>
      </c>
      <c r="O846" t="s">
        <v>293</v>
      </c>
      <c r="P846" t="str">
        <f t="shared" si="199"/>
        <v>Panaji</v>
      </c>
      <c r="Q846" t="s">
        <v>22</v>
      </c>
      <c r="R846" t="str">
        <f t="shared" si="200"/>
        <v>Office Supplies</v>
      </c>
      <c r="S846" t="s">
        <v>96</v>
      </c>
      <c r="T846" t="str">
        <f t="shared" si="201"/>
        <v>Art</v>
      </c>
      <c r="U846" t="s">
        <v>3935</v>
      </c>
      <c r="V846" t="str">
        <f t="shared" si="202"/>
        <v>Pro Art 588</v>
      </c>
      <c r="W846" t="s">
        <v>98</v>
      </c>
      <c r="X846" t="str">
        <f t="shared" si="203"/>
        <v>First Class</v>
      </c>
      <c r="Y846">
        <v>5</v>
      </c>
      <c r="Z846">
        <v>1</v>
      </c>
      <c r="AA846">
        <v>3515.15</v>
      </c>
      <c r="AB846">
        <v>0</v>
      </c>
      <c r="AC846">
        <f t="shared" si="204"/>
        <v>0</v>
      </c>
      <c r="AD846">
        <v>3515.15</v>
      </c>
      <c r="AE846">
        <f t="shared" si="205"/>
        <v>3515.15</v>
      </c>
      <c r="AF846">
        <v>2216.34</v>
      </c>
      <c r="AG846">
        <v>1298.81</v>
      </c>
      <c r="AH846">
        <f t="shared" si="206"/>
        <v>1298.81</v>
      </c>
      <c r="AI846">
        <f t="shared" si="207"/>
        <v>0.369489210986729</v>
      </c>
      <c r="AJ846" t="s">
        <v>77</v>
      </c>
      <c r="AK846" t="str">
        <f t="shared" si="208"/>
        <v>Paid</v>
      </c>
      <c r="AL846" t="s">
        <v>78</v>
      </c>
      <c r="AM846" t="str">
        <f t="shared" si="209"/>
        <v>Completed</v>
      </c>
      <c r="AN846">
        <v>1</v>
      </c>
      <c r="AO846">
        <v>2025</v>
      </c>
      <c r="AP846" t="s">
        <v>79</v>
      </c>
    </row>
    <row r="847" spans="1:42">
      <c r="A847" t="s">
        <v>3936</v>
      </c>
      <c r="B847" s="3" t="s">
        <v>2830</v>
      </c>
      <c r="C847" s="3">
        <v>45345</v>
      </c>
      <c r="D847" t="s">
        <v>3937</v>
      </c>
      <c r="E847" s="3">
        <v>45349</v>
      </c>
      <c r="F847" t="s">
        <v>943</v>
      </c>
      <c r="G847" t="s">
        <v>70</v>
      </c>
      <c r="H847" t="str">
        <f t="shared" si="195"/>
        <v>Karan Malhotra</v>
      </c>
      <c r="I847" t="s">
        <v>71</v>
      </c>
      <c r="J847" t="str">
        <f t="shared" si="196"/>
        <v>Consumer</v>
      </c>
      <c r="K847" t="s">
        <v>7</v>
      </c>
      <c r="L847" t="str">
        <f t="shared" si="197"/>
        <v>East</v>
      </c>
      <c r="M847" t="s">
        <v>86</v>
      </c>
      <c r="N847" t="str">
        <f t="shared" si="198"/>
        <v>Odisha</v>
      </c>
      <c r="O847" t="s">
        <v>87</v>
      </c>
      <c r="P847" t="str">
        <f t="shared" si="199"/>
        <v>Bhubaneswar</v>
      </c>
      <c r="Q847" t="s">
        <v>19</v>
      </c>
      <c r="R847" t="str">
        <f t="shared" si="200"/>
        <v>Furniture</v>
      </c>
      <c r="S847" t="s">
        <v>88</v>
      </c>
      <c r="T847" t="str">
        <f t="shared" si="201"/>
        <v>Tables</v>
      </c>
      <c r="U847" t="s">
        <v>3938</v>
      </c>
      <c r="V847" t="str">
        <f t="shared" si="202"/>
        <v>Eco Tables 792</v>
      </c>
      <c r="W847" t="s">
        <v>98</v>
      </c>
      <c r="X847" t="str">
        <f t="shared" si="203"/>
        <v>First Class</v>
      </c>
      <c r="Y847">
        <v>4</v>
      </c>
      <c r="Z847">
        <v>9</v>
      </c>
      <c r="AA847">
        <v>3616.23</v>
      </c>
      <c r="AB847">
        <v>0.25</v>
      </c>
      <c r="AC847">
        <f t="shared" si="204"/>
        <v>0.25</v>
      </c>
      <c r="AD847">
        <v>24409.55</v>
      </c>
      <c r="AE847">
        <f t="shared" si="205"/>
        <v>24409.5525</v>
      </c>
      <c r="AF847">
        <v>17157.58</v>
      </c>
      <c r="AG847">
        <v>7251.97</v>
      </c>
      <c r="AH847">
        <f t="shared" si="206"/>
        <v>7251.9725</v>
      </c>
      <c r="AI847">
        <f t="shared" si="207"/>
        <v>0.297095675965383</v>
      </c>
      <c r="AJ847" t="s">
        <v>177</v>
      </c>
      <c r="AK847" t="str">
        <f t="shared" si="208"/>
        <v>Pending</v>
      </c>
      <c r="AL847" t="s">
        <v>164</v>
      </c>
      <c r="AM847" t="str">
        <f t="shared" si="209"/>
        <v>Returned</v>
      </c>
      <c r="AN847">
        <v>2</v>
      </c>
      <c r="AO847">
        <v>2024</v>
      </c>
      <c r="AP847" t="s">
        <v>79</v>
      </c>
    </row>
    <row r="848" spans="1:42">
      <c r="A848" t="s">
        <v>3939</v>
      </c>
      <c r="B848" s="3" t="s">
        <v>3940</v>
      </c>
      <c r="C848" s="3">
        <v>45396</v>
      </c>
      <c r="D848" t="s">
        <v>3941</v>
      </c>
      <c r="E848" s="3">
        <v>45404</v>
      </c>
      <c r="F848" t="s">
        <v>3942</v>
      </c>
      <c r="G848" t="s">
        <v>182</v>
      </c>
      <c r="H848" t="str">
        <f t="shared" si="195"/>
        <v>Priya Menon</v>
      </c>
      <c r="I848" t="s">
        <v>85</v>
      </c>
      <c r="J848" t="str">
        <f t="shared" si="196"/>
        <v>Small Business</v>
      </c>
      <c r="K848" t="s">
        <v>11</v>
      </c>
      <c r="L848" t="str">
        <f t="shared" si="197"/>
        <v>West</v>
      </c>
      <c r="M848" t="s">
        <v>278</v>
      </c>
      <c r="N848" t="str">
        <f t="shared" si="198"/>
        <v>Gujarat</v>
      </c>
      <c r="O848" t="s">
        <v>279</v>
      </c>
      <c r="P848" t="str">
        <f t="shared" si="199"/>
        <v>Ahmedabad</v>
      </c>
      <c r="Q848" t="s">
        <v>19</v>
      </c>
      <c r="R848" t="str">
        <f t="shared" si="200"/>
        <v>Furniture</v>
      </c>
      <c r="S848" t="s">
        <v>245</v>
      </c>
      <c r="T848" t="str">
        <f t="shared" si="201"/>
        <v>Bookcases</v>
      </c>
      <c r="U848" t="s">
        <v>3943</v>
      </c>
      <c r="V848" t="str">
        <f t="shared" si="202"/>
        <v>Prime Bookcases 177</v>
      </c>
      <c r="W848" t="s">
        <v>108</v>
      </c>
      <c r="X848" t="str">
        <f t="shared" si="203"/>
        <v>Standard Class</v>
      </c>
      <c r="Y848">
        <v>8</v>
      </c>
      <c r="Z848">
        <v>2</v>
      </c>
      <c r="AA848">
        <v>3977.52</v>
      </c>
      <c r="AB848">
        <v>0</v>
      </c>
      <c r="AC848">
        <f t="shared" si="204"/>
        <v>0</v>
      </c>
      <c r="AD848">
        <v>7955.04</v>
      </c>
      <c r="AE848">
        <f t="shared" si="205"/>
        <v>7955.04</v>
      </c>
      <c r="AF848">
        <v>5580.68</v>
      </c>
      <c r="AG848">
        <v>2374.36</v>
      </c>
      <c r="AH848">
        <f t="shared" si="206"/>
        <v>2374.36</v>
      </c>
      <c r="AI848">
        <f t="shared" si="207"/>
        <v>0.298472414972143</v>
      </c>
      <c r="AJ848" t="s">
        <v>177</v>
      </c>
      <c r="AK848" t="str">
        <f t="shared" si="208"/>
        <v>Pending</v>
      </c>
      <c r="AL848" t="s">
        <v>164</v>
      </c>
      <c r="AM848" t="str">
        <f t="shared" si="209"/>
        <v>Returned</v>
      </c>
      <c r="AN848">
        <v>4</v>
      </c>
      <c r="AO848">
        <v>2024</v>
      </c>
      <c r="AP848" t="s">
        <v>79</v>
      </c>
    </row>
    <row r="849" spans="1:42">
      <c r="A849" t="s">
        <v>3944</v>
      </c>
      <c r="B849" s="3" t="s">
        <v>3945</v>
      </c>
      <c r="C849" s="3">
        <v>45797</v>
      </c>
      <c r="D849" t="s">
        <v>3946</v>
      </c>
      <c r="E849" s="3">
        <v>45799</v>
      </c>
      <c r="F849" t="s">
        <v>3947</v>
      </c>
      <c r="G849" t="s">
        <v>251</v>
      </c>
      <c r="H849" t="str">
        <f t="shared" si="195"/>
        <v>Diya Patel</v>
      </c>
      <c r="I849" t="s">
        <v>154</v>
      </c>
      <c r="J849" t="str">
        <f t="shared" si="196"/>
        <v>Home Office</v>
      </c>
      <c r="K849" t="s">
        <v>7</v>
      </c>
      <c r="L849" t="str">
        <f t="shared" si="197"/>
        <v>East</v>
      </c>
      <c r="M849" t="s">
        <v>86</v>
      </c>
      <c r="N849" t="str">
        <f t="shared" si="198"/>
        <v>Odisha</v>
      </c>
      <c r="O849" t="s">
        <v>87</v>
      </c>
      <c r="P849" t="str">
        <f t="shared" si="199"/>
        <v>Bhubaneswar</v>
      </c>
      <c r="Q849" t="s">
        <v>19</v>
      </c>
      <c r="R849" t="str">
        <f t="shared" si="200"/>
        <v>Furniture</v>
      </c>
      <c r="S849" t="s">
        <v>88</v>
      </c>
      <c r="T849" t="str">
        <f t="shared" si="201"/>
        <v>Tables</v>
      </c>
      <c r="U849" t="s">
        <v>3948</v>
      </c>
      <c r="V849" t="str">
        <f t="shared" si="202"/>
        <v>Pro Tables 828</v>
      </c>
      <c r="W849" t="s">
        <v>76</v>
      </c>
      <c r="X849" t="str">
        <f t="shared" si="203"/>
        <v>Second Class</v>
      </c>
      <c r="Y849">
        <v>2</v>
      </c>
      <c r="Z849">
        <v>2</v>
      </c>
      <c r="AA849">
        <v>210.08</v>
      </c>
      <c r="AB849">
        <v>0.2</v>
      </c>
      <c r="AC849">
        <f t="shared" si="204"/>
        <v>0.2</v>
      </c>
      <c r="AD849">
        <v>336.13</v>
      </c>
      <c r="AE849">
        <f t="shared" si="205"/>
        <v>336.128</v>
      </c>
      <c r="AF849">
        <v>242.19</v>
      </c>
      <c r="AG849">
        <v>93.94</v>
      </c>
      <c r="AH849">
        <f t="shared" si="206"/>
        <v>93.938</v>
      </c>
      <c r="AI849">
        <f t="shared" si="207"/>
        <v>0.279470915841584</v>
      </c>
      <c r="AJ849" t="s">
        <v>77</v>
      </c>
      <c r="AK849" t="str">
        <f t="shared" si="208"/>
        <v>Paid</v>
      </c>
      <c r="AL849" t="s">
        <v>78</v>
      </c>
      <c r="AM849" t="str">
        <f t="shared" si="209"/>
        <v>Completed</v>
      </c>
      <c r="AN849">
        <v>5</v>
      </c>
      <c r="AO849">
        <v>2025</v>
      </c>
      <c r="AP849" t="s">
        <v>79</v>
      </c>
    </row>
    <row r="850" spans="1:42">
      <c r="A850" t="s">
        <v>3949</v>
      </c>
      <c r="B850" s="3" t="s">
        <v>3205</v>
      </c>
      <c r="C850" s="3">
        <v>45804</v>
      </c>
      <c r="D850" t="s">
        <v>3950</v>
      </c>
      <c r="E850" s="3">
        <v>45806</v>
      </c>
      <c r="F850" t="s">
        <v>3951</v>
      </c>
      <c r="G850" t="s">
        <v>188</v>
      </c>
      <c r="H850" t="str">
        <f t="shared" si="195"/>
        <v>Rahul Verma</v>
      </c>
      <c r="I850" t="s">
        <v>154</v>
      </c>
      <c r="J850" t="str">
        <f t="shared" si="196"/>
        <v>Home Office</v>
      </c>
      <c r="K850" t="s">
        <v>10</v>
      </c>
      <c r="L850" t="str">
        <f t="shared" si="197"/>
        <v>South</v>
      </c>
      <c r="M850" t="s">
        <v>382</v>
      </c>
      <c r="N850" t="str">
        <f t="shared" si="198"/>
        <v>Tamil Nadu</v>
      </c>
      <c r="O850" t="s">
        <v>383</v>
      </c>
      <c r="P850" t="str">
        <f t="shared" si="199"/>
        <v>Chennai</v>
      </c>
      <c r="Q850" t="s">
        <v>19</v>
      </c>
      <c r="R850" t="str">
        <f t="shared" si="200"/>
        <v>Furniture</v>
      </c>
      <c r="S850" t="s">
        <v>106</v>
      </c>
      <c r="T850" t="str">
        <f t="shared" si="201"/>
        <v>Furnishings</v>
      </c>
      <c r="U850" t="s">
        <v>3952</v>
      </c>
      <c r="V850" t="str">
        <f t="shared" si="202"/>
        <v>Elite Furnishings 480</v>
      </c>
      <c r="W850" t="s">
        <v>76</v>
      </c>
      <c r="X850" t="str">
        <f t="shared" si="203"/>
        <v>Second Class</v>
      </c>
      <c r="Y850">
        <v>2</v>
      </c>
      <c r="Z850">
        <v>1</v>
      </c>
      <c r="AA850">
        <v>1744.35</v>
      </c>
      <c r="AB850">
        <v>0.25</v>
      </c>
      <c r="AC850">
        <f t="shared" si="204"/>
        <v>0.25</v>
      </c>
      <c r="AD850">
        <v>1308.26</v>
      </c>
      <c r="AE850">
        <f t="shared" si="205"/>
        <v>1308.2625</v>
      </c>
      <c r="AF850">
        <v>1083.56</v>
      </c>
      <c r="AG850">
        <v>224.7</v>
      </c>
      <c r="AH850">
        <f t="shared" si="206"/>
        <v>224.7025</v>
      </c>
      <c r="AI850">
        <f t="shared" si="207"/>
        <v>0.171756432673106</v>
      </c>
      <c r="AJ850" t="s">
        <v>77</v>
      </c>
      <c r="AK850" t="str">
        <f t="shared" si="208"/>
        <v>Paid</v>
      </c>
      <c r="AL850" t="s">
        <v>78</v>
      </c>
      <c r="AM850" t="str">
        <f t="shared" si="209"/>
        <v>Completed</v>
      </c>
      <c r="AN850">
        <v>5</v>
      </c>
      <c r="AO850">
        <v>2025</v>
      </c>
      <c r="AP850" t="s">
        <v>79</v>
      </c>
    </row>
    <row r="851" spans="1:42">
      <c r="A851" t="s">
        <v>3953</v>
      </c>
      <c r="B851" s="3" t="s">
        <v>3954</v>
      </c>
      <c r="C851" s="3">
        <v>45357</v>
      </c>
      <c r="D851" t="s">
        <v>1122</v>
      </c>
      <c r="E851" s="3">
        <v>45363</v>
      </c>
      <c r="F851" t="s">
        <v>3955</v>
      </c>
      <c r="G851" t="s">
        <v>95</v>
      </c>
      <c r="H851" t="str">
        <f t="shared" si="195"/>
        <v>Isha Nair</v>
      </c>
      <c r="I851" t="s">
        <v>154</v>
      </c>
      <c r="J851" t="str">
        <f t="shared" si="196"/>
        <v>Home Office</v>
      </c>
      <c r="K851" t="s">
        <v>11</v>
      </c>
      <c r="L851" t="str">
        <f t="shared" si="197"/>
        <v>West</v>
      </c>
      <c r="M851" t="s">
        <v>278</v>
      </c>
      <c r="N851" t="str">
        <f t="shared" si="198"/>
        <v>Gujarat</v>
      </c>
      <c r="O851" t="s">
        <v>279</v>
      </c>
      <c r="P851" t="str">
        <f t="shared" si="199"/>
        <v>Ahmedabad</v>
      </c>
      <c r="Q851" t="s">
        <v>19</v>
      </c>
      <c r="R851" t="str">
        <f t="shared" si="200"/>
        <v>Furniture</v>
      </c>
      <c r="S851" t="s">
        <v>245</v>
      </c>
      <c r="T851" t="str">
        <f t="shared" si="201"/>
        <v>Bookcases</v>
      </c>
      <c r="U851" t="s">
        <v>3956</v>
      </c>
      <c r="V851" t="str">
        <f t="shared" si="202"/>
        <v>Prime Bookcases 755</v>
      </c>
      <c r="W851" t="s">
        <v>108</v>
      </c>
      <c r="X851" t="str">
        <f t="shared" si="203"/>
        <v>Standard Class</v>
      </c>
      <c r="Y851">
        <v>6</v>
      </c>
      <c r="Z851">
        <v>3</v>
      </c>
      <c r="AA851">
        <v>679.63</v>
      </c>
      <c r="AB851">
        <v>0.2</v>
      </c>
      <c r="AC851">
        <f t="shared" si="204"/>
        <v>0.2</v>
      </c>
      <c r="AD851">
        <v>1631.11</v>
      </c>
      <c r="AE851">
        <f t="shared" si="205"/>
        <v>1631.112</v>
      </c>
      <c r="AF851">
        <v>898.73</v>
      </c>
      <c r="AG851">
        <v>396.58</v>
      </c>
      <c r="AH851">
        <f t="shared" si="206"/>
        <v>732.382</v>
      </c>
      <c r="AI851">
        <f t="shared" si="207"/>
        <v>0.449007793456243</v>
      </c>
      <c r="AJ851" t="s">
        <v>77</v>
      </c>
      <c r="AK851" t="str">
        <f t="shared" si="208"/>
        <v>Paid</v>
      </c>
      <c r="AL851" t="s">
        <v>767</v>
      </c>
      <c r="AM851" t="str">
        <f t="shared" si="209"/>
        <v>Completed</v>
      </c>
      <c r="AN851">
        <v>3</v>
      </c>
      <c r="AO851">
        <v>2024</v>
      </c>
      <c r="AP851" t="s">
        <v>79</v>
      </c>
    </row>
    <row r="852" spans="1:42">
      <c r="A852" t="s">
        <v>3957</v>
      </c>
      <c r="B852" s="3" t="s">
        <v>2159</v>
      </c>
      <c r="C852" s="3">
        <v>45473</v>
      </c>
      <c r="D852" t="s">
        <v>3833</v>
      </c>
      <c r="E852" s="3">
        <v>45476</v>
      </c>
      <c r="F852" t="s">
        <v>3958</v>
      </c>
      <c r="G852" t="s">
        <v>182</v>
      </c>
      <c r="H852" t="str">
        <f t="shared" si="195"/>
        <v>Priya Menon</v>
      </c>
      <c r="I852" t="s">
        <v>154</v>
      </c>
      <c r="J852" t="str">
        <f t="shared" si="196"/>
        <v>Home Office</v>
      </c>
      <c r="K852" t="s">
        <v>7</v>
      </c>
      <c r="L852" t="str">
        <f t="shared" si="197"/>
        <v>East</v>
      </c>
      <c r="M852" t="s">
        <v>160</v>
      </c>
      <c r="N852" t="str">
        <f t="shared" si="198"/>
        <v>West Bengal</v>
      </c>
      <c r="O852" t="s">
        <v>161</v>
      </c>
      <c r="P852" t="str">
        <f t="shared" si="199"/>
        <v>Kolkata</v>
      </c>
      <c r="Q852" t="s">
        <v>22</v>
      </c>
      <c r="R852" t="str">
        <f t="shared" si="200"/>
        <v>Office Supplies</v>
      </c>
      <c r="S852" t="s">
        <v>74</v>
      </c>
      <c r="T852" t="str">
        <f t="shared" si="201"/>
        <v>Paper</v>
      </c>
      <c r="U852" t="s">
        <v>3959</v>
      </c>
      <c r="V852" t="str">
        <f t="shared" si="202"/>
        <v>Prime Paper 317</v>
      </c>
      <c r="W852" t="s">
        <v>98</v>
      </c>
      <c r="X852" t="str">
        <f t="shared" si="203"/>
        <v>First Class</v>
      </c>
      <c r="Y852">
        <v>3</v>
      </c>
      <c r="Z852">
        <v>6</v>
      </c>
      <c r="AA852">
        <v>1211.01</v>
      </c>
      <c r="AB852">
        <v>0</v>
      </c>
      <c r="AC852">
        <f t="shared" si="204"/>
        <v>0</v>
      </c>
      <c r="AD852">
        <v>7266.06</v>
      </c>
      <c r="AE852">
        <f t="shared" si="205"/>
        <v>7266.06</v>
      </c>
      <c r="AF852">
        <v>6216.89</v>
      </c>
      <c r="AG852">
        <v>1049.17</v>
      </c>
      <c r="AH852">
        <f t="shared" si="206"/>
        <v>1049.17</v>
      </c>
      <c r="AI852">
        <f t="shared" si="207"/>
        <v>0.144393247509654</v>
      </c>
      <c r="AJ852" t="s">
        <v>77</v>
      </c>
      <c r="AK852" t="str">
        <f t="shared" si="208"/>
        <v>Paid</v>
      </c>
      <c r="AL852" t="s">
        <v>78</v>
      </c>
      <c r="AM852" t="str">
        <f t="shared" si="209"/>
        <v>Completed</v>
      </c>
      <c r="AN852">
        <v>6</v>
      </c>
      <c r="AO852">
        <v>2024</v>
      </c>
      <c r="AP852" t="s">
        <v>79</v>
      </c>
    </row>
    <row r="853" spans="1:42">
      <c r="A853" t="s">
        <v>3960</v>
      </c>
      <c r="B853" s="3" t="s">
        <v>856</v>
      </c>
      <c r="C853" s="3">
        <v>45377</v>
      </c>
      <c r="D853" t="s">
        <v>3214</v>
      </c>
      <c r="E853" s="3">
        <v>45383</v>
      </c>
      <c r="F853" t="s">
        <v>3961</v>
      </c>
      <c r="G853" t="s">
        <v>70</v>
      </c>
      <c r="H853" t="str">
        <f t="shared" si="195"/>
        <v>Karan Malhotra</v>
      </c>
      <c r="I853" t="s">
        <v>85</v>
      </c>
      <c r="J853" t="str">
        <f t="shared" si="196"/>
        <v>Small Business</v>
      </c>
      <c r="K853" t="s">
        <v>11</v>
      </c>
      <c r="L853" t="str">
        <f t="shared" si="197"/>
        <v>West</v>
      </c>
      <c r="M853" t="s">
        <v>278</v>
      </c>
      <c r="N853" t="str">
        <f t="shared" si="198"/>
        <v>Gujarat</v>
      </c>
      <c r="O853" t="s">
        <v>279</v>
      </c>
      <c r="P853" t="str">
        <f t="shared" si="199"/>
        <v>Ahmedabad</v>
      </c>
      <c r="Q853" t="s">
        <v>24</v>
      </c>
      <c r="R853" t="str">
        <f t="shared" si="200"/>
        <v>Technology</v>
      </c>
      <c r="S853" t="s">
        <v>126</v>
      </c>
      <c r="T853" t="str">
        <f t="shared" si="201"/>
        <v>Accessories</v>
      </c>
      <c r="U853" t="s">
        <v>3962</v>
      </c>
      <c r="V853" t="str">
        <f t="shared" si="202"/>
        <v>Classic Accessories 933</v>
      </c>
      <c r="W853" t="s">
        <v>98</v>
      </c>
      <c r="X853" t="str">
        <f t="shared" si="203"/>
        <v>First Class</v>
      </c>
      <c r="Y853">
        <v>6</v>
      </c>
      <c r="Z853">
        <v>2</v>
      </c>
      <c r="AA853">
        <v>1161.3</v>
      </c>
      <c r="AB853">
        <v>0.2</v>
      </c>
      <c r="AC853">
        <f t="shared" si="204"/>
        <v>0.2</v>
      </c>
      <c r="AD853">
        <v>1858.08</v>
      </c>
      <c r="AE853">
        <f t="shared" si="205"/>
        <v>1858.08</v>
      </c>
      <c r="AF853">
        <v>1590.75</v>
      </c>
      <c r="AG853">
        <v>267.33</v>
      </c>
      <c r="AH853">
        <f t="shared" si="206"/>
        <v>267.33</v>
      </c>
      <c r="AI853">
        <f t="shared" si="207"/>
        <v>0.143874321880651</v>
      </c>
      <c r="AJ853" t="s">
        <v>77</v>
      </c>
      <c r="AK853" t="str">
        <f t="shared" si="208"/>
        <v>Paid</v>
      </c>
      <c r="AL853" t="s">
        <v>78</v>
      </c>
      <c r="AM853" t="str">
        <f t="shared" si="209"/>
        <v>Completed</v>
      </c>
      <c r="AN853">
        <v>3</v>
      </c>
      <c r="AO853">
        <v>2024</v>
      </c>
      <c r="AP853" t="s">
        <v>79</v>
      </c>
    </row>
    <row r="854" spans="1:42">
      <c r="A854" t="s">
        <v>3963</v>
      </c>
      <c r="B854" s="3" t="s">
        <v>3964</v>
      </c>
      <c r="C854" s="3">
        <v>45383</v>
      </c>
      <c r="D854" t="s">
        <v>3786</v>
      </c>
      <c r="E854" s="3">
        <v>45390</v>
      </c>
      <c r="F854" t="s">
        <v>3965</v>
      </c>
      <c r="G854" t="s">
        <v>113</v>
      </c>
      <c r="H854" t="str">
        <f t="shared" si="195"/>
        <v>Ananya Rao</v>
      </c>
      <c r="I854" t="s">
        <v>71</v>
      </c>
      <c r="J854" t="str">
        <f t="shared" si="196"/>
        <v>Consumer</v>
      </c>
      <c r="K854" t="s">
        <v>7</v>
      </c>
      <c r="L854" t="str">
        <f t="shared" si="197"/>
        <v>East</v>
      </c>
      <c r="M854" t="s">
        <v>258</v>
      </c>
      <c r="N854" t="str">
        <f t="shared" si="198"/>
        <v>Assam</v>
      </c>
      <c r="O854" t="s">
        <v>259</v>
      </c>
      <c r="P854" t="str">
        <f t="shared" si="199"/>
        <v>Guwahati</v>
      </c>
      <c r="Q854" t="s">
        <v>19</v>
      </c>
      <c r="R854" t="str">
        <f t="shared" si="200"/>
        <v>Furniture</v>
      </c>
      <c r="S854" t="s">
        <v>88</v>
      </c>
      <c r="T854" t="str">
        <f t="shared" si="201"/>
        <v>Tables</v>
      </c>
      <c r="U854" t="s">
        <v>3966</v>
      </c>
      <c r="V854" t="str">
        <f t="shared" si="202"/>
        <v>Smart Tables 513</v>
      </c>
      <c r="W854" t="s">
        <v>76</v>
      </c>
      <c r="X854" t="str">
        <f t="shared" si="203"/>
        <v>Second Class</v>
      </c>
      <c r="Y854">
        <v>7</v>
      </c>
      <c r="Z854">
        <v>7</v>
      </c>
      <c r="AA854">
        <v>4205.35</v>
      </c>
      <c r="AB854">
        <v>0.15</v>
      </c>
      <c r="AC854">
        <f t="shared" si="204"/>
        <v>0.15</v>
      </c>
      <c r="AD854">
        <v>25021.83</v>
      </c>
      <c r="AE854">
        <f t="shared" si="205"/>
        <v>25021.8325</v>
      </c>
      <c r="AF854">
        <v>15544.44</v>
      </c>
      <c r="AG854">
        <v>9477.39</v>
      </c>
      <c r="AH854">
        <f t="shared" si="206"/>
        <v>9477.3925</v>
      </c>
      <c r="AI854">
        <f t="shared" si="207"/>
        <v>0.378764924591354</v>
      </c>
      <c r="AJ854" t="s">
        <v>177</v>
      </c>
      <c r="AK854" t="str">
        <f t="shared" si="208"/>
        <v>Pending</v>
      </c>
      <c r="AL854" t="s">
        <v>118</v>
      </c>
      <c r="AM854" t="str">
        <f t="shared" si="209"/>
        <v>Cancelled</v>
      </c>
      <c r="AN854">
        <v>4</v>
      </c>
      <c r="AO854">
        <v>2024</v>
      </c>
      <c r="AP854" t="s">
        <v>79</v>
      </c>
    </row>
    <row r="855" spans="1:42">
      <c r="A855" t="s">
        <v>3967</v>
      </c>
      <c r="B855" s="3" t="s">
        <v>3968</v>
      </c>
      <c r="C855" s="3">
        <v>45793</v>
      </c>
      <c r="D855" t="s">
        <v>3946</v>
      </c>
      <c r="E855" s="3">
        <v>45799</v>
      </c>
      <c r="F855" t="s">
        <v>3969</v>
      </c>
      <c r="G855" t="s">
        <v>103</v>
      </c>
      <c r="H855" t="str">
        <f t="shared" si="195"/>
        <v>Arjun Bose</v>
      </c>
      <c r="I855" t="s">
        <v>147</v>
      </c>
      <c r="J855" t="str">
        <f t="shared" si="196"/>
        <v>Corporate</v>
      </c>
      <c r="K855" t="s">
        <v>10</v>
      </c>
      <c r="L855" t="str">
        <f t="shared" si="197"/>
        <v>South</v>
      </c>
      <c r="M855" t="s">
        <v>382</v>
      </c>
      <c r="N855" t="str">
        <f t="shared" si="198"/>
        <v>Tamil Nadu</v>
      </c>
      <c r="O855" t="s">
        <v>383</v>
      </c>
      <c r="P855" t="str">
        <f t="shared" si="199"/>
        <v>Chennai</v>
      </c>
      <c r="Q855" t="s">
        <v>24</v>
      </c>
      <c r="R855" t="str">
        <f t="shared" si="200"/>
        <v>Technology</v>
      </c>
      <c r="S855" t="s">
        <v>126</v>
      </c>
      <c r="T855" t="str">
        <f t="shared" si="201"/>
        <v>Accessories</v>
      </c>
      <c r="U855" t="s">
        <v>3970</v>
      </c>
      <c r="V855" t="str">
        <f t="shared" si="202"/>
        <v>Elite Accessories 708</v>
      </c>
      <c r="W855" t="s">
        <v>90</v>
      </c>
      <c r="X855" t="str">
        <f t="shared" si="203"/>
        <v>Same Day</v>
      </c>
      <c r="Y855">
        <v>6</v>
      </c>
      <c r="Z855">
        <v>8</v>
      </c>
      <c r="AA855">
        <v>579.8</v>
      </c>
      <c r="AB855">
        <v>0.2</v>
      </c>
      <c r="AC855">
        <f t="shared" si="204"/>
        <v>0.2</v>
      </c>
      <c r="AD855">
        <v>3710.72</v>
      </c>
      <c r="AE855">
        <f t="shared" si="205"/>
        <v>3710.72</v>
      </c>
      <c r="AF855">
        <v>3115.29</v>
      </c>
      <c r="AG855">
        <v>595.43</v>
      </c>
      <c r="AH855">
        <f t="shared" si="206"/>
        <v>595.43</v>
      </c>
      <c r="AI855">
        <f t="shared" si="207"/>
        <v>0.160462120558813</v>
      </c>
      <c r="AJ855" t="s">
        <v>77</v>
      </c>
      <c r="AK855" t="str">
        <f t="shared" si="208"/>
        <v>Paid</v>
      </c>
      <c r="AL855" t="s">
        <v>78</v>
      </c>
      <c r="AM855" t="str">
        <f t="shared" si="209"/>
        <v>Completed</v>
      </c>
      <c r="AN855">
        <v>5</v>
      </c>
      <c r="AO855">
        <v>2025</v>
      </c>
      <c r="AP855" t="s">
        <v>79</v>
      </c>
    </row>
    <row r="856" spans="1:42">
      <c r="A856" t="s">
        <v>3971</v>
      </c>
      <c r="B856" s="3" t="s">
        <v>3972</v>
      </c>
      <c r="C856" s="3">
        <v>45741</v>
      </c>
      <c r="D856" t="s">
        <v>3973</v>
      </c>
      <c r="E856" s="3">
        <v>45749</v>
      </c>
      <c r="F856" t="s">
        <v>3974</v>
      </c>
      <c r="G856" t="s">
        <v>182</v>
      </c>
      <c r="H856" t="str">
        <f t="shared" si="195"/>
        <v>Priya Menon</v>
      </c>
      <c r="I856" t="s">
        <v>71</v>
      </c>
      <c r="J856" t="str">
        <f t="shared" si="196"/>
        <v>Consumer</v>
      </c>
      <c r="K856" t="s">
        <v>10</v>
      </c>
      <c r="L856" t="str">
        <f t="shared" si="197"/>
        <v>South</v>
      </c>
      <c r="M856" t="s">
        <v>272</v>
      </c>
      <c r="N856" t="str">
        <f t="shared" si="198"/>
        <v>Karnataka</v>
      </c>
      <c r="O856" t="s">
        <v>273</v>
      </c>
      <c r="P856" t="str">
        <f t="shared" si="199"/>
        <v>Bengaluru</v>
      </c>
      <c r="Q856" t="s">
        <v>19</v>
      </c>
      <c r="R856" t="str">
        <f t="shared" si="200"/>
        <v>Furniture</v>
      </c>
      <c r="S856" t="s">
        <v>245</v>
      </c>
      <c r="T856" t="str">
        <f t="shared" si="201"/>
        <v>Bookcases</v>
      </c>
      <c r="U856" t="s">
        <v>3975</v>
      </c>
      <c r="V856" t="str">
        <f t="shared" si="202"/>
        <v>Max Bookcases 381</v>
      </c>
      <c r="W856" t="s">
        <v>76</v>
      </c>
      <c r="X856" t="str">
        <f t="shared" si="203"/>
        <v>Second Class</v>
      </c>
      <c r="Y856">
        <v>8</v>
      </c>
      <c r="Z856">
        <v>4</v>
      </c>
      <c r="AA856">
        <v>2233.64</v>
      </c>
      <c r="AB856">
        <v>0.05</v>
      </c>
      <c r="AC856">
        <f t="shared" si="204"/>
        <v>0.05</v>
      </c>
      <c r="AD856">
        <v>8487.83</v>
      </c>
      <c r="AE856">
        <f t="shared" si="205"/>
        <v>8487.832</v>
      </c>
      <c r="AF856">
        <v>5245.72</v>
      </c>
      <c r="AG856">
        <v>3242.11</v>
      </c>
      <c r="AH856">
        <f t="shared" si="206"/>
        <v>3242.112</v>
      </c>
      <c r="AI856">
        <f t="shared" si="207"/>
        <v>0.381971744963849</v>
      </c>
      <c r="AJ856" t="s">
        <v>77</v>
      </c>
      <c r="AK856" t="str">
        <f t="shared" si="208"/>
        <v>Paid</v>
      </c>
      <c r="AL856" t="s">
        <v>78</v>
      </c>
      <c r="AM856" t="str">
        <f t="shared" si="209"/>
        <v>Completed</v>
      </c>
      <c r="AN856">
        <v>3</v>
      </c>
      <c r="AO856">
        <v>2025</v>
      </c>
      <c r="AP856" t="s">
        <v>79</v>
      </c>
    </row>
    <row r="857" spans="1:42">
      <c r="A857" t="s">
        <v>3976</v>
      </c>
      <c r="B857" s="3" t="s">
        <v>788</v>
      </c>
      <c r="C857" s="3">
        <v>45498</v>
      </c>
      <c r="D857" t="s">
        <v>3977</v>
      </c>
      <c r="E857" s="3">
        <v>45506</v>
      </c>
      <c r="F857" t="s">
        <v>1770</v>
      </c>
      <c r="G857" t="s">
        <v>188</v>
      </c>
      <c r="H857" t="str">
        <f t="shared" si="195"/>
        <v>Rahul Verma</v>
      </c>
      <c r="I857" t="s">
        <v>71</v>
      </c>
      <c r="J857" t="str">
        <f t="shared" si="196"/>
        <v>Consumer</v>
      </c>
      <c r="K857" t="s">
        <v>8</v>
      </c>
      <c r="L857" t="str">
        <f t="shared" si="197"/>
        <v>North</v>
      </c>
      <c r="M857" t="s">
        <v>72</v>
      </c>
      <c r="N857" t="str">
        <f t="shared" si="198"/>
        <v>Rajasthan</v>
      </c>
      <c r="O857" t="s">
        <v>73</v>
      </c>
      <c r="P857" t="str">
        <f t="shared" si="199"/>
        <v>Jaipur</v>
      </c>
      <c r="Q857" t="s">
        <v>22</v>
      </c>
      <c r="R857" t="str">
        <f t="shared" si="200"/>
        <v>Office Supplies</v>
      </c>
      <c r="S857" t="s">
        <v>3978</v>
      </c>
      <c r="T857" t="str">
        <f t="shared" si="201"/>
        <v>Labels</v>
      </c>
      <c r="U857" t="s">
        <v>3979</v>
      </c>
      <c r="V857" t="str">
        <f t="shared" si="202"/>
        <v>Classic Labels 215</v>
      </c>
      <c r="W857" t="s">
        <v>76</v>
      </c>
      <c r="X857" t="str">
        <f t="shared" si="203"/>
        <v>Second Class</v>
      </c>
      <c r="Y857">
        <v>8</v>
      </c>
      <c r="Z857">
        <v>2</v>
      </c>
      <c r="AA857">
        <v>2073.53</v>
      </c>
      <c r="AB857">
        <v>0.25</v>
      </c>
      <c r="AC857">
        <f t="shared" si="204"/>
        <v>0.25</v>
      </c>
      <c r="AD857">
        <v>3110.3</v>
      </c>
      <c r="AE857">
        <f t="shared" si="205"/>
        <v>3110.295</v>
      </c>
      <c r="AF857">
        <v>2101.03</v>
      </c>
      <c r="AG857">
        <v>1009.27</v>
      </c>
      <c r="AH857">
        <f t="shared" si="206"/>
        <v>1009.265</v>
      </c>
      <c r="AI857">
        <f t="shared" si="207"/>
        <v>0.324491728276578</v>
      </c>
      <c r="AJ857" t="s">
        <v>77</v>
      </c>
      <c r="AK857" t="str">
        <f t="shared" si="208"/>
        <v>Paid</v>
      </c>
      <c r="AL857" t="s">
        <v>78</v>
      </c>
      <c r="AM857" t="str">
        <f t="shared" si="209"/>
        <v>Completed</v>
      </c>
      <c r="AN857">
        <v>7</v>
      </c>
      <c r="AO857">
        <v>2024</v>
      </c>
      <c r="AP857" t="s">
        <v>79</v>
      </c>
    </row>
    <row r="858" spans="1:42">
      <c r="A858" t="s">
        <v>3980</v>
      </c>
      <c r="B858" s="3" t="s">
        <v>3981</v>
      </c>
      <c r="C858" s="3">
        <v>45455</v>
      </c>
      <c r="D858" t="s">
        <v>738</v>
      </c>
      <c r="E858" s="3">
        <v>45462</v>
      </c>
      <c r="F858" t="s">
        <v>2034</v>
      </c>
      <c r="G858" t="s">
        <v>220</v>
      </c>
      <c r="H858" t="str">
        <f t="shared" si="195"/>
        <v>Rohan Mehta</v>
      </c>
      <c r="I858" t="s">
        <v>154</v>
      </c>
      <c r="J858" t="str">
        <f t="shared" si="196"/>
        <v>Home Office</v>
      </c>
      <c r="K858" t="s">
        <v>10</v>
      </c>
      <c r="L858" t="str">
        <f t="shared" si="197"/>
        <v>South</v>
      </c>
      <c r="M858" t="s">
        <v>382</v>
      </c>
      <c r="N858" t="str">
        <f t="shared" si="198"/>
        <v>Tamil Nadu</v>
      </c>
      <c r="O858" t="s">
        <v>383</v>
      </c>
      <c r="P858" t="str">
        <f t="shared" si="199"/>
        <v>Chennai</v>
      </c>
      <c r="Q858" t="s">
        <v>22</v>
      </c>
      <c r="R858" t="str">
        <f t="shared" si="200"/>
        <v>Office Supplies</v>
      </c>
      <c r="S858" t="s">
        <v>196</v>
      </c>
      <c r="T858" t="str">
        <f t="shared" si="201"/>
        <v>Storage</v>
      </c>
      <c r="U858" t="s">
        <v>3982</v>
      </c>
      <c r="V858" t="str">
        <f t="shared" si="202"/>
        <v>Classic Storage 918</v>
      </c>
      <c r="W858" t="s">
        <v>108</v>
      </c>
      <c r="X858" t="str">
        <f t="shared" si="203"/>
        <v>Standard Class</v>
      </c>
      <c r="Y858">
        <v>7</v>
      </c>
      <c r="Z858">
        <v>4</v>
      </c>
      <c r="AA858">
        <v>395.1</v>
      </c>
      <c r="AB858">
        <v>-0.16</v>
      </c>
      <c r="AC858">
        <f t="shared" si="204"/>
        <v>0</v>
      </c>
      <c r="AD858">
        <v>1185.3</v>
      </c>
      <c r="AE858">
        <f t="shared" si="205"/>
        <v>1580.4</v>
      </c>
      <c r="AF858">
        <v>966.55</v>
      </c>
      <c r="AG858">
        <v>218.75</v>
      </c>
      <c r="AH858">
        <f t="shared" si="206"/>
        <v>613.85</v>
      </c>
      <c r="AI858">
        <f t="shared" si="207"/>
        <v>0.388414325487218</v>
      </c>
      <c r="AJ858" t="s">
        <v>241</v>
      </c>
      <c r="AK858" t="str">
        <f t="shared" si="208"/>
        <v>Failed</v>
      </c>
      <c r="AL858" t="s">
        <v>118</v>
      </c>
      <c r="AM858" t="str">
        <f t="shared" si="209"/>
        <v>Cancelled</v>
      </c>
      <c r="AN858">
        <v>6</v>
      </c>
      <c r="AO858">
        <v>2024</v>
      </c>
      <c r="AP858" t="s">
        <v>222</v>
      </c>
    </row>
    <row r="859" spans="1:42">
      <c r="A859" t="s">
        <v>3983</v>
      </c>
      <c r="B859" s="3" t="s">
        <v>3984</v>
      </c>
      <c r="C859" s="3">
        <v>45447</v>
      </c>
      <c r="D859" t="s">
        <v>3985</v>
      </c>
      <c r="E859" s="3">
        <v>45447</v>
      </c>
      <c r="F859" t="s">
        <v>3295</v>
      </c>
      <c r="G859" t="s">
        <v>208</v>
      </c>
      <c r="H859" t="str">
        <f t="shared" si="195"/>
        <v>Sneha Kapoor</v>
      </c>
      <c r="I859" t="s">
        <v>154</v>
      </c>
      <c r="J859" t="str">
        <f t="shared" si="196"/>
        <v>Home Office</v>
      </c>
      <c r="K859" t="s">
        <v>10</v>
      </c>
      <c r="L859" t="str">
        <f t="shared" si="197"/>
        <v>South</v>
      </c>
      <c r="M859" t="s">
        <v>285</v>
      </c>
      <c r="N859" t="str">
        <f t="shared" si="198"/>
        <v>Kerala</v>
      </c>
      <c r="O859" t="s">
        <v>286</v>
      </c>
      <c r="P859" t="str">
        <f t="shared" si="199"/>
        <v>Kochi</v>
      </c>
      <c r="Q859" t="s">
        <v>22</v>
      </c>
      <c r="R859" t="str">
        <f t="shared" si="200"/>
        <v>Office Supplies</v>
      </c>
      <c r="S859" t="s">
        <v>196</v>
      </c>
      <c r="T859" t="str">
        <f t="shared" si="201"/>
        <v>Storage</v>
      </c>
      <c r="U859" t="s">
        <v>3986</v>
      </c>
      <c r="V859" t="str">
        <f t="shared" si="202"/>
        <v>Max Storage 223</v>
      </c>
      <c r="W859" t="s">
        <v>98</v>
      </c>
      <c r="X859" t="str">
        <f t="shared" si="203"/>
        <v>First Class</v>
      </c>
      <c r="Y859">
        <v>0</v>
      </c>
      <c r="Z859">
        <v>6</v>
      </c>
      <c r="AA859">
        <v>2708.97</v>
      </c>
      <c r="AB859">
        <v>0.25</v>
      </c>
      <c r="AC859">
        <f t="shared" si="204"/>
        <v>0.25</v>
      </c>
      <c r="AD859">
        <v>12190.36</v>
      </c>
      <c r="AE859">
        <f t="shared" si="205"/>
        <v>12190.365</v>
      </c>
      <c r="AF859">
        <v>10176.99</v>
      </c>
      <c r="AG859">
        <v>2013.37</v>
      </c>
      <c r="AH859">
        <f t="shared" si="206"/>
        <v>2013.375</v>
      </c>
      <c r="AI859">
        <f t="shared" si="207"/>
        <v>0.165161174419306</v>
      </c>
      <c r="AJ859" t="s">
        <v>77</v>
      </c>
      <c r="AK859" t="str">
        <f t="shared" si="208"/>
        <v>Paid</v>
      </c>
      <c r="AL859" t="s">
        <v>78</v>
      </c>
      <c r="AM859" t="str">
        <f t="shared" si="209"/>
        <v>Completed</v>
      </c>
      <c r="AN859">
        <v>6</v>
      </c>
      <c r="AO859">
        <v>2024</v>
      </c>
      <c r="AP859" t="s">
        <v>79</v>
      </c>
    </row>
    <row r="860" spans="1:42">
      <c r="A860" t="s">
        <v>3987</v>
      </c>
      <c r="B860" s="3" t="s">
        <v>1278</v>
      </c>
      <c r="C860" s="3">
        <v>45414</v>
      </c>
      <c r="D860" t="s">
        <v>1346</v>
      </c>
      <c r="E860" s="3">
        <v>45421</v>
      </c>
      <c r="F860" t="s">
        <v>3988</v>
      </c>
      <c r="G860" t="s">
        <v>103</v>
      </c>
      <c r="H860" t="str">
        <f t="shared" si="195"/>
        <v>Arjun Bose</v>
      </c>
      <c r="I860" t="s">
        <v>71</v>
      </c>
      <c r="J860" t="str">
        <f t="shared" si="196"/>
        <v>Consumer</v>
      </c>
      <c r="K860" t="s">
        <v>7</v>
      </c>
      <c r="L860" t="str">
        <f t="shared" si="197"/>
        <v>East</v>
      </c>
      <c r="M860" t="s">
        <v>86</v>
      </c>
      <c r="N860" t="str">
        <f t="shared" si="198"/>
        <v>Odisha</v>
      </c>
      <c r="O860" t="s">
        <v>87</v>
      </c>
      <c r="P860" t="str">
        <f t="shared" si="199"/>
        <v>Bhubaneswar</v>
      </c>
      <c r="Q860" t="s">
        <v>24</v>
      </c>
      <c r="R860" t="str">
        <f t="shared" si="200"/>
        <v>Technology</v>
      </c>
      <c r="S860" t="s">
        <v>126</v>
      </c>
      <c r="T860" t="str">
        <f t="shared" si="201"/>
        <v>Accessories</v>
      </c>
      <c r="U860" t="s">
        <v>3989</v>
      </c>
      <c r="V860" t="str">
        <f t="shared" si="202"/>
        <v>Basic Accessories 602</v>
      </c>
      <c r="W860" t="s">
        <v>76</v>
      </c>
      <c r="X860" t="str">
        <f t="shared" si="203"/>
        <v>Second Class</v>
      </c>
      <c r="Y860">
        <v>7</v>
      </c>
      <c r="Z860">
        <v>4</v>
      </c>
      <c r="AA860">
        <v>2904.86</v>
      </c>
      <c r="AB860">
        <v>0</v>
      </c>
      <c r="AC860">
        <f t="shared" si="204"/>
        <v>0</v>
      </c>
      <c r="AD860">
        <v>11619.44</v>
      </c>
      <c r="AE860">
        <f t="shared" si="205"/>
        <v>11619.44</v>
      </c>
      <c r="AF860">
        <v>7184.32</v>
      </c>
      <c r="AG860">
        <v>4494.64</v>
      </c>
      <c r="AH860">
        <f t="shared" si="206"/>
        <v>4435.12</v>
      </c>
      <c r="AI860">
        <f t="shared" si="207"/>
        <v>0.381698257403111</v>
      </c>
      <c r="AJ860" t="s">
        <v>77</v>
      </c>
      <c r="AK860" t="str">
        <f t="shared" si="208"/>
        <v>Paid</v>
      </c>
      <c r="AL860" t="s">
        <v>78</v>
      </c>
      <c r="AM860" t="str">
        <f t="shared" si="209"/>
        <v>Completed</v>
      </c>
      <c r="AN860">
        <v>5</v>
      </c>
      <c r="AO860">
        <v>2024</v>
      </c>
      <c r="AP860" t="s">
        <v>79</v>
      </c>
    </row>
    <row r="861" spans="1:42">
      <c r="A861" t="s">
        <v>3990</v>
      </c>
      <c r="B861" s="3" t="s">
        <v>3567</v>
      </c>
      <c r="C861" s="3">
        <v>45592</v>
      </c>
      <c r="D861" t="s">
        <v>3991</v>
      </c>
      <c r="E861" s="3">
        <v>45597</v>
      </c>
      <c r="F861" t="s">
        <v>3992</v>
      </c>
      <c r="G861" t="s">
        <v>146</v>
      </c>
      <c r="H861" t="str">
        <f t="shared" si="195"/>
        <v>Aditi Sen</v>
      </c>
      <c r="I861" t="s">
        <v>147</v>
      </c>
      <c r="J861" t="str">
        <f t="shared" si="196"/>
        <v>Corporate</v>
      </c>
      <c r="K861" t="s">
        <v>10</v>
      </c>
      <c r="L861" t="str">
        <f t="shared" si="197"/>
        <v>South</v>
      </c>
      <c r="M861" t="s">
        <v>382</v>
      </c>
      <c r="N861" t="str">
        <f t="shared" si="198"/>
        <v>Tamil Nadu</v>
      </c>
      <c r="O861" t="s">
        <v>383</v>
      </c>
      <c r="P861" t="str">
        <f t="shared" si="199"/>
        <v>Chennai</v>
      </c>
      <c r="Q861" t="s">
        <v>24</v>
      </c>
      <c r="R861" t="str">
        <f t="shared" si="200"/>
        <v>Technology</v>
      </c>
      <c r="S861" t="s">
        <v>265</v>
      </c>
      <c r="T861" t="str">
        <f t="shared" si="201"/>
        <v>Phones</v>
      </c>
      <c r="U861" t="s">
        <v>3993</v>
      </c>
      <c r="V861" t="str">
        <f t="shared" si="202"/>
        <v>Elite Phones 394</v>
      </c>
      <c r="W861" t="s">
        <v>108</v>
      </c>
      <c r="X861" t="str">
        <f t="shared" si="203"/>
        <v>Standard Class</v>
      </c>
      <c r="Y861">
        <v>5</v>
      </c>
      <c r="Z861">
        <v>6</v>
      </c>
      <c r="AA861">
        <v>4399.2</v>
      </c>
      <c r="AB861">
        <v>0.05</v>
      </c>
      <c r="AC861">
        <f t="shared" si="204"/>
        <v>0.05</v>
      </c>
      <c r="AD861">
        <v>25075.44</v>
      </c>
      <c r="AE861">
        <f t="shared" si="205"/>
        <v>25075.44</v>
      </c>
      <c r="AF861">
        <v>16282.74</v>
      </c>
      <c r="AG861">
        <v>8792.7</v>
      </c>
      <c r="AH861">
        <f t="shared" si="206"/>
        <v>8792.7</v>
      </c>
      <c r="AI861">
        <f t="shared" si="207"/>
        <v>0.350649878925355</v>
      </c>
      <c r="AJ861" t="s">
        <v>77</v>
      </c>
      <c r="AK861" t="str">
        <f t="shared" si="208"/>
        <v>Paid</v>
      </c>
      <c r="AL861" t="s">
        <v>78</v>
      </c>
      <c r="AM861" t="str">
        <f t="shared" si="209"/>
        <v>Completed</v>
      </c>
      <c r="AN861">
        <v>10</v>
      </c>
      <c r="AO861">
        <v>2024</v>
      </c>
      <c r="AP861" t="s">
        <v>79</v>
      </c>
    </row>
    <row r="862" spans="1:42">
      <c r="A862" t="s">
        <v>3994</v>
      </c>
      <c r="B862" s="3" t="s">
        <v>793</v>
      </c>
      <c r="C862" s="3">
        <v>45324</v>
      </c>
      <c r="D862" t="s">
        <v>3995</v>
      </c>
      <c r="E862" s="3">
        <v>45326</v>
      </c>
      <c r="F862" t="s">
        <v>3996</v>
      </c>
      <c r="G862" t="s">
        <v>123</v>
      </c>
      <c r="H862" t="str">
        <f t="shared" si="195"/>
        <v>Vikram Iyer</v>
      </c>
      <c r="I862" t="s">
        <v>154</v>
      </c>
      <c r="J862" t="str">
        <f t="shared" si="196"/>
        <v>Home Office</v>
      </c>
      <c r="K862" t="s">
        <v>8</v>
      </c>
      <c r="L862" t="str">
        <f t="shared" si="197"/>
        <v>North</v>
      </c>
      <c r="M862" t="s">
        <v>214</v>
      </c>
      <c r="N862" t="str">
        <f t="shared" si="198"/>
        <v>Uttar Pradesh</v>
      </c>
      <c r="O862" t="s">
        <v>215</v>
      </c>
      <c r="P862" t="str">
        <f t="shared" si="199"/>
        <v>Noida</v>
      </c>
      <c r="Q862" t="s">
        <v>22</v>
      </c>
      <c r="R862" t="str">
        <f t="shared" si="200"/>
        <v>Office Supplies</v>
      </c>
      <c r="S862" t="s">
        <v>196</v>
      </c>
      <c r="T862" t="str">
        <f t="shared" si="201"/>
        <v>Storage</v>
      </c>
      <c r="U862" t="s">
        <v>3997</v>
      </c>
      <c r="V862" t="str">
        <f t="shared" si="202"/>
        <v>Classic Storage 194</v>
      </c>
      <c r="W862" t="s">
        <v>76</v>
      </c>
      <c r="X862" t="str">
        <f t="shared" si="203"/>
        <v>Second Class</v>
      </c>
      <c r="Y862">
        <v>2</v>
      </c>
      <c r="Z862">
        <v>1</v>
      </c>
      <c r="AA862">
        <v>4397.32</v>
      </c>
      <c r="AB862">
        <v>0.05</v>
      </c>
      <c r="AC862">
        <f t="shared" si="204"/>
        <v>0.05</v>
      </c>
      <c r="AD862">
        <v>4177.45</v>
      </c>
      <c r="AE862">
        <f t="shared" si="205"/>
        <v>4177.454</v>
      </c>
      <c r="AF862">
        <v>2299.5</v>
      </c>
      <c r="AG862">
        <v>1877.95</v>
      </c>
      <c r="AH862">
        <f t="shared" si="206"/>
        <v>1877.954</v>
      </c>
      <c r="AI862">
        <f t="shared" si="207"/>
        <v>0.449545105703139</v>
      </c>
      <c r="AJ862" t="s">
        <v>77</v>
      </c>
      <c r="AK862" t="str">
        <f t="shared" si="208"/>
        <v>Paid</v>
      </c>
      <c r="AL862" t="s">
        <v>78</v>
      </c>
      <c r="AM862" t="str">
        <f t="shared" si="209"/>
        <v>Completed</v>
      </c>
      <c r="AN862">
        <v>2</v>
      </c>
      <c r="AO862">
        <v>2024</v>
      </c>
      <c r="AP862" t="s">
        <v>79</v>
      </c>
    </row>
    <row r="863" spans="1:42">
      <c r="A863" t="s">
        <v>3998</v>
      </c>
      <c r="B863" s="3" t="s">
        <v>3999</v>
      </c>
      <c r="C863" s="3">
        <v>45724</v>
      </c>
      <c r="D863" t="s">
        <v>4000</v>
      </c>
      <c r="E863" s="3">
        <v>45725</v>
      </c>
      <c r="F863" t="s">
        <v>4001</v>
      </c>
      <c r="G863" t="s">
        <v>182</v>
      </c>
      <c r="H863" t="str">
        <f t="shared" si="195"/>
        <v>Priya Menon</v>
      </c>
      <c r="I863" t="s">
        <v>154</v>
      </c>
      <c r="J863" t="str">
        <f t="shared" si="196"/>
        <v>Home Office</v>
      </c>
      <c r="K863" t="s">
        <v>8</v>
      </c>
      <c r="L863" t="str">
        <f t="shared" si="197"/>
        <v>North</v>
      </c>
      <c r="M863" t="s">
        <v>552</v>
      </c>
      <c r="N863" t="str">
        <f t="shared" si="198"/>
        <v>Delhi</v>
      </c>
      <c r="O863" t="s">
        <v>553</v>
      </c>
      <c r="P863" t="str">
        <f t="shared" si="199"/>
        <v>New Delhi</v>
      </c>
      <c r="Q863" t="s">
        <v>19</v>
      </c>
      <c r="R863" t="str">
        <f t="shared" si="200"/>
        <v>Furniture</v>
      </c>
      <c r="S863" t="s">
        <v>106</v>
      </c>
      <c r="T863" t="str">
        <f t="shared" si="201"/>
        <v>Furnishings</v>
      </c>
      <c r="U863" t="s">
        <v>4002</v>
      </c>
      <c r="V863" t="str">
        <f t="shared" si="202"/>
        <v>Smart Furnishings 892</v>
      </c>
      <c r="W863" t="s">
        <v>90</v>
      </c>
      <c r="X863" t="str">
        <f t="shared" si="203"/>
        <v>Same Day</v>
      </c>
      <c r="Y863">
        <v>1</v>
      </c>
      <c r="Z863">
        <v>4</v>
      </c>
      <c r="AA863">
        <v>3405.68</v>
      </c>
      <c r="AB863">
        <v>0.2</v>
      </c>
      <c r="AC863">
        <f t="shared" si="204"/>
        <v>0.2</v>
      </c>
      <c r="AD863">
        <v>10898.18</v>
      </c>
      <c r="AE863">
        <f t="shared" si="205"/>
        <v>10898.176</v>
      </c>
      <c r="AF863">
        <v>6231.41</v>
      </c>
      <c r="AG863">
        <v>4666.77</v>
      </c>
      <c r="AH863">
        <f t="shared" si="206"/>
        <v>4666.766</v>
      </c>
      <c r="AI863">
        <f t="shared" si="207"/>
        <v>0.428215327041883</v>
      </c>
      <c r="AJ863" t="s">
        <v>77</v>
      </c>
      <c r="AK863" t="str">
        <f t="shared" si="208"/>
        <v>Paid</v>
      </c>
      <c r="AL863" t="s">
        <v>78</v>
      </c>
      <c r="AM863" t="str">
        <f t="shared" si="209"/>
        <v>Completed</v>
      </c>
      <c r="AN863">
        <v>3</v>
      </c>
      <c r="AO863">
        <v>2025</v>
      </c>
      <c r="AP863" t="s">
        <v>79</v>
      </c>
    </row>
    <row r="864" spans="1:42">
      <c r="A864" t="s">
        <v>4003</v>
      </c>
      <c r="B864" s="3" t="s">
        <v>3376</v>
      </c>
      <c r="C864" s="3">
        <v>45742</v>
      </c>
      <c r="D864" t="s">
        <v>4004</v>
      </c>
      <c r="E864" s="3">
        <v>45747</v>
      </c>
      <c r="F864" t="s">
        <v>4005</v>
      </c>
      <c r="G864" t="s">
        <v>182</v>
      </c>
      <c r="H864" t="str">
        <f t="shared" si="195"/>
        <v>Priya Menon</v>
      </c>
      <c r="I864" t="s">
        <v>85</v>
      </c>
      <c r="J864" t="str">
        <f t="shared" si="196"/>
        <v>Small Business</v>
      </c>
      <c r="K864" t="s">
        <v>7</v>
      </c>
      <c r="L864" t="str">
        <f t="shared" si="197"/>
        <v>East</v>
      </c>
      <c r="M864" t="s">
        <v>354</v>
      </c>
      <c r="N864" t="str">
        <f t="shared" si="198"/>
        <v>Jharkhand</v>
      </c>
      <c r="O864" t="s">
        <v>355</v>
      </c>
      <c r="P864" t="str">
        <f t="shared" si="199"/>
        <v>Ranchi</v>
      </c>
      <c r="Q864" t="s">
        <v>22</v>
      </c>
      <c r="R864" t="str">
        <f t="shared" si="200"/>
        <v>Office Supplies</v>
      </c>
      <c r="S864" t="s">
        <v>239</v>
      </c>
      <c r="T864" t="str">
        <f t="shared" si="201"/>
        <v>Binders</v>
      </c>
      <c r="U864" t="s">
        <v>4006</v>
      </c>
      <c r="V864" t="str">
        <f t="shared" si="202"/>
        <v>Pro Binders 488</v>
      </c>
      <c r="W864" t="s">
        <v>98</v>
      </c>
      <c r="X864" t="str">
        <f t="shared" si="203"/>
        <v>First Class</v>
      </c>
      <c r="Y864">
        <v>5</v>
      </c>
      <c r="Z864">
        <v>5</v>
      </c>
      <c r="AA864">
        <v>1395.14</v>
      </c>
      <c r="AB864">
        <v>0</v>
      </c>
      <c r="AC864">
        <f t="shared" si="204"/>
        <v>0</v>
      </c>
      <c r="AD864">
        <v>6975.7</v>
      </c>
      <c r="AE864">
        <f t="shared" si="205"/>
        <v>6975.7</v>
      </c>
      <c r="AF864">
        <v>4797.88</v>
      </c>
      <c r="AG864">
        <v>2177.82</v>
      </c>
      <c r="AH864">
        <f t="shared" si="206"/>
        <v>2177.82</v>
      </c>
      <c r="AI864">
        <f t="shared" si="207"/>
        <v>0.312200926071936</v>
      </c>
      <c r="AJ864" t="s">
        <v>77</v>
      </c>
      <c r="AK864" t="str">
        <f t="shared" si="208"/>
        <v>Paid</v>
      </c>
      <c r="AL864" t="s">
        <v>118</v>
      </c>
      <c r="AM864" t="str">
        <f t="shared" si="209"/>
        <v>Cancelled</v>
      </c>
      <c r="AN864">
        <v>3</v>
      </c>
      <c r="AO864">
        <v>2025</v>
      </c>
      <c r="AP864" t="s">
        <v>79</v>
      </c>
    </row>
    <row r="865" spans="1:42">
      <c r="A865" t="s">
        <v>4007</v>
      </c>
      <c r="B865" s="3" t="s">
        <v>4008</v>
      </c>
      <c r="C865" s="3">
        <v>45906</v>
      </c>
      <c r="D865" t="s">
        <v>2789</v>
      </c>
      <c r="E865" s="3">
        <v>45908</v>
      </c>
      <c r="F865" t="s">
        <v>4009</v>
      </c>
      <c r="G865" t="s">
        <v>202</v>
      </c>
      <c r="H865" t="str">
        <f t="shared" si="195"/>
        <v>Aarav Sharma</v>
      </c>
      <c r="I865" t="s">
        <v>154</v>
      </c>
      <c r="J865" t="str">
        <f t="shared" si="196"/>
        <v>Home Office</v>
      </c>
      <c r="K865" t="s">
        <v>11</v>
      </c>
      <c r="L865" t="str">
        <f t="shared" si="197"/>
        <v>West</v>
      </c>
      <c r="M865" t="s">
        <v>124</v>
      </c>
      <c r="N865" t="str">
        <f t="shared" si="198"/>
        <v>Madhya Pradesh</v>
      </c>
      <c r="O865" t="s">
        <v>125</v>
      </c>
      <c r="P865" t="str">
        <f t="shared" si="199"/>
        <v>Indore</v>
      </c>
      <c r="Q865" t="s">
        <v>19</v>
      </c>
      <c r="R865" t="str">
        <f t="shared" si="200"/>
        <v>Furniture</v>
      </c>
      <c r="S865" t="s">
        <v>106</v>
      </c>
      <c r="T865" t="str">
        <f t="shared" si="201"/>
        <v>Furnishings</v>
      </c>
      <c r="U865" t="s">
        <v>4010</v>
      </c>
      <c r="V865" t="str">
        <f t="shared" si="202"/>
        <v>Prime Furnishings 679</v>
      </c>
      <c r="W865" t="s">
        <v>90</v>
      </c>
      <c r="X865" t="str">
        <f t="shared" si="203"/>
        <v>Same Day</v>
      </c>
      <c r="Y865">
        <v>2</v>
      </c>
      <c r="Z865">
        <v>3</v>
      </c>
      <c r="AA865">
        <v>2937.23</v>
      </c>
      <c r="AB865">
        <v>0</v>
      </c>
      <c r="AC865">
        <f t="shared" si="204"/>
        <v>0</v>
      </c>
      <c r="AD865">
        <v>8811.69</v>
      </c>
      <c r="AE865">
        <f t="shared" si="205"/>
        <v>8811.69</v>
      </c>
      <c r="AF865">
        <v>6765.91</v>
      </c>
      <c r="AG865">
        <v>2045.78</v>
      </c>
      <c r="AH865">
        <f t="shared" si="206"/>
        <v>2045.78</v>
      </c>
      <c r="AI865">
        <f t="shared" si="207"/>
        <v>0.232166587794169</v>
      </c>
      <c r="AJ865" t="s">
        <v>77</v>
      </c>
      <c r="AK865" t="str">
        <f t="shared" si="208"/>
        <v>Paid</v>
      </c>
      <c r="AL865" t="s">
        <v>78</v>
      </c>
      <c r="AM865" t="str">
        <f t="shared" si="209"/>
        <v>Completed</v>
      </c>
      <c r="AN865">
        <v>9</v>
      </c>
      <c r="AO865">
        <v>2025</v>
      </c>
      <c r="AP865" t="s">
        <v>79</v>
      </c>
    </row>
    <row r="866" spans="1:42">
      <c r="A866" t="s">
        <v>4011</v>
      </c>
      <c r="B866" s="3" t="s">
        <v>4012</v>
      </c>
      <c r="C866" s="3">
        <v>45902</v>
      </c>
      <c r="D866" t="s">
        <v>618</v>
      </c>
      <c r="E866" s="3">
        <v>45905</v>
      </c>
      <c r="F866" t="s">
        <v>4013</v>
      </c>
      <c r="G866" t="s">
        <v>123</v>
      </c>
      <c r="H866" t="str">
        <f t="shared" si="195"/>
        <v>Vikram Iyer</v>
      </c>
      <c r="I866" t="s">
        <v>71</v>
      </c>
      <c r="J866" t="str">
        <f t="shared" si="196"/>
        <v>Consumer</v>
      </c>
      <c r="K866" t="s">
        <v>10</v>
      </c>
      <c r="L866" t="str">
        <f t="shared" si="197"/>
        <v>South</v>
      </c>
      <c r="M866" t="s">
        <v>382</v>
      </c>
      <c r="N866" t="str">
        <f t="shared" si="198"/>
        <v>Tamil Nadu</v>
      </c>
      <c r="O866" t="s">
        <v>383</v>
      </c>
      <c r="P866" t="str">
        <f t="shared" si="199"/>
        <v>Chennai</v>
      </c>
      <c r="Q866" t="s">
        <v>24</v>
      </c>
      <c r="R866" t="str">
        <f t="shared" si="200"/>
        <v>Technology</v>
      </c>
      <c r="S866" t="s">
        <v>265</v>
      </c>
      <c r="T866" t="str">
        <f t="shared" si="201"/>
        <v>Phones</v>
      </c>
      <c r="U866" t="s">
        <v>4014</v>
      </c>
      <c r="V866" t="str">
        <f t="shared" si="202"/>
        <v>Smart Phones 158</v>
      </c>
      <c r="W866" t="s">
        <v>98</v>
      </c>
      <c r="X866" t="str">
        <f t="shared" si="203"/>
        <v>First Class</v>
      </c>
      <c r="Y866">
        <v>3</v>
      </c>
      <c r="Z866">
        <v>5</v>
      </c>
      <c r="AA866">
        <v>3406.87</v>
      </c>
      <c r="AB866">
        <v>0</v>
      </c>
      <c r="AC866">
        <f t="shared" si="204"/>
        <v>0</v>
      </c>
      <c r="AD866">
        <v>17034.35</v>
      </c>
      <c r="AE866">
        <f t="shared" si="205"/>
        <v>17034.35</v>
      </c>
      <c r="AF866">
        <v>14631.36</v>
      </c>
      <c r="AG866">
        <v>2402.99</v>
      </c>
      <c r="AH866">
        <f t="shared" si="206"/>
        <v>2402.99</v>
      </c>
      <c r="AI866">
        <f t="shared" si="207"/>
        <v>0.141067313986151</v>
      </c>
      <c r="AJ866" t="s">
        <v>77</v>
      </c>
      <c r="AK866" t="str">
        <f t="shared" si="208"/>
        <v>Paid</v>
      </c>
      <c r="AL866" t="s">
        <v>78</v>
      </c>
      <c r="AM866" t="str">
        <f t="shared" si="209"/>
        <v>Completed</v>
      </c>
      <c r="AN866">
        <v>9</v>
      </c>
      <c r="AO866">
        <v>2025</v>
      </c>
      <c r="AP866" t="s">
        <v>79</v>
      </c>
    </row>
    <row r="867" spans="1:42">
      <c r="A867" t="s">
        <v>4015</v>
      </c>
      <c r="B867" s="3" t="s">
        <v>3828</v>
      </c>
      <c r="C867" s="3">
        <v>45694</v>
      </c>
      <c r="D867" t="s">
        <v>1974</v>
      </c>
      <c r="E867" s="3">
        <v>45702</v>
      </c>
      <c r="F867" t="s">
        <v>4016</v>
      </c>
      <c r="G867" t="s">
        <v>411</v>
      </c>
      <c r="H867" t="str">
        <f t="shared" si="195"/>
        <v>Kabir Singh</v>
      </c>
      <c r="I867" t="s">
        <v>71</v>
      </c>
      <c r="J867" t="str">
        <f t="shared" si="196"/>
        <v>Consumer</v>
      </c>
      <c r="K867" t="s">
        <v>11</v>
      </c>
      <c r="L867" t="str">
        <f t="shared" si="197"/>
        <v>West</v>
      </c>
      <c r="M867" t="s">
        <v>114</v>
      </c>
      <c r="N867" t="str">
        <f t="shared" si="198"/>
        <v>Maharashtra</v>
      </c>
      <c r="O867" t="s">
        <v>115</v>
      </c>
      <c r="P867" t="str">
        <f t="shared" si="199"/>
        <v>Mumbai</v>
      </c>
      <c r="Q867" t="s">
        <v>22</v>
      </c>
      <c r="R867" t="str">
        <f t="shared" si="200"/>
        <v>Office Supplies</v>
      </c>
      <c r="S867" t="s">
        <v>148</v>
      </c>
      <c r="T867" t="str">
        <f t="shared" si="201"/>
        <v>Labels</v>
      </c>
      <c r="U867" t="s">
        <v>4017</v>
      </c>
      <c r="V867" t="str">
        <f t="shared" si="202"/>
        <v>Classic Labels 218</v>
      </c>
      <c r="W867" t="s">
        <v>76</v>
      </c>
      <c r="X867" t="str">
        <f t="shared" si="203"/>
        <v>Second Class</v>
      </c>
      <c r="Y867">
        <v>8</v>
      </c>
      <c r="Z867">
        <v>2</v>
      </c>
      <c r="AA867">
        <v>3992.04</v>
      </c>
      <c r="AB867">
        <v>0</v>
      </c>
      <c r="AC867">
        <f t="shared" si="204"/>
        <v>0</v>
      </c>
      <c r="AD867">
        <v>7984.08</v>
      </c>
      <c r="AE867">
        <f t="shared" si="205"/>
        <v>7984.08</v>
      </c>
      <c r="AF867">
        <v>5658.05</v>
      </c>
      <c r="AG867">
        <v>2326.03</v>
      </c>
      <c r="AH867">
        <f t="shared" si="206"/>
        <v>2326.03</v>
      </c>
      <c r="AI867">
        <f t="shared" si="207"/>
        <v>0.291333503672308</v>
      </c>
      <c r="AJ867" t="s">
        <v>77</v>
      </c>
      <c r="AK867" t="str">
        <f t="shared" si="208"/>
        <v>Paid</v>
      </c>
      <c r="AL867" t="s">
        <v>78</v>
      </c>
      <c r="AM867" t="str">
        <f t="shared" si="209"/>
        <v>Completed</v>
      </c>
      <c r="AN867">
        <v>2</v>
      </c>
      <c r="AO867">
        <v>2025</v>
      </c>
      <c r="AP867" t="s">
        <v>79</v>
      </c>
    </row>
    <row r="868" spans="1:42">
      <c r="A868" t="s">
        <v>4018</v>
      </c>
      <c r="B868" s="3" t="s">
        <v>1239</v>
      </c>
      <c r="C868" s="3">
        <v>45714</v>
      </c>
      <c r="D868" t="s">
        <v>4019</v>
      </c>
      <c r="E868" s="3">
        <v>45722</v>
      </c>
      <c r="F868" t="s">
        <v>4020</v>
      </c>
      <c r="G868" t="s">
        <v>182</v>
      </c>
      <c r="H868" t="str">
        <f t="shared" si="195"/>
        <v>Priya Menon</v>
      </c>
      <c r="I868" t="s">
        <v>71</v>
      </c>
      <c r="J868" t="str">
        <f t="shared" si="196"/>
        <v>Consumer</v>
      </c>
      <c r="K868" t="s">
        <v>7</v>
      </c>
      <c r="L868" t="str">
        <f t="shared" si="197"/>
        <v>East</v>
      </c>
      <c r="M868" t="s">
        <v>227</v>
      </c>
      <c r="N868" t="str">
        <f t="shared" si="198"/>
        <v>Bihar</v>
      </c>
      <c r="O868" t="s">
        <v>228</v>
      </c>
      <c r="P868" t="str">
        <f t="shared" si="199"/>
        <v>Patna</v>
      </c>
      <c r="Q868" t="s">
        <v>19</v>
      </c>
      <c r="R868" t="str">
        <f t="shared" si="200"/>
        <v>Furniture</v>
      </c>
      <c r="S868" t="s">
        <v>245</v>
      </c>
      <c r="T868" t="str">
        <f t="shared" si="201"/>
        <v>Bookcases</v>
      </c>
      <c r="U868" t="s">
        <v>4021</v>
      </c>
      <c r="V868" t="str">
        <f t="shared" si="202"/>
        <v>Smart Bookcases 552</v>
      </c>
      <c r="W868" t="s">
        <v>98</v>
      </c>
      <c r="X868" t="str">
        <f t="shared" si="203"/>
        <v>First Class</v>
      </c>
      <c r="Y868">
        <v>8</v>
      </c>
      <c r="Z868">
        <v>9</v>
      </c>
      <c r="AA868">
        <v>3043.37</v>
      </c>
      <c r="AB868">
        <v>0.2</v>
      </c>
      <c r="AC868">
        <f t="shared" si="204"/>
        <v>0.2</v>
      </c>
      <c r="AD868">
        <v>21912.26</v>
      </c>
      <c r="AE868">
        <f t="shared" si="205"/>
        <v>21912.264</v>
      </c>
      <c r="AF868">
        <v>16367.78</v>
      </c>
      <c r="AG868">
        <v>5544.48</v>
      </c>
      <c r="AH868">
        <f t="shared" si="206"/>
        <v>5544.484</v>
      </c>
      <c r="AI868">
        <f t="shared" si="207"/>
        <v>0.25303108797886</v>
      </c>
      <c r="AJ868" t="s">
        <v>177</v>
      </c>
      <c r="AK868" t="str">
        <f t="shared" si="208"/>
        <v>Pending</v>
      </c>
      <c r="AL868" t="s">
        <v>118</v>
      </c>
      <c r="AM868" t="str">
        <f t="shared" si="209"/>
        <v>Cancelled</v>
      </c>
      <c r="AN868">
        <v>2</v>
      </c>
      <c r="AO868">
        <v>2025</v>
      </c>
      <c r="AP868" t="s">
        <v>79</v>
      </c>
    </row>
    <row r="869" spans="1:42">
      <c r="A869" t="s">
        <v>4022</v>
      </c>
      <c r="B869" s="3" t="s">
        <v>4023</v>
      </c>
      <c r="C869" s="3">
        <v>45617</v>
      </c>
      <c r="D869" t="s">
        <v>4024</v>
      </c>
      <c r="E869" s="3">
        <v>45618</v>
      </c>
      <c r="F869" t="s">
        <v>4025</v>
      </c>
      <c r="G869" t="s">
        <v>188</v>
      </c>
      <c r="H869" t="str">
        <f t="shared" si="195"/>
        <v>Rahul Verma</v>
      </c>
      <c r="I869" t="s">
        <v>154</v>
      </c>
      <c r="J869" t="str">
        <f t="shared" si="196"/>
        <v>Home Office</v>
      </c>
      <c r="K869" t="s">
        <v>10</v>
      </c>
      <c r="L869" t="str">
        <f t="shared" si="197"/>
        <v>South</v>
      </c>
      <c r="M869" t="s">
        <v>139</v>
      </c>
      <c r="N869" t="str">
        <f t="shared" si="198"/>
        <v>Andhra Pradesh</v>
      </c>
      <c r="O869" t="s">
        <v>140</v>
      </c>
      <c r="P869" t="str">
        <f t="shared" si="199"/>
        <v>Vijayawada</v>
      </c>
      <c r="Q869" t="s">
        <v>24</v>
      </c>
      <c r="R869" t="str">
        <f t="shared" si="200"/>
        <v>Technology</v>
      </c>
      <c r="S869" t="s">
        <v>126</v>
      </c>
      <c r="T869" t="str">
        <f t="shared" si="201"/>
        <v>Accessories</v>
      </c>
      <c r="U869" t="s">
        <v>4026</v>
      </c>
      <c r="V869" t="str">
        <f t="shared" si="202"/>
        <v>Eco Accessories 389</v>
      </c>
      <c r="W869" t="s">
        <v>90</v>
      </c>
      <c r="X869" t="str">
        <f t="shared" si="203"/>
        <v>Same Day</v>
      </c>
      <c r="Y869">
        <v>1</v>
      </c>
      <c r="Z869">
        <v>6</v>
      </c>
      <c r="AA869">
        <v>1043.49</v>
      </c>
      <c r="AB869">
        <v>0.25</v>
      </c>
      <c r="AC869">
        <f t="shared" si="204"/>
        <v>0.25</v>
      </c>
      <c r="AD869">
        <v>4695.7</v>
      </c>
      <c r="AE869">
        <f t="shared" si="205"/>
        <v>4695.705</v>
      </c>
      <c r="AF869">
        <v>3871.69</v>
      </c>
      <c r="AG869">
        <v>824.01</v>
      </c>
      <c r="AH869">
        <f t="shared" si="206"/>
        <v>824.015</v>
      </c>
      <c r="AI869">
        <f t="shared" si="207"/>
        <v>0.175482701745531</v>
      </c>
      <c r="AJ869" t="s">
        <v>241</v>
      </c>
      <c r="AK869" t="str">
        <f t="shared" si="208"/>
        <v>Failed</v>
      </c>
      <c r="AL869" t="s">
        <v>118</v>
      </c>
      <c r="AM869" t="str">
        <f t="shared" si="209"/>
        <v>Cancelled</v>
      </c>
      <c r="AN869">
        <v>11</v>
      </c>
      <c r="AO869">
        <v>2024</v>
      </c>
      <c r="AP869" t="s">
        <v>79</v>
      </c>
    </row>
    <row r="870" spans="1:42">
      <c r="A870" t="s">
        <v>4027</v>
      </c>
      <c r="B870" s="3" t="s">
        <v>864</v>
      </c>
      <c r="C870" s="3">
        <v>45758</v>
      </c>
      <c r="D870" t="s">
        <v>2198</v>
      </c>
      <c r="E870" s="3">
        <v>45762</v>
      </c>
      <c r="F870" t="s">
        <v>4028</v>
      </c>
      <c r="G870" t="s">
        <v>123</v>
      </c>
      <c r="H870" t="str">
        <f t="shared" si="195"/>
        <v>Vikram Iyer</v>
      </c>
      <c r="I870" t="s">
        <v>154</v>
      </c>
      <c r="J870" t="str">
        <f t="shared" si="196"/>
        <v>Home Office</v>
      </c>
      <c r="K870" t="s">
        <v>10</v>
      </c>
      <c r="L870" t="str">
        <f t="shared" si="197"/>
        <v>South</v>
      </c>
      <c r="M870" t="s">
        <v>272</v>
      </c>
      <c r="N870" t="str">
        <f t="shared" si="198"/>
        <v>Karnataka</v>
      </c>
      <c r="O870" t="s">
        <v>273</v>
      </c>
      <c r="P870" t="str">
        <f t="shared" si="199"/>
        <v>Bengaluru</v>
      </c>
      <c r="Q870" t="s">
        <v>22</v>
      </c>
      <c r="R870" t="str">
        <f t="shared" si="200"/>
        <v>Office Supplies</v>
      </c>
      <c r="S870" t="s">
        <v>196</v>
      </c>
      <c r="T870" t="str">
        <f t="shared" si="201"/>
        <v>Storage</v>
      </c>
      <c r="U870" t="s">
        <v>4029</v>
      </c>
      <c r="V870" t="str">
        <f t="shared" si="202"/>
        <v>Elite Storage 187</v>
      </c>
      <c r="W870" t="s">
        <v>90</v>
      </c>
      <c r="X870" t="str">
        <f t="shared" si="203"/>
        <v>Same Day</v>
      </c>
      <c r="Y870">
        <v>4</v>
      </c>
      <c r="Z870">
        <v>9</v>
      </c>
      <c r="AA870">
        <v>224.94</v>
      </c>
      <c r="AB870">
        <v>0.05</v>
      </c>
      <c r="AC870">
        <f t="shared" si="204"/>
        <v>0.05</v>
      </c>
      <c r="AD870">
        <v>1923.24</v>
      </c>
      <c r="AE870">
        <f t="shared" si="205"/>
        <v>1923.237</v>
      </c>
      <c r="AF870">
        <v>1093.66</v>
      </c>
      <c r="AG870">
        <v>829.58</v>
      </c>
      <c r="AH870">
        <f t="shared" si="206"/>
        <v>829.577</v>
      </c>
      <c r="AI870">
        <f t="shared" si="207"/>
        <v>0.43134413491421</v>
      </c>
      <c r="AJ870" t="s">
        <v>77</v>
      </c>
      <c r="AK870" t="str">
        <f t="shared" si="208"/>
        <v>Paid</v>
      </c>
      <c r="AL870" t="s">
        <v>78</v>
      </c>
      <c r="AM870" t="str">
        <f t="shared" si="209"/>
        <v>Completed</v>
      </c>
      <c r="AN870">
        <v>4</v>
      </c>
      <c r="AO870">
        <v>2025</v>
      </c>
      <c r="AP870" t="s">
        <v>79</v>
      </c>
    </row>
    <row r="871" spans="1:42">
      <c r="A871" t="s">
        <v>4030</v>
      </c>
      <c r="B871" s="3" t="s">
        <v>4031</v>
      </c>
      <c r="C871" s="3">
        <v>45722</v>
      </c>
      <c r="D871" t="s">
        <v>837</v>
      </c>
      <c r="E871" s="3">
        <v>45723</v>
      </c>
      <c r="F871" t="s">
        <v>4032</v>
      </c>
      <c r="G871" t="s">
        <v>220</v>
      </c>
      <c r="H871" t="str">
        <f t="shared" si="195"/>
        <v>Rohan Mehta</v>
      </c>
      <c r="I871" t="s">
        <v>154</v>
      </c>
      <c r="J871" t="str">
        <f t="shared" si="196"/>
        <v>Home Office</v>
      </c>
      <c r="L871" t="str">
        <f t="shared" si="197"/>
        <v/>
      </c>
      <c r="M871" t="s">
        <v>552</v>
      </c>
      <c r="N871" t="str">
        <f t="shared" si="198"/>
        <v>Delhi</v>
      </c>
      <c r="O871" t="s">
        <v>553</v>
      </c>
      <c r="P871" t="str">
        <f t="shared" si="199"/>
        <v>New Delhi</v>
      </c>
      <c r="Q871" t="s">
        <v>19</v>
      </c>
      <c r="R871" t="str">
        <f t="shared" si="200"/>
        <v>Furniture</v>
      </c>
      <c r="S871" t="s">
        <v>116</v>
      </c>
      <c r="T871" t="str">
        <f t="shared" si="201"/>
        <v>Chairs</v>
      </c>
      <c r="U871" t="s">
        <v>1806</v>
      </c>
      <c r="V871" t="str">
        <f t="shared" si="202"/>
        <v>Max Chairs 487</v>
      </c>
      <c r="W871" t="s">
        <v>90</v>
      </c>
      <c r="X871" t="str">
        <f t="shared" si="203"/>
        <v>Same Day</v>
      </c>
      <c r="Y871">
        <v>1</v>
      </c>
      <c r="Z871">
        <v>6</v>
      </c>
      <c r="AA871">
        <v>796.65</v>
      </c>
      <c r="AB871">
        <v>0.1</v>
      </c>
      <c r="AC871">
        <f t="shared" si="204"/>
        <v>0.1</v>
      </c>
      <c r="AD871">
        <v>4301.91</v>
      </c>
      <c r="AE871">
        <f t="shared" si="205"/>
        <v>4301.91</v>
      </c>
      <c r="AF871">
        <v>2374.4</v>
      </c>
      <c r="AG871">
        <v>1927.51</v>
      </c>
      <c r="AH871">
        <f t="shared" si="206"/>
        <v>1927.51</v>
      </c>
      <c r="AI871">
        <f t="shared" si="207"/>
        <v>0.448059117926688</v>
      </c>
      <c r="AJ871" t="s">
        <v>77</v>
      </c>
      <c r="AK871" t="str">
        <f t="shared" si="208"/>
        <v>Paid</v>
      </c>
      <c r="AL871" t="s">
        <v>78</v>
      </c>
      <c r="AM871" t="str">
        <f t="shared" si="209"/>
        <v>Completed</v>
      </c>
      <c r="AN871">
        <v>3</v>
      </c>
      <c r="AO871">
        <v>2025</v>
      </c>
      <c r="AP871" t="s">
        <v>79</v>
      </c>
    </row>
    <row r="872" spans="1:42">
      <c r="A872" t="s">
        <v>4033</v>
      </c>
      <c r="B872" s="3" t="s">
        <v>4034</v>
      </c>
      <c r="C872" s="3">
        <v>45814</v>
      </c>
      <c r="D872" t="s">
        <v>4035</v>
      </c>
      <c r="E872" s="3">
        <v>45815</v>
      </c>
      <c r="F872" t="s">
        <v>4036</v>
      </c>
      <c r="G872" t="s">
        <v>123</v>
      </c>
      <c r="H872" t="str">
        <f t="shared" si="195"/>
        <v>Vikram Iyer</v>
      </c>
      <c r="I872" t="s">
        <v>147</v>
      </c>
      <c r="J872" t="str">
        <f t="shared" si="196"/>
        <v>Corporate</v>
      </c>
      <c r="K872" t="s">
        <v>11</v>
      </c>
      <c r="L872" t="str">
        <f t="shared" si="197"/>
        <v>West</v>
      </c>
      <c r="M872" t="s">
        <v>292</v>
      </c>
      <c r="N872" t="str">
        <f t="shared" si="198"/>
        <v>Goa</v>
      </c>
      <c r="O872" t="s">
        <v>293</v>
      </c>
      <c r="P872" t="str">
        <f t="shared" si="199"/>
        <v>Panaji</v>
      </c>
      <c r="Q872" t="s">
        <v>19</v>
      </c>
      <c r="R872" t="str">
        <f t="shared" si="200"/>
        <v>Furniture</v>
      </c>
      <c r="S872" t="s">
        <v>88</v>
      </c>
      <c r="T872" t="str">
        <f t="shared" si="201"/>
        <v>Tables</v>
      </c>
      <c r="U872" t="s">
        <v>4037</v>
      </c>
      <c r="V872" t="str">
        <f t="shared" si="202"/>
        <v>Max Tables 281</v>
      </c>
      <c r="W872" t="s">
        <v>108</v>
      </c>
      <c r="X872" t="str">
        <f t="shared" si="203"/>
        <v>Standard Class</v>
      </c>
      <c r="Y872">
        <v>1</v>
      </c>
      <c r="Z872">
        <v>9</v>
      </c>
      <c r="AA872">
        <v>2932.92</v>
      </c>
      <c r="AB872">
        <v>0.15</v>
      </c>
      <c r="AC872">
        <f t="shared" si="204"/>
        <v>0.15</v>
      </c>
      <c r="AD872">
        <v>22436.84</v>
      </c>
      <c r="AE872">
        <f t="shared" si="205"/>
        <v>22436.838</v>
      </c>
      <c r="AF872">
        <v>17454.67</v>
      </c>
      <c r="AG872">
        <v>4982.17</v>
      </c>
      <c r="AH872">
        <f t="shared" si="206"/>
        <v>4982.168</v>
      </c>
      <c r="AI872">
        <f t="shared" si="207"/>
        <v>0.222053036172031</v>
      </c>
      <c r="AJ872" t="s">
        <v>77</v>
      </c>
      <c r="AK872" t="str">
        <f t="shared" si="208"/>
        <v>Paid</v>
      </c>
      <c r="AL872" t="s">
        <v>118</v>
      </c>
      <c r="AM872" t="str">
        <f t="shared" si="209"/>
        <v>Cancelled</v>
      </c>
      <c r="AN872">
        <v>6</v>
      </c>
      <c r="AO872">
        <v>2025</v>
      </c>
      <c r="AP872" t="s">
        <v>79</v>
      </c>
    </row>
    <row r="873" spans="1:42">
      <c r="A873" t="s">
        <v>4038</v>
      </c>
      <c r="B873" s="3" t="s">
        <v>4039</v>
      </c>
      <c r="C873" s="3">
        <v>45342</v>
      </c>
      <c r="D873" t="s">
        <v>2889</v>
      </c>
      <c r="E873" s="3">
        <v>45344</v>
      </c>
      <c r="F873" t="s">
        <v>3857</v>
      </c>
      <c r="G873" t="s">
        <v>132</v>
      </c>
      <c r="H873" t="str">
        <f t="shared" si="195"/>
        <v>Neha Gupta</v>
      </c>
      <c r="I873" t="s">
        <v>85</v>
      </c>
      <c r="J873" t="str">
        <f t="shared" si="196"/>
        <v>Small Business</v>
      </c>
      <c r="K873" t="s">
        <v>10</v>
      </c>
      <c r="L873" t="str">
        <f t="shared" si="197"/>
        <v>South</v>
      </c>
      <c r="M873" t="s">
        <v>104</v>
      </c>
      <c r="N873" t="str">
        <f t="shared" si="198"/>
        <v>Telangana</v>
      </c>
      <c r="O873" t="s">
        <v>105</v>
      </c>
      <c r="P873" t="str">
        <f t="shared" si="199"/>
        <v>Hyderabad</v>
      </c>
      <c r="Q873" t="s">
        <v>24</v>
      </c>
      <c r="R873" t="str">
        <f t="shared" si="200"/>
        <v>Technology</v>
      </c>
      <c r="S873" t="s">
        <v>126</v>
      </c>
      <c r="T873" t="str">
        <f t="shared" si="201"/>
        <v>Accessories</v>
      </c>
      <c r="U873" t="s">
        <v>4040</v>
      </c>
      <c r="V873" t="str">
        <f t="shared" si="202"/>
        <v>Pro Accessories 325</v>
      </c>
      <c r="W873" t="s">
        <v>98</v>
      </c>
      <c r="X873" t="str">
        <f t="shared" si="203"/>
        <v>First Class</v>
      </c>
      <c r="Y873">
        <v>2</v>
      </c>
      <c r="Z873">
        <v>9</v>
      </c>
      <c r="AA873">
        <v>2186.23</v>
      </c>
      <c r="AB873">
        <v>0</v>
      </c>
      <c r="AC873">
        <f t="shared" si="204"/>
        <v>0</v>
      </c>
      <c r="AD873">
        <v>19676.07</v>
      </c>
      <c r="AE873">
        <f t="shared" si="205"/>
        <v>19676.07</v>
      </c>
      <c r="AF873">
        <v>12458.62</v>
      </c>
      <c r="AG873">
        <v>7217.45</v>
      </c>
      <c r="AH873">
        <f t="shared" si="206"/>
        <v>7217.45</v>
      </c>
      <c r="AI873">
        <f t="shared" si="207"/>
        <v>0.366813596414325</v>
      </c>
      <c r="AJ873" t="s">
        <v>163</v>
      </c>
      <c r="AK873" t="str">
        <f t="shared" si="208"/>
        <v>Refunded</v>
      </c>
      <c r="AL873" t="s">
        <v>118</v>
      </c>
      <c r="AM873" t="str">
        <f t="shared" si="209"/>
        <v>Cancelled</v>
      </c>
      <c r="AN873">
        <v>2</v>
      </c>
      <c r="AO873">
        <v>2024</v>
      </c>
      <c r="AP873" t="s">
        <v>79</v>
      </c>
    </row>
    <row r="874" spans="1:42">
      <c r="A874" t="s">
        <v>4041</v>
      </c>
      <c r="B874" s="3" t="s">
        <v>3568</v>
      </c>
      <c r="C874" s="3">
        <v>45597</v>
      </c>
      <c r="D874" t="s">
        <v>4042</v>
      </c>
      <c r="E874" s="3">
        <v>45598</v>
      </c>
      <c r="F874" t="s">
        <v>3021</v>
      </c>
      <c r="G874" t="s">
        <v>70</v>
      </c>
      <c r="H874" t="str">
        <f t="shared" si="195"/>
        <v>Karan Malhotra</v>
      </c>
      <c r="I874" t="s">
        <v>147</v>
      </c>
      <c r="J874" t="str">
        <f t="shared" si="196"/>
        <v>Corporate</v>
      </c>
      <c r="K874" t="s">
        <v>7</v>
      </c>
      <c r="L874" t="str">
        <f t="shared" si="197"/>
        <v>East</v>
      </c>
      <c r="M874" t="s">
        <v>160</v>
      </c>
      <c r="N874" t="str">
        <f t="shared" si="198"/>
        <v>West Bengal</v>
      </c>
      <c r="O874" t="s">
        <v>161</v>
      </c>
      <c r="P874" t="str">
        <f t="shared" si="199"/>
        <v>Kolkata</v>
      </c>
      <c r="Q874" t="s">
        <v>19</v>
      </c>
      <c r="R874" t="str">
        <f t="shared" si="200"/>
        <v>Furniture</v>
      </c>
      <c r="S874" t="s">
        <v>106</v>
      </c>
      <c r="T874" t="str">
        <f t="shared" si="201"/>
        <v>Furnishings</v>
      </c>
      <c r="U874" t="s">
        <v>4043</v>
      </c>
      <c r="V874" t="str">
        <f t="shared" si="202"/>
        <v>Prime Furnishings 178</v>
      </c>
      <c r="W874" t="s">
        <v>108</v>
      </c>
      <c r="X874" t="str">
        <f t="shared" si="203"/>
        <v>Standard Class</v>
      </c>
      <c r="Y874">
        <v>1</v>
      </c>
      <c r="Z874">
        <v>5</v>
      </c>
      <c r="AA874">
        <v>2212.02</v>
      </c>
      <c r="AB874">
        <v>0.2</v>
      </c>
      <c r="AC874">
        <f t="shared" si="204"/>
        <v>0.2</v>
      </c>
      <c r="AD874">
        <v>8848.08</v>
      </c>
      <c r="AE874">
        <f t="shared" si="205"/>
        <v>8848.08</v>
      </c>
      <c r="AF874">
        <v>5691.56</v>
      </c>
      <c r="AG874">
        <v>3156.52</v>
      </c>
      <c r="AH874">
        <f t="shared" si="206"/>
        <v>3156.52</v>
      </c>
      <c r="AI874">
        <f t="shared" si="207"/>
        <v>0.356746322365982</v>
      </c>
      <c r="AJ874" t="s">
        <v>77</v>
      </c>
      <c r="AK874" t="str">
        <f t="shared" si="208"/>
        <v>Paid</v>
      </c>
      <c r="AL874" t="s">
        <v>78</v>
      </c>
      <c r="AM874" t="str">
        <f t="shared" si="209"/>
        <v>Completed</v>
      </c>
      <c r="AN874">
        <v>11</v>
      </c>
      <c r="AO874">
        <v>2024</v>
      </c>
      <c r="AP874" t="s">
        <v>79</v>
      </c>
    </row>
    <row r="875" spans="1:42">
      <c r="A875" t="s">
        <v>4044</v>
      </c>
      <c r="B875" s="3" t="s">
        <v>4045</v>
      </c>
      <c r="C875" s="3">
        <v>45689</v>
      </c>
      <c r="D875" t="s">
        <v>4046</v>
      </c>
      <c r="E875" s="3">
        <v>45696</v>
      </c>
      <c r="F875" t="s">
        <v>4047</v>
      </c>
      <c r="G875" t="s">
        <v>146</v>
      </c>
      <c r="H875" t="str">
        <f t="shared" si="195"/>
        <v>Aditi Sen</v>
      </c>
      <c r="I875" t="s">
        <v>154</v>
      </c>
      <c r="J875" t="str">
        <f t="shared" si="196"/>
        <v>Home Office</v>
      </c>
      <c r="K875" t="s">
        <v>11</v>
      </c>
      <c r="L875" t="str">
        <f t="shared" si="197"/>
        <v>West</v>
      </c>
      <c r="M875" t="s">
        <v>278</v>
      </c>
      <c r="N875" t="str">
        <f t="shared" si="198"/>
        <v>Gujarat</v>
      </c>
      <c r="O875" t="s">
        <v>279</v>
      </c>
      <c r="P875" t="str">
        <f t="shared" si="199"/>
        <v>Ahmedabad</v>
      </c>
      <c r="Q875" t="s">
        <v>22</v>
      </c>
      <c r="R875" t="str">
        <f t="shared" si="200"/>
        <v>Office Supplies</v>
      </c>
      <c r="S875" t="s">
        <v>196</v>
      </c>
      <c r="T875" t="str">
        <f t="shared" si="201"/>
        <v>Storage</v>
      </c>
      <c r="U875" t="s">
        <v>4048</v>
      </c>
      <c r="V875" t="str">
        <f t="shared" si="202"/>
        <v>Elite Storage 144</v>
      </c>
      <c r="W875" t="s">
        <v>76</v>
      </c>
      <c r="X875" t="str">
        <f t="shared" si="203"/>
        <v>Second Class</v>
      </c>
      <c r="Y875">
        <v>7</v>
      </c>
      <c r="Z875">
        <v>8</v>
      </c>
      <c r="AA875">
        <v>623.31</v>
      </c>
      <c r="AB875">
        <v>0.1</v>
      </c>
      <c r="AC875">
        <f t="shared" si="204"/>
        <v>0.1</v>
      </c>
      <c r="AD875">
        <v>4487.83</v>
      </c>
      <c r="AE875">
        <f t="shared" si="205"/>
        <v>4487.832</v>
      </c>
      <c r="AF875">
        <v>2633.78</v>
      </c>
      <c r="AG875">
        <v>1854.05</v>
      </c>
      <c r="AH875">
        <f t="shared" si="206"/>
        <v>1854.052</v>
      </c>
      <c r="AI875">
        <f t="shared" si="207"/>
        <v>0.413128655439865</v>
      </c>
      <c r="AJ875" t="s">
        <v>77</v>
      </c>
      <c r="AK875" t="str">
        <f t="shared" si="208"/>
        <v>Paid</v>
      </c>
      <c r="AL875" t="s">
        <v>78</v>
      </c>
      <c r="AM875" t="str">
        <f t="shared" si="209"/>
        <v>Completed</v>
      </c>
      <c r="AN875">
        <v>2</v>
      </c>
      <c r="AO875">
        <v>2025</v>
      </c>
      <c r="AP875" t="s">
        <v>79</v>
      </c>
    </row>
    <row r="876" spans="1:42">
      <c r="A876" t="s">
        <v>4049</v>
      </c>
      <c r="B876" s="3" t="s">
        <v>2967</v>
      </c>
      <c r="C876" s="3">
        <v>45853</v>
      </c>
      <c r="D876" t="s">
        <v>1565</v>
      </c>
      <c r="E876" s="3">
        <v>45854</v>
      </c>
      <c r="F876" t="s">
        <v>4050</v>
      </c>
      <c r="G876" t="s">
        <v>123</v>
      </c>
      <c r="H876" t="str">
        <f t="shared" si="195"/>
        <v>Vikram Iyer</v>
      </c>
      <c r="I876" t="s">
        <v>85</v>
      </c>
      <c r="J876" t="str">
        <f t="shared" si="196"/>
        <v>Small Business</v>
      </c>
      <c r="K876" t="s">
        <v>11</v>
      </c>
      <c r="L876" t="str">
        <f t="shared" si="197"/>
        <v>West</v>
      </c>
      <c r="M876" t="s">
        <v>114</v>
      </c>
      <c r="N876" t="str">
        <f t="shared" si="198"/>
        <v>Maharashtra</v>
      </c>
      <c r="O876" t="s">
        <v>115</v>
      </c>
      <c r="P876" t="str">
        <f t="shared" si="199"/>
        <v>Mumbai</v>
      </c>
      <c r="Q876" t="s">
        <v>22</v>
      </c>
      <c r="R876" t="str">
        <f t="shared" si="200"/>
        <v>Office Supplies</v>
      </c>
      <c r="S876" t="s">
        <v>74</v>
      </c>
      <c r="T876" t="str">
        <f t="shared" si="201"/>
        <v>Paper</v>
      </c>
      <c r="U876" t="s">
        <v>4051</v>
      </c>
      <c r="V876" t="str">
        <f t="shared" si="202"/>
        <v>Elite Paper 309</v>
      </c>
      <c r="W876" t="s">
        <v>108</v>
      </c>
      <c r="X876" t="str">
        <f t="shared" si="203"/>
        <v>Standard Class</v>
      </c>
      <c r="Y876">
        <v>1</v>
      </c>
      <c r="Z876">
        <v>8</v>
      </c>
      <c r="AA876">
        <v>3924.88</v>
      </c>
      <c r="AB876">
        <v>0.05</v>
      </c>
      <c r="AC876">
        <f t="shared" si="204"/>
        <v>0.05</v>
      </c>
      <c r="AD876">
        <v>29829.09</v>
      </c>
      <c r="AE876">
        <f t="shared" si="205"/>
        <v>29829.088</v>
      </c>
      <c r="AF876">
        <v>20710.18</v>
      </c>
      <c r="AG876">
        <v>9118.91</v>
      </c>
      <c r="AH876">
        <f t="shared" si="206"/>
        <v>9118.908</v>
      </c>
      <c r="AI876">
        <f t="shared" si="207"/>
        <v>0.305705223035984</v>
      </c>
      <c r="AJ876" t="s">
        <v>77</v>
      </c>
      <c r="AK876" t="str">
        <f t="shared" si="208"/>
        <v>Paid</v>
      </c>
      <c r="AL876" t="s">
        <v>78</v>
      </c>
      <c r="AM876" t="str">
        <f t="shared" si="209"/>
        <v>Completed</v>
      </c>
      <c r="AN876">
        <v>7</v>
      </c>
      <c r="AO876">
        <v>2025</v>
      </c>
      <c r="AP876" t="s">
        <v>79</v>
      </c>
    </row>
    <row r="877" spans="1:42">
      <c r="A877" t="s">
        <v>4052</v>
      </c>
      <c r="B877" s="3" t="s">
        <v>4053</v>
      </c>
      <c r="C877" s="3">
        <v>45514</v>
      </c>
      <c r="D877" t="s">
        <v>4054</v>
      </c>
      <c r="E877" s="3">
        <v>45515</v>
      </c>
      <c r="F877" t="s">
        <v>4055</v>
      </c>
      <c r="G877" t="s">
        <v>84</v>
      </c>
      <c r="H877" t="str">
        <f t="shared" si="195"/>
        <v>Mira Das</v>
      </c>
      <c r="I877" t="s">
        <v>147</v>
      </c>
      <c r="J877" t="str">
        <f t="shared" si="196"/>
        <v>Corporate</v>
      </c>
      <c r="K877" t="s">
        <v>11</v>
      </c>
      <c r="L877" t="str">
        <f t="shared" si="197"/>
        <v>West</v>
      </c>
      <c r="M877" t="s">
        <v>114</v>
      </c>
      <c r="N877" t="str">
        <f t="shared" si="198"/>
        <v>Maharashtra</v>
      </c>
      <c r="O877" t="s">
        <v>115</v>
      </c>
      <c r="P877" t="str">
        <f t="shared" si="199"/>
        <v>Mumbai</v>
      </c>
      <c r="Q877" t="s">
        <v>24</v>
      </c>
      <c r="R877" t="str">
        <f t="shared" si="200"/>
        <v>Technology</v>
      </c>
      <c r="S877" t="s">
        <v>133</v>
      </c>
      <c r="T877" t="str">
        <f t="shared" si="201"/>
        <v>Copiers</v>
      </c>
      <c r="U877" t="s">
        <v>4056</v>
      </c>
      <c r="V877" t="str">
        <f t="shared" si="202"/>
        <v>Elite Copiers 752</v>
      </c>
      <c r="W877" t="s">
        <v>98</v>
      </c>
      <c r="X877" t="str">
        <f t="shared" si="203"/>
        <v>First Class</v>
      </c>
      <c r="Y877">
        <v>1</v>
      </c>
      <c r="Z877">
        <v>7</v>
      </c>
      <c r="AA877">
        <v>3852.62</v>
      </c>
      <c r="AB877">
        <v>0.2</v>
      </c>
      <c r="AC877">
        <f t="shared" si="204"/>
        <v>0.2</v>
      </c>
      <c r="AD877">
        <v>21574.67</v>
      </c>
      <c r="AE877">
        <f t="shared" si="205"/>
        <v>21574.672</v>
      </c>
      <c r="AF877">
        <v>14672.83</v>
      </c>
      <c r="AG877">
        <v>6901.84</v>
      </c>
      <c r="AH877">
        <f t="shared" si="206"/>
        <v>6901.842</v>
      </c>
      <c r="AI877">
        <f t="shared" si="207"/>
        <v>0.319904840268255</v>
      </c>
      <c r="AJ877" t="s">
        <v>77</v>
      </c>
      <c r="AK877" t="str">
        <f t="shared" si="208"/>
        <v>Paid</v>
      </c>
      <c r="AL877" t="s">
        <v>78</v>
      </c>
      <c r="AM877" t="str">
        <f t="shared" si="209"/>
        <v>Completed</v>
      </c>
      <c r="AN877">
        <v>8</v>
      </c>
      <c r="AO877">
        <v>2024</v>
      </c>
      <c r="AP877" t="s">
        <v>79</v>
      </c>
    </row>
    <row r="878" spans="1:42">
      <c r="A878" t="s">
        <v>4057</v>
      </c>
      <c r="B878" s="3" t="s">
        <v>4058</v>
      </c>
      <c r="C878" s="3">
        <v>45614</v>
      </c>
      <c r="D878" t="s">
        <v>4059</v>
      </c>
      <c r="E878" s="3">
        <v>45616</v>
      </c>
      <c r="F878" t="s">
        <v>4060</v>
      </c>
      <c r="G878" t="s">
        <v>182</v>
      </c>
      <c r="H878" t="str">
        <f t="shared" si="195"/>
        <v>Priya Menon</v>
      </c>
      <c r="I878" t="s">
        <v>71</v>
      </c>
      <c r="J878" t="str">
        <f t="shared" si="196"/>
        <v>Consumer</v>
      </c>
      <c r="K878" t="s">
        <v>11</v>
      </c>
      <c r="L878" t="str">
        <f t="shared" si="197"/>
        <v>West</v>
      </c>
      <c r="M878" t="s">
        <v>72</v>
      </c>
      <c r="N878" t="str">
        <f t="shared" si="198"/>
        <v>Rajasthan</v>
      </c>
      <c r="O878" t="s">
        <v>175</v>
      </c>
      <c r="P878" t="str">
        <f t="shared" si="199"/>
        <v>Udaipur</v>
      </c>
      <c r="Q878" t="s">
        <v>19</v>
      </c>
      <c r="R878" t="str">
        <f t="shared" si="200"/>
        <v>Furniture</v>
      </c>
      <c r="S878" t="s">
        <v>116</v>
      </c>
      <c r="T878" t="str">
        <f t="shared" si="201"/>
        <v>Chairs</v>
      </c>
      <c r="U878" t="s">
        <v>1343</v>
      </c>
      <c r="V878" t="str">
        <f t="shared" si="202"/>
        <v>Pro Chairs 316</v>
      </c>
      <c r="W878" t="s">
        <v>98</v>
      </c>
      <c r="X878" t="str">
        <f t="shared" si="203"/>
        <v>First Class</v>
      </c>
      <c r="Y878">
        <v>2</v>
      </c>
      <c r="Z878">
        <v>6</v>
      </c>
      <c r="AA878">
        <v>3790.22</v>
      </c>
      <c r="AB878">
        <v>0</v>
      </c>
      <c r="AC878">
        <f t="shared" si="204"/>
        <v>0</v>
      </c>
      <c r="AD878">
        <v>22741.32</v>
      </c>
      <c r="AE878">
        <f t="shared" si="205"/>
        <v>22741.32</v>
      </c>
      <c r="AF878">
        <v>16388.57</v>
      </c>
      <c r="AG878">
        <v>6352.75</v>
      </c>
      <c r="AH878">
        <f t="shared" si="206"/>
        <v>6352.75</v>
      </c>
      <c r="AI878">
        <f t="shared" si="207"/>
        <v>0.279348340377779</v>
      </c>
      <c r="AJ878" t="s">
        <v>77</v>
      </c>
      <c r="AK878" t="str">
        <f t="shared" si="208"/>
        <v>Paid</v>
      </c>
      <c r="AL878" t="s">
        <v>78</v>
      </c>
      <c r="AM878" t="str">
        <f t="shared" si="209"/>
        <v>Completed</v>
      </c>
      <c r="AN878">
        <v>11</v>
      </c>
      <c r="AO878">
        <v>2024</v>
      </c>
      <c r="AP878" t="s">
        <v>79</v>
      </c>
    </row>
    <row r="879" spans="1:42">
      <c r="A879" t="s">
        <v>4061</v>
      </c>
      <c r="B879" s="3" t="s">
        <v>4062</v>
      </c>
      <c r="C879" s="3">
        <v>45895</v>
      </c>
      <c r="D879" t="s">
        <v>2825</v>
      </c>
      <c r="E879" s="3">
        <v>45903</v>
      </c>
      <c r="F879" t="s">
        <v>4063</v>
      </c>
      <c r="G879" t="s">
        <v>202</v>
      </c>
      <c r="H879" t="str">
        <f t="shared" si="195"/>
        <v>Aarav Sharma</v>
      </c>
      <c r="I879" t="s">
        <v>71</v>
      </c>
      <c r="J879" t="str">
        <f t="shared" si="196"/>
        <v>Consumer</v>
      </c>
      <c r="K879" t="s">
        <v>11</v>
      </c>
      <c r="L879" t="str">
        <f t="shared" si="197"/>
        <v>West</v>
      </c>
      <c r="M879" t="s">
        <v>72</v>
      </c>
      <c r="N879" t="str">
        <f t="shared" si="198"/>
        <v>Rajasthan</v>
      </c>
      <c r="O879" t="s">
        <v>175</v>
      </c>
      <c r="P879" t="str">
        <f t="shared" si="199"/>
        <v>Udaipur</v>
      </c>
      <c r="Q879" t="s">
        <v>22</v>
      </c>
      <c r="R879" t="str">
        <f t="shared" si="200"/>
        <v>Office Supplies</v>
      </c>
      <c r="S879" t="s">
        <v>196</v>
      </c>
      <c r="T879" t="str">
        <f t="shared" si="201"/>
        <v>Storage</v>
      </c>
      <c r="U879" t="s">
        <v>4064</v>
      </c>
      <c r="V879" t="str">
        <f t="shared" si="202"/>
        <v>Max Storage 438</v>
      </c>
      <c r="W879" t="s">
        <v>76</v>
      </c>
      <c r="X879" t="str">
        <f t="shared" si="203"/>
        <v>Second Class</v>
      </c>
      <c r="Y879">
        <v>8</v>
      </c>
      <c r="Z879">
        <v>6</v>
      </c>
      <c r="AA879">
        <v>674.36</v>
      </c>
      <c r="AB879">
        <v>0.1</v>
      </c>
      <c r="AC879">
        <f t="shared" si="204"/>
        <v>0.1</v>
      </c>
      <c r="AD879">
        <v>3641.54</v>
      </c>
      <c r="AE879">
        <f t="shared" si="205"/>
        <v>3641.544</v>
      </c>
      <c r="AF879">
        <v>2690.37</v>
      </c>
      <c r="AG879">
        <v>951.17</v>
      </c>
      <c r="AH879">
        <f t="shared" si="206"/>
        <v>951.174</v>
      </c>
      <c r="AI879">
        <f t="shared" si="207"/>
        <v>0.261200743420923</v>
      </c>
      <c r="AJ879" t="s">
        <v>77</v>
      </c>
      <c r="AK879" t="str">
        <f t="shared" si="208"/>
        <v>Paid</v>
      </c>
      <c r="AL879" t="s">
        <v>78</v>
      </c>
      <c r="AM879" t="str">
        <f t="shared" si="209"/>
        <v>Completed</v>
      </c>
      <c r="AN879">
        <v>8</v>
      </c>
      <c r="AO879">
        <v>2025</v>
      </c>
      <c r="AP879" t="s">
        <v>79</v>
      </c>
    </row>
    <row r="880" spans="1:42">
      <c r="A880" t="s">
        <v>4065</v>
      </c>
      <c r="B880" s="3" t="s">
        <v>2093</v>
      </c>
      <c r="C880" s="3">
        <v>45313</v>
      </c>
      <c r="D880" t="s">
        <v>2093</v>
      </c>
      <c r="E880" s="3">
        <v>45313</v>
      </c>
      <c r="F880" t="s">
        <v>4066</v>
      </c>
      <c r="G880" t="s">
        <v>70</v>
      </c>
      <c r="H880" t="str">
        <f t="shared" si="195"/>
        <v>Karan Malhotra</v>
      </c>
      <c r="I880" t="s">
        <v>147</v>
      </c>
      <c r="J880" t="str">
        <f t="shared" si="196"/>
        <v>Corporate</v>
      </c>
      <c r="K880" t="s">
        <v>7</v>
      </c>
      <c r="L880" t="str">
        <f t="shared" si="197"/>
        <v>East</v>
      </c>
      <c r="M880" t="s">
        <v>160</v>
      </c>
      <c r="N880" t="str">
        <f t="shared" si="198"/>
        <v>West Bengal</v>
      </c>
      <c r="O880" t="s">
        <v>161</v>
      </c>
      <c r="P880" t="str">
        <f t="shared" si="199"/>
        <v>Kolkata</v>
      </c>
      <c r="Q880" t="s">
        <v>22</v>
      </c>
      <c r="R880" t="str">
        <f t="shared" si="200"/>
        <v>Office Supplies</v>
      </c>
      <c r="S880" t="s">
        <v>74</v>
      </c>
      <c r="T880" t="str">
        <f t="shared" si="201"/>
        <v>Paper</v>
      </c>
      <c r="U880" t="s">
        <v>4067</v>
      </c>
      <c r="V880" t="str">
        <f t="shared" si="202"/>
        <v>Basic Paper 904</v>
      </c>
      <c r="W880" t="s">
        <v>98</v>
      </c>
      <c r="X880" t="str">
        <f t="shared" si="203"/>
        <v>First Class</v>
      </c>
      <c r="Y880">
        <v>0</v>
      </c>
      <c r="Z880">
        <v>8</v>
      </c>
      <c r="AA880">
        <v>1557.21</v>
      </c>
      <c r="AB880">
        <v>0.05</v>
      </c>
      <c r="AC880">
        <f t="shared" si="204"/>
        <v>0.05</v>
      </c>
      <c r="AD880">
        <v>11834.8</v>
      </c>
      <c r="AE880">
        <f t="shared" si="205"/>
        <v>11834.796</v>
      </c>
      <c r="AF880">
        <v>9322.36</v>
      </c>
      <c r="AG880">
        <v>2512.44</v>
      </c>
      <c r="AH880">
        <f t="shared" si="206"/>
        <v>2512.436</v>
      </c>
      <c r="AI880">
        <f t="shared" si="207"/>
        <v>0.212292294687631</v>
      </c>
      <c r="AJ880" t="s">
        <v>77</v>
      </c>
      <c r="AK880" t="str">
        <f t="shared" si="208"/>
        <v>Paid</v>
      </c>
      <c r="AL880" t="s">
        <v>78</v>
      </c>
      <c r="AM880" t="str">
        <f t="shared" si="209"/>
        <v>Completed</v>
      </c>
      <c r="AN880">
        <v>1</v>
      </c>
      <c r="AO880">
        <v>2024</v>
      </c>
      <c r="AP880" t="s">
        <v>79</v>
      </c>
    </row>
    <row r="881" spans="1:42">
      <c r="A881" t="s">
        <v>4068</v>
      </c>
      <c r="B881" s="3" t="s">
        <v>4069</v>
      </c>
      <c r="C881" s="3">
        <v>45896</v>
      </c>
      <c r="D881" t="s">
        <v>480</v>
      </c>
      <c r="E881" s="3">
        <v>45897</v>
      </c>
      <c r="F881" t="s">
        <v>4070</v>
      </c>
      <c r="G881" t="s">
        <v>113</v>
      </c>
      <c r="H881" t="str">
        <f t="shared" si="195"/>
        <v>Ananya Rao</v>
      </c>
      <c r="I881" t="s">
        <v>154</v>
      </c>
      <c r="J881" t="str">
        <f t="shared" si="196"/>
        <v>Home Office</v>
      </c>
      <c r="K881" t="s">
        <v>8</v>
      </c>
      <c r="L881" t="str">
        <f t="shared" si="197"/>
        <v>North</v>
      </c>
      <c r="M881" t="s">
        <v>214</v>
      </c>
      <c r="N881" t="str">
        <f t="shared" si="198"/>
        <v>Uttar Pradesh</v>
      </c>
      <c r="O881" t="s">
        <v>215</v>
      </c>
      <c r="P881" t="str">
        <f t="shared" si="199"/>
        <v>Noida</v>
      </c>
      <c r="Q881" t="s">
        <v>22</v>
      </c>
      <c r="R881" t="str">
        <f t="shared" si="200"/>
        <v>Office Supplies</v>
      </c>
      <c r="S881" t="s">
        <v>96</v>
      </c>
      <c r="T881" t="str">
        <f t="shared" si="201"/>
        <v>Art</v>
      </c>
      <c r="U881" t="s">
        <v>4071</v>
      </c>
      <c r="V881" t="str">
        <f t="shared" si="202"/>
        <v>Smart Art 990</v>
      </c>
      <c r="W881" t="s">
        <v>108</v>
      </c>
      <c r="X881" t="str">
        <f t="shared" si="203"/>
        <v>Standard Class</v>
      </c>
      <c r="Y881">
        <v>1</v>
      </c>
      <c r="Z881">
        <v>6</v>
      </c>
      <c r="AA881">
        <v>1182.03</v>
      </c>
      <c r="AB881">
        <v>0.15</v>
      </c>
      <c r="AC881">
        <f t="shared" si="204"/>
        <v>0.15</v>
      </c>
      <c r="AD881">
        <v>6028.35</v>
      </c>
      <c r="AE881">
        <f t="shared" si="205"/>
        <v>6028.353</v>
      </c>
      <c r="AF881">
        <v>4433.63</v>
      </c>
      <c r="AG881">
        <v>1594.72</v>
      </c>
      <c r="AH881">
        <f t="shared" si="206"/>
        <v>1594.723</v>
      </c>
      <c r="AI881">
        <f t="shared" si="207"/>
        <v>0.264537096616605</v>
      </c>
      <c r="AJ881" t="s">
        <v>77</v>
      </c>
      <c r="AK881" t="str">
        <f t="shared" si="208"/>
        <v>Paid</v>
      </c>
      <c r="AL881" t="s">
        <v>78</v>
      </c>
      <c r="AM881" t="str">
        <f t="shared" si="209"/>
        <v>Completed</v>
      </c>
      <c r="AN881">
        <v>8</v>
      </c>
      <c r="AO881">
        <v>2025</v>
      </c>
      <c r="AP881" t="s">
        <v>79</v>
      </c>
    </row>
    <row r="882" spans="1:42">
      <c r="A882" t="s">
        <v>4072</v>
      </c>
      <c r="B882" s="3" t="s">
        <v>4073</v>
      </c>
      <c r="C882" s="3">
        <v>45359</v>
      </c>
      <c r="D882" t="s">
        <v>1174</v>
      </c>
      <c r="E882" s="3">
        <v>45366</v>
      </c>
      <c r="F882" t="s">
        <v>4074</v>
      </c>
      <c r="G882" t="s">
        <v>202</v>
      </c>
      <c r="H882" t="str">
        <f t="shared" si="195"/>
        <v>Aarav Sharma</v>
      </c>
      <c r="I882" t="s">
        <v>85</v>
      </c>
      <c r="J882" t="str">
        <f t="shared" si="196"/>
        <v>Small Business</v>
      </c>
      <c r="L882" t="str">
        <f t="shared" si="197"/>
        <v/>
      </c>
      <c r="M882" t="s">
        <v>194</v>
      </c>
      <c r="N882" t="str">
        <f t="shared" si="198"/>
        <v>Punjab</v>
      </c>
      <c r="O882" t="s">
        <v>195</v>
      </c>
      <c r="P882" t="str">
        <f t="shared" si="199"/>
        <v>Ludhiana</v>
      </c>
      <c r="Q882" t="s">
        <v>19</v>
      </c>
      <c r="R882" t="str">
        <f t="shared" si="200"/>
        <v>Furniture</v>
      </c>
      <c r="S882" t="s">
        <v>116</v>
      </c>
      <c r="T882" t="str">
        <f t="shared" si="201"/>
        <v>Chairs</v>
      </c>
      <c r="U882" t="s">
        <v>4075</v>
      </c>
      <c r="V882" t="str">
        <f t="shared" si="202"/>
        <v>Basic Chairs 327</v>
      </c>
      <c r="W882" t="s">
        <v>98</v>
      </c>
      <c r="X882" t="str">
        <f t="shared" si="203"/>
        <v>First Class</v>
      </c>
      <c r="Y882">
        <v>7</v>
      </c>
      <c r="Z882">
        <v>5</v>
      </c>
      <c r="AA882">
        <v>3234.77</v>
      </c>
      <c r="AB882">
        <v>0</v>
      </c>
      <c r="AC882">
        <f t="shared" si="204"/>
        <v>0</v>
      </c>
      <c r="AD882">
        <v>16173.85</v>
      </c>
      <c r="AE882">
        <f t="shared" si="205"/>
        <v>16173.85</v>
      </c>
      <c r="AF882">
        <v>13636.34</v>
      </c>
      <c r="AG882">
        <v>2537.51</v>
      </c>
      <c r="AH882">
        <f t="shared" si="206"/>
        <v>2537.51</v>
      </c>
      <c r="AI882">
        <f t="shared" si="207"/>
        <v>0.156889670672103</v>
      </c>
      <c r="AJ882" t="s">
        <v>77</v>
      </c>
      <c r="AK882" t="str">
        <f t="shared" si="208"/>
        <v>Paid</v>
      </c>
      <c r="AL882" t="s">
        <v>78</v>
      </c>
      <c r="AM882" t="str">
        <f t="shared" si="209"/>
        <v>Completed</v>
      </c>
      <c r="AN882">
        <v>3</v>
      </c>
      <c r="AO882">
        <v>2024</v>
      </c>
      <c r="AP882" t="s">
        <v>79</v>
      </c>
    </row>
    <row r="883" spans="1:42">
      <c r="A883" t="s">
        <v>4076</v>
      </c>
      <c r="B883" s="3" t="s">
        <v>2595</v>
      </c>
      <c r="C883" s="3">
        <v>45627</v>
      </c>
      <c r="D883" t="s">
        <v>4077</v>
      </c>
      <c r="E883" s="3">
        <v>45631</v>
      </c>
      <c r="F883" t="s">
        <v>4078</v>
      </c>
      <c r="G883" t="s">
        <v>113</v>
      </c>
      <c r="H883" t="str">
        <f t="shared" si="195"/>
        <v>Ananya Rao</v>
      </c>
      <c r="I883" t="s">
        <v>85</v>
      </c>
      <c r="J883" t="str">
        <f t="shared" si="196"/>
        <v>Small Business</v>
      </c>
      <c r="K883" t="s">
        <v>10</v>
      </c>
      <c r="L883" t="str">
        <f t="shared" si="197"/>
        <v>South</v>
      </c>
      <c r="M883" t="s">
        <v>139</v>
      </c>
      <c r="N883" t="str">
        <f t="shared" si="198"/>
        <v>Andhra Pradesh</v>
      </c>
      <c r="O883" t="s">
        <v>140</v>
      </c>
      <c r="P883" t="str">
        <f t="shared" si="199"/>
        <v>Vijayawada</v>
      </c>
      <c r="Q883" t="s">
        <v>24</v>
      </c>
      <c r="R883" t="str">
        <f t="shared" si="200"/>
        <v>Technology</v>
      </c>
      <c r="S883" t="s">
        <v>133</v>
      </c>
      <c r="T883" t="str">
        <f t="shared" si="201"/>
        <v>Copiers</v>
      </c>
      <c r="U883" t="s">
        <v>4079</v>
      </c>
      <c r="V883" t="str">
        <f t="shared" si="202"/>
        <v>Eco Copiers 987</v>
      </c>
      <c r="W883" t="s">
        <v>76</v>
      </c>
      <c r="X883" t="str">
        <f t="shared" si="203"/>
        <v>Second Class</v>
      </c>
      <c r="Y883">
        <v>4</v>
      </c>
      <c r="Z883">
        <v>9</v>
      </c>
      <c r="AA883">
        <v>3726.75</v>
      </c>
      <c r="AB883">
        <v>0.25</v>
      </c>
      <c r="AC883">
        <f t="shared" si="204"/>
        <v>0.25</v>
      </c>
      <c r="AD883">
        <v>25155.56</v>
      </c>
      <c r="AE883">
        <f t="shared" si="205"/>
        <v>25155.5625</v>
      </c>
      <c r="AF883">
        <v>17592.69</v>
      </c>
      <c r="AG883">
        <v>7562.87</v>
      </c>
      <c r="AH883">
        <f t="shared" si="206"/>
        <v>7562.8725</v>
      </c>
      <c r="AI883">
        <f t="shared" si="207"/>
        <v>0.300644141827479</v>
      </c>
      <c r="AJ883" t="s">
        <v>77</v>
      </c>
      <c r="AK883" t="str">
        <f t="shared" si="208"/>
        <v>Paid</v>
      </c>
      <c r="AL883" t="s">
        <v>78</v>
      </c>
      <c r="AM883" t="str">
        <f t="shared" si="209"/>
        <v>Completed</v>
      </c>
      <c r="AN883">
        <v>12</v>
      </c>
      <c r="AO883">
        <v>2024</v>
      </c>
      <c r="AP883" t="s">
        <v>79</v>
      </c>
    </row>
    <row r="884" spans="1:42">
      <c r="A884" t="s">
        <v>4080</v>
      </c>
      <c r="B884" s="3" t="s">
        <v>4081</v>
      </c>
      <c r="C884" s="3">
        <v>45690</v>
      </c>
      <c r="D884" t="s">
        <v>1387</v>
      </c>
      <c r="E884" s="3">
        <v>45698</v>
      </c>
      <c r="F884" t="s">
        <v>4082</v>
      </c>
      <c r="G884" t="s">
        <v>208</v>
      </c>
      <c r="H884" t="str">
        <f t="shared" si="195"/>
        <v>Sneha Kapoor</v>
      </c>
      <c r="I884" t="s">
        <v>147</v>
      </c>
      <c r="J884" t="str">
        <f t="shared" si="196"/>
        <v>Corporate</v>
      </c>
      <c r="K884" t="s">
        <v>7</v>
      </c>
      <c r="L884" t="str">
        <f t="shared" si="197"/>
        <v>East</v>
      </c>
      <c r="M884" t="s">
        <v>227</v>
      </c>
      <c r="N884" t="str">
        <f t="shared" si="198"/>
        <v>Bihar</v>
      </c>
      <c r="O884" t="s">
        <v>228</v>
      </c>
      <c r="P884" t="str">
        <f t="shared" si="199"/>
        <v>Patna</v>
      </c>
      <c r="Q884" t="s">
        <v>24</v>
      </c>
      <c r="R884" t="str">
        <f t="shared" si="200"/>
        <v>Technology</v>
      </c>
      <c r="S884" t="s">
        <v>126</v>
      </c>
      <c r="T884" t="str">
        <f t="shared" si="201"/>
        <v>Accessories</v>
      </c>
      <c r="U884" t="s">
        <v>4083</v>
      </c>
      <c r="V884" t="str">
        <f t="shared" si="202"/>
        <v>Basic Accessories 607</v>
      </c>
      <c r="W884" t="s">
        <v>108</v>
      </c>
      <c r="X884" t="str">
        <f t="shared" si="203"/>
        <v>Standard Class</v>
      </c>
      <c r="Y884">
        <v>8</v>
      </c>
      <c r="Z884">
        <v>4</v>
      </c>
      <c r="AA884">
        <v>1912.45</v>
      </c>
      <c r="AB884">
        <v>0</v>
      </c>
      <c r="AC884">
        <f t="shared" si="204"/>
        <v>0</v>
      </c>
      <c r="AD884">
        <v>7649.8</v>
      </c>
      <c r="AE884">
        <f t="shared" si="205"/>
        <v>7649.8</v>
      </c>
      <c r="AF884">
        <v>4894.53</v>
      </c>
      <c r="AG884">
        <v>2755.27</v>
      </c>
      <c r="AH884">
        <f t="shared" si="206"/>
        <v>2755.27</v>
      </c>
      <c r="AI884">
        <f t="shared" si="207"/>
        <v>0.360175429422992</v>
      </c>
      <c r="AJ884" t="s">
        <v>177</v>
      </c>
      <c r="AK884" t="str">
        <f t="shared" si="208"/>
        <v>Pending</v>
      </c>
      <c r="AL884" t="s">
        <v>164</v>
      </c>
      <c r="AM884" t="str">
        <f t="shared" si="209"/>
        <v>Returned</v>
      </c>
      <c r="AN884">
        <v>2</v>
      </c>
      <c r="AO884">
        <v>2025</v>
      </c>
      <c r="AP884" t="s">
        <v>79</v>
      </c>
    </row>
    <row r="885" spans="1:42">
      <c r="A885" t="s">
        <v>4084</v>
      </c>
      <c r="B885" s="3" t="s">
        <v>4085</v>
      </c>
      <c r="C885" s="3">
        <v>45775</v>
      </c>
      <c r="D885" t="s">
        <v>4086</v>
      </c>
      <c r="E885" s="3">
        <v>45778</v>
      </c>
      <c r="F885" t="s">
        <v>4087</v>
      </c>
      <c r="G885" t="s">
        <v>202</v>
      </c>
      <c r="H885" t="str">
        <f t="shared" si="195"/>
        <v>Aarav Sharma</v>
      </c>
      <c r="I885" t="s">
        <v>85</v>
      </c>
      <c r="J885" t="str">
        <f t="shared" si="196"/>
        <v>Small Business</v>
      </c>
      <c r="K885" t="s">
        <v>11</v>
      </c>
      <c r="L885" t="str">
        <f t="shared" si="197"/>
        <v>West</v>
      </c>
      <c r="M885" t="s">
        <v>292</v>
      </c>
      <c r="N885" t="str">
        <f t="shared" si="198"/>
        <v>Goa</v>
      </c>
      <c r="O885" t="s">
        <v>293</v>
      </c>
      <c r="P885" t="str">
        <f t="shared" si="199"/>
        <v>Panaji</v>
      </c>
      <c r="Q885" t="s">
        <v>22</v>
      </c>
      <c r="R885" t="str">
        <f t="shared" si="200"/>
        <v>Office Supplies</v>
      </c>
      <c r="S885" t="s">
        <v>196</v>
      </c>
      <c r="T885" t="str">
        <f t="shared" si="201"/>
        <v>Storage</v>
      </c>
      <c r="U885" t="s">
        <v>4088</v>
      </c>
      <c r="V885" t="str">
        <f t="shared" si="202"/>
        <v>Classic Storage 211</v>
      </c>
      <c r="W885" t="s">
        <v>90</v>
      </c>
      <c r="X885" t="str">
        <f t="shared" si="203"/>
        <v>Same Day</v>
      </c>
      <c r="Y885">
        <v>3</v>
      </c>
      <c r="Z885">
        <v>1</v>
      </c>
      <c r="AA885">
        <v>1620.87</v>
      </c>
      <c r="AB885">
        <v>0</v>
      </c>
      <c r="AC885">
        <f t="shared" si="204"/>
        <v>0</v>
      </c>
      <c r="AD885">
        <v>1620.87</v>
      </c>
      <c r="AE885">
        <f t="shared" si="205"/>
        <v>1620.87</v>
      </c>
      <c r="AF885">
        <v>1103.61</v>
      </c>
      <c r="AG885">
        <v>517.26</v>
      </c>
      <c r="AH885">
        <f t="shared" si="206"/>
        <v>517.26</v>
      </c>
      <c r="AI885">
        <f t="shared" si="207"/>
        <v>0.319124914397823</v>
      </c>
      <c r="AJ885" t="s">
        <v>77</v>
      </c>
      <c r="AK885" t="str">
        <f t="shared" si="208"/>
        <v>Paid</v>
      </c>
      <c r="AL885" t="s">
        <v>78</v>
      </c>
      <c r="AM885" t="str">
        <f t="shared" si="209"/>
        <v>Completed</v>
      </c>
      <c r="AN885">
        <v>4</v>
      </c>
      <c r="AO885">
        <v>2025</v>
      </c>
      <c r="AP885" t="s">
        <v>79</v>
      </c>
    </row>
    <row r="886" spans="1:42">
      <c r="A886" t="s">
        <v>4089</v>
      </c>
      <c r="B886" s="3" t="s">
        <v>4090</v>
      </c>
      <c r="C886" s="3">
        <v>45675</v>
      </c>
      <c r="D886" t="s">
        <v>4091</v>
      </c>
      <c r="E886" s="3">
        <v>45682</v>
      </c>
      <c r="F886" t="s">
        <v>4092</v>
      </c>
      <c r="G886" t="s">
        <v>132</v>
      </c>
      <c r="H886" t="str">
        <f t="shared" si="195"/>
        <v>Neha Gupta</v>
      </c>
      <c r="I886" t="s">
        <v>154</v>
      </c>
      <c r="J886" t="str">
        <f t="shared" si="196"/>
        <v>Home Office</v>
      </c>
      <c r="K886" t="s">
        <v>10</v>
      </c>
      <c r="L886" t="str">
        <f t="shared" si="197"/>
        <v>South</v>
      </c>
      <c r="M886" t="s">
        <v>272</v>
      </c>
      <c r="N886" t="str">
        <f t="shared" si="198"/>
        <v>Karnataka</v>
      </c>
      <c r="O886" t="s">
        <v>273</v>
      </c>
      <c r="P886" t="str">
        <f t="shared" si="199"/>
        <v>Bengaluru</v>
      </c>
      <c r="Q886" t="s">
        <v>22</v>
      </c>
      <c r="R886" t="str">
        <f t="shared" si="200"/>
        <v>Office Supplies</v>
      </c>
      <c r="S886" t="s">
        <v>196</v>
      </c>
      <c r="T886" t="str">
        <f t="shared" si="201"/>
        <v>Storage</v>
      </c>
      <c r="U886" t="s">
        <v>4093</v>
      </c>
      <c r="V886" t="str">
        <f t="shared" si="202"/>
        <v>Eco Storage 783</v>
      </c>
      <c r="W886" t="s">
        <v>90</v>
      </c>
      <c r="X886" t="str">
        <f t="shared" si="203"/>
        <v>Same Day</v>
      </c>
      <c r="Y886">
        <v>7</v>
      </c>
      <c r="Z886">
        <v>2</v>
      </c>
      <c r="AA886">
        <v>2098.54</v>
      </c>
      <c r="AB886">
        <v>0.15</v>
      </c>
      <c r="AC886">
        <f t="shared" si="204"/>
        <v>0.15</v>
      </c>
      <c r="AD886">
        <v>3567.52</v>
      </c>
      <c r="AE886">
        <f t="shared" si="205"/>
        <v>3567.518</v>
      </c>
      <c r="AF886">
        <v>2411.8</v>
      </c>
      <c r="AG886">
        <v>1155.72</v>
      </c>
      <c r="AH886">
        <f t="shared" si="206"/>
        <v>1155.718</v>
      </c>
      <c r="AI886">
        <f t="shared" si="207"/>
        <v>0.323955758597434</v>
      </c>
      <c r="AJ886" t="s">
        <v>77</v>
      </c>
      <c r="AK886" t="str">
        <f t="shared" si="208"/>
        <v>Paid</v>
      </c>
      <c r="AL886" t="s">
        <v>78</v>
      </c>
      <c r="AM886" t="str">
        <f t="shared" si="209"/>
        <v>Completed</v>
      </c>
      <c r="AN886">
        <v>1</v>
      </c>
      <c r="AO886">
        <v>2025</v>
      </c>
      <c r="AP886" t="s">
        <v>79</v>
      </c>
    </row>
    <row r="887" spans="1:42">
      <c r="A887" t="s">
        <v>4094</v>
      </c>
      <c r="B887" s="3" t="s">
        <v>4095</v>
      </c>
      <c r="C887" s="3">
        <v>45296</v>
      </c>
      <c r="D887" t="s">
        <v>4095</v>
      </c>
      <c r="E887" s="3">
        <v>45296</v>
      </c>
      <c r="F887" t="s">
        <v>4096</v>
      </c>
      <c r="G887" t="s">
        <v>251</v>
      </c>
      <c r="H887" t="str">
        <f t="shared" si="195"/>
        <v>Diya Patel</v>
      </c>
      <c r="I887" t="s">
        <v>71</v>
      </c>
      <c r="J887" t="str">
        <f t="shared" si="196"/>
        <v>Consumer</v>
      </c>
      <c r="K887" t="s">
        <v>8</v>
      </c>
      <c r="L887" t="str">
        <f t="shared" si="197"/>
        <v>North</v>
      </c>
      <c r="M887" t="s">
        <v>72</v>
      </c>
      <c r="N887" t="str">
        <f t="shared" si="198"/>
        <v>Rajasthan</v>
      </c>
      <c r="O887" t="s">
        <v>73</v>
      </c>
      <c r="P887" t="str">
        <f t="shared" si="199"/>
        <v>Jaipur</v>
      </c>
      <c r="Q887" t="s">
        <v>19</v>
      </c>
      <c r="R887" t="str">
        <f t="shared" si="200"/>
        <v>Furniture</v>
      </c>
      <c r="S887" t="s">
        <v>88</v>
      </c>
      <c r="T887" t="str">
        <f t="shared" si="201"/>
        <v>Tables</v>
      </c>
      <c r="U887" t="s">
        <v>4097</v>
      </c>
      <c r="V887" t="str">
        <f t="shared" si="202"/>
        <v>Pro Tables 866</v>
      </c>
      <c r="W887" t="s">
        <v>108</v>
      </c>
      <c r="X887" t="str">
        <f t="shared" si="203"/>
        <v>Standard Class</v>
      </c>
      <c r="Y887">
        <v>0</v>
      </c>
      <c r="Z887">
        <v>1</v>
      </c>
      <c r="AA887">
        <v>2167.08</v>
      </c>
      <c r="AB887">
        <v>0.25</v>
      </c>
      <c r="AC887">
        <f t="shared" si="204"/>
        <v>0.25</v>
      </c>
      <c r="AD887">
        <v>1625.31</v>
      </c>
      <c r="AE887">
        <f t="shared" si="205"/>
        <v>1625.31</v>
      </c>
      <c r="AF887">
        <v>1157.89</v>
      </c>
      <c r="AG887">
        <v>467.42</v>
      </c>
      <c r="AH887">
        <f t="shared" si="206"/>
        <v>467.42</v>
      </c>
      <c r="AI887">
        <f t="shared" si="207"/>
        <v>0.287588213940725</v>
      </c>
      <c r="AJ887" t="s">
        <v>77</v>
      </c>
      <c r="AK887" t="str">
        <f t="shared" si="208"/>
        <v>Paid</v>
      </c>
      <c r="AL887" t="s">
        <v>78</v>
      </c>
      <c r="AM887" t="str">
        <f t="shared" si="209"/>
        <v>Completed</v>
      </c>
      <c r="AN887">
        <v>1</v>
      </c>
      <c r="AO887">
        <v>2024</v>
      </c>
      <c r="AP887" t="s">
        <v>79</v>
      </c>
    </row>
    <row r="888" spans="1:42">
      <c r="A888" t="s">
        <v>4098</v>
      </c>
      <c r="B888" s="3" t="s">
        <v>4099</v>
      </c>
      <c r="C888" s="3">
        <v>45773</v>
      </c>
      <c r="D888" t="s">
        <v>4100</v>
      </c>
      <c r="E888" s="3">
        <v>45780</v>
      </c>
      <c r="F888" t="s">
        <v>4101</v>
      </c>
      <c r="G888" t="s">
        <v>103</v>
      </c>
      <c r="H888" t="str">
        <f t="shared" si="195"/>
        <v>Arjun Bose</v>
      </c>
      <c r="I888" t="s">
        <v>154</v>
      </c>
      <c r="J888" t="str">
        <f t="shared" si="196"/>
        <v>Home Office</v>
      </c>
      <c r="K888" t="s">
        <v>10</v>
      </c>
      <c r="L888" t="str">
        <f t="shared" si="197"/>
        <v>South</v>
      </c>
      <c r="M888" t="s">
        <v>382</v>
      </c>
      <c r="N888" t="str">
        <f t="shared" si="198"/>
        <v>Tamil Nadu</v>
      </c>
      <c r="O888" t="s">
        <v>383</v>
      </c>
      <c r="P888" t="str">
        <f t="shared" si="199"/>
        <v>Chennai</v>
      </c>
      <c r="Q888" t="s">
        <v>24</v>
      </c>
      <c r="R888" t="str">
        <f t="shared" si="200"/>
        <v>Technology</v>
      </c>
      <c r="S888" t="s">
        <v>126</v>
      </c>
      <c r="T888" t="str">
        <f t="shared" si="201"/>
        <v>Accessories</v>
      </c>
      <c r="U888" t="s">
        <v>4102</v>
      </c>
      <c r="V888" t="str">
        <f t="shared" si="202"/>
        <v>Max Accessories 541</v>
      </c>
      <c r="W888" t="s">
        <v>98</v>
      </c>
      <c r="X888" t="str">
        <f t="shared" si="203"/>
        <v>First Class</v>
      </c>
      <c r="Y888">
        <v>7</v>
      </c>
      <c r="Z888">
        <v>7</v>
      </c>
      <c r="AA888">
        <v>3989.9</v>
      </c>
      <c r="AB888">
        <v>0.15</v>
      </c>
      <c r="AC888">
        <f t="shared" si="204"/>
        <v>0.15</v>
      </c>
      <c r="AD888">
        <v>23739.9</v>
      </c>
      <c r="AE888">
        <f t="shared" si="205"/>
        <v>23739.905</v>
      </c>
      <c r="AF888">
        <v>17716.52</v>
      </c>
      <c r="AG888">
        <v>6023.38</v>
      </c>
      <c r="AH888">
        <f t="shared" si="206"/>
        <v>6023.385</v>
      </c>
      <c r="AI888">
        <f t="shared" si="207"/>
        <v>0.25372405660427</v>
      </c>
      <c r="AJ888" t="s">
        <v>77</v>
      </c>
      <c r="AK888" t="str">
        <f t="shared" si="208"/>
        <v>Paid</v>
      </c>
      <c r="AL888" t="s">
        <v>118</v>
      </c>
      <c r="AM888" t="str">
        <f t="shared" si="209"/>
        <v>Cancelled</v>
      </c>
      <c r="AN888">
        <v>4</v>
      </c>
      <c r="AO888">
        <v>2025</v>
      </c>
      <c r="AP888" t="s">
        <v>79</v>
      </c>
    </row>
    <row r="889" spans="1:42">
      <c r="A889" t="s">
        <v>4103</v>
      </c>
      <c r="B889" s="3" t="s">
        <v>3981</v>
      </c>
      <c r="C889" s="3">
        <v>45455</v>
      </c>
      <c r="D889" t="s">
        <v>732</v>
      </c>
      <c r="E889" s="3">
        <v>45461</v>
      </c>
      <c r="F889" t="s">
        <v>4104</v>
      </c>
      <c r="G889" t="s">
        <v>202</v>
      </c>
      <c r="H889" t="str">
        <f t="shared" si="195"/>
        <v>Aarav Sharma</v>
      </c>
      <c r="I889" t="s">
        <v>85</v>
      </c>
      <c r="J889" t="str">
        <f t="shared" si="196"/>
        <v>Small Business</v>
      </c>
      <c r="K889" t="s">
        <v>10</v>
      </c>
      <c r="L889" t="str">
        <f t="shared" si="197"/>
        <v>South</v>
      </c>
      <c r="M889" t="s">
        <v>139</v>
      </c>
      <c r="N889" t="str">
        <f t="shared" si="198"/>
        <v>Andhra Pradesh</v>
      </c>
      <c r="O889" t="s">
        <v>140</v>
      </c>
      <c r="P889" t="str">
        <f t="shared" si="199"/>
        <v>Vijayawada</v>
      </c>
      <c r="Q889" t="s">
        <v>22</v>
      </c>
      <c r="R889" t="str">
        <f t="shared" si="200"/>
        <v>Office Supplies</v>
      </c>
      <c r="S889" t="s">
        <v>96</v>
      </c>
      <c r="T889" t="str">
        <f t="shared" si="201"/>
        <v>Art</v>
      </c>
      <c r="U889" t="s">
        <v>4105</v>
      </c>
      <c r="V889" t="str">
        <f t="shared" si="202"/>
        <v>Prime Art 596</v>
      </c>
      <c r="W889" t="s">
        <v>108</v>
      </c>
      <c r="X889" t="str">
        <f t="shared" si="203"/>
        <v>Standard Class</v>
      </c>
      <c r="Y889">
        <v>6</v>
      </c>
      <c r="Z889">
        <v>4</v>
      </c>
      <c r="AA889">
        <v>4176.13</v>
      </c>
      <c r="AB889">
        <v>0</v>
      </c>
      <c r="AC889">
        <f t="shared" si="204"/>
        <v>0</v>
      </c>
      <c r="AD889">
        <v>16704.52</v>
      </c>
      <c r="AE889">
        <f t="shared" si="205"/>
        <v>16704.52</v>
      </c>
      <c r="AF889">
        <v>10158.28</v>
      </c>
      <c r="AG889">
        <v>6546.24</v>
      </c>
      <c r="AH889">
        <f t="shared" si="206"/>
        <v>6546.24</v>
      </c>
      <c r="AI889">
        <f t="shared" si="207"/>
        <v>0.391884352259149</v>
      </c>
      <c r="AJ889" t="s">
        <v>77</v>
      </c>
      <c r="AK889" t="str">
        <f t="shared" si="208"/>
        <v>Paid</v>
      </c>
      <c r="AL889" t="s">
        <v>78</v>
      </c>
      <c r="AM889" t="str">
        <f t="shared" si="209"/>
        <v>Completed</v>
      </c>
      <c r="AN889">
        <v>6</v>
      </c>
      <c r="AO889">
        <v>2024</v>
      </c>
      <c r="AP889" t="s">
        <v>79</v>
      </c>
    </row>
    <row r="890" spans="1:42">
      <c r="A890" t="s">
        <v>4106</v>
      </c>
      <c r="B890" s="3" t="s">
        <v>4107</v>
      </c>
      <c r="C890" s="3">
        <v>45875</v>
      </c>
      <c r="D890" t="s">
        <v>3640</v>
      </c>
      <c r="E890" s="3">
        <v>45876</v>
      </c>
      <c r="F890" t="s">
        <v>4108</v>
      </c>
      <c r="G890" t="s">
        <v>188</v>
      </c>
      <c r="H890" t="str">
        <f t="shared" si="195"/>
        <v>Rahul Verma</v>
      </c>
      <c r="I890" t="s">
        <v>85</v>
      </c>
      <c r="J890" t="str">
        <f t="shared" si="196"/>
        <v>Small Business</v>
      </c>
      <c r="K890" t="s">
        <v>11</v>
      </c>
      <c r="L890" t="str">
        <f t="shared" si="197"/>
        <v>West</v>
      </c>
      <c r="M890" t="s">
        <v>114</v>
      </c>
      <c r="N890" t="str">
        <f t="shared" si="198"/>
        <v>Maharashtra</v>
      </c>
      <c r="O890" t="s">
        <v>115</v>
      </c>
      <c r="P890" t="str">
        <f t="shared" si="199"/>
        <v>Mumbai</v>
      </c>
      <c r="Q890" t="s">
        <v>22</v>
      </c>
      <c r="R890" t="str">
        <f t="shared" si="200"/>
        <v>Office Supplies</v>
      </c>
      <c r="S890" t="s">
        <v>96</v>
      </c>
      <c r="T890" t="str">
        <f t="shared" si="201"/>
        <v>Art</v>
      </c>
      <c r="U890" t="s">
        <v>4109</v>
      </c>
      <c r="V890" t="str">
        <f t="shared" si="202"/>
        <v>Pro Art 620</v>
      </c>
      <c r="W890" t="s">
        <v>108</v>
      </c>
      <c r="X890" t="str">
        <f t="shared" si="203"/>
        <v>Standard Class</v>
      </c>
      <c r="Y890">
        <v>1</v>
      </c>
      <c r="Z890">
        <v>4</v>
      </c>
      <c r="AA890">
        <v>3523.64</v>
      </c>
      <c r="AB890">
        <v>0.1</v>
      </c>
      <c r="AC890">
        <f t="shared" si="204"/>
        <v>0.1</v>
      </c>
      <c r="AD890">
        <v>12685.1</v>
      </c>
      <c r="AE890">
        <f t="shared" si="205"/>
        <v>12685.104</v>
      </c>
      <c r="AF890">
        <v>10779.56</v>
      </c>
      <c r="AG890">
        <v>1905.54</v>
      </c>
      <c r="AH890">
        <f t="shared" si="206"/>
        <v>1905.544</v>
      </c>
      <c r="AI890">
        <f t="shared" si="207"/>
        <v>0.150219028555067</v>
      </c>
      <c r="AJ890" t="s">
        <v>163</v>
      </c>
      <c r="AK890" t="str">
        <f t="shared" si="208"/>
        <v>Refunded</v>
      </c>
      <c r="AL890" t="s">
        <v>118</v>
      </c>
      <c r="AM890" t="str">
        <f t="shared" si="209"/>
        <v>Cancelled</v>
      </c>
      <c r="AN890">
        <v>8</v>
      </c>
      <c r="AO890">
        <v>2025</v>
      </c>
      <c r="AP890" t="s">
        <v>79</v>
      </c>
    </row>
    <row r="891" spans="1:42">
      <c r="A891" t="s">
        <v>4110</v>
      </c>
      <c r="B891" s="3" t="s">
        <v>4111</v>
      </c>
      <c r="C891" s="3">
        <v>45726</v>
      </c>
      <c r="D891" t="s">
        <v>4112</v>
      </c>
      <c r="E891" s="3">
        <v>45727</v>
      </c>
      <c r="F891" t="s">
        <v>1401</v>
      </c>
      <c r="G891" t="s">
        <v>146</v>
      </c>
      <c r="H891" t="str">
        <f t="shared" si="195"/>
        <v>Aditi Sen</v>
      </c>
      <c r="I891" t="s">
        <v>154</v>
      </c>
      <c r="J891" t="str">
        <f t="shared" si="196"/>
        <v>Home Office</v>
      </c>
      <c r="K891" t="s">
        <v>11</v>
      </c>
      <c r="L891" t="str">
        <f t="shared" si="197"/>
        <v>West</v>
      </c>
      <c r="M891" t="s">
        <v>124</v>
      </c>
      <c r="N891" t="str">
        <f t="shared" si="198"/>
        <v>Madhya Pradesh</v>
      </c>
      <c r="O891" t="s">
        <v>125</v>
      </c>
      <c r="P891" t="str">
        <f t="shared" si="199"/>
        <v>Indore</v>
      </c>
      <c r="Q891" t="s">
        <v>22</v>
      </c>
      <c r="R891" t="str">
        <f t="shared" si="200"/>
        <v>Office Supplies</v>
      </c>
      <c r="S891" t="s">
        <v>196</v>
      </c>
      <c r="T891" t="str">
        <f t="shared" si="201"/>
        <v>Storage</v>
      </c>
      <c r="U891" t="s">
        <v>4113</v>
      </c>
      <c r="V891" t="str">
        <f t="shared" si="202"/>
        <v>Prime Storage 806</v>
      </c>
      <c r="W891" t="s">
        <v>98</v>
      </c>
      <c r="X891" t="str">
        <f t="shared" si="203"/>
        <v>First Class</v>
      </c>
      <c r="Y891">
        <v>1</v>
      </c>
      <c r="Z891">
        <v>2</v>
      </c>
      <c r="AA891">
        <v>3922.08</v>
      </c>
      <c r="AB891">
        <v>0.25</v>
      </c>
      <c r="AC891">
        <f t="shared" si="204"/>
        <v>0.25</v>
      </c>
      <c r="AD891">
        <v>5883.12</v>
      </c>
      <c r="AE891">
        <f t="shared" si="205"/>
        <v>5883.12</v>
      </c>
      <c r="AF891">
        <v>4647.91</v>
      </c>
      <c r="AG891">
        <v>1235.21</v>
      </c>
      <c r="AH891">
        <f t="shared" si="206"/>
        <v>1235.21</v>
      </c>
      <c r="AI891">
        <f t="shared" si="207"/>
        <v>0.209958321434885</v>
      </c>
      <c r="AJ891" t="s">
        <v>77</v>
      </c>
      <c r="AK891" t="str">
        <f t="shared" si="208"/>
        <v>Paid</v>
      </c>
      <c r="AL891" t="s">
        <v>164</v>
      </c>
      <c r="AM891" t="str">
        <f t="shared" si="209"/>
        <v>Returned</v>
      </c>
      <c r="AN891">
        <v>3</v>
      </c>
      <c r="AO891">
        <v>2025</v>
      </c>
      <c r="AP891" t="s">
        <v>79</v>
      </c>
    </row>
    <row r="892" spans="1:42">
      <c r="A892" t="s">
        <v>4114</v>
      </c>
      <c r="B892" s="3" t="s">
        <v>200</v>
      </c>
      <c r="C892" s="3">
        <v>45427</v>
      </c>
      <c r="D892" t="s">
        <v>1191</v>
      </c>
      <c r="E892" s="3">
        <v>45433</v>
      </c>
      <c r="F892" t="s">
        <v>4115</v>
      </c>
      <c r="G892" t="s">
        <v>70</v>
      </c>
      <c r="H892" t="str">
        <f t="shared" si="195"/>
        <v>Karan Malhotra</v>
      </c>
      <c r="I892" t="s">
        <v>71</v>
      </c>
      <c r="J892" t="str">
        <f t="shared" si="196"/>
        <v>Consumer</v>
      </c>
      <c r="K892" t="s">
        <v>11</v>
      </c>
      <c r="L892" t="str">
        <f t="shared" si="197"/>
        <v>West</v>
      </c>
      <c r="M892" t="s">
        <v>292</v>
      </c>
      <c r="N892" t="str">
        <f t="shared" si="198"/>
        <v>Goa</v>
      </c>
      <c r="O892" t="s">
        <v>293</v>
      </c>
      <c r="P892" t="str">
        <f t="shared" si="199"/>
        <v>Panaji</v>
      </c>
      <c r="Q892" t="s">
        <v>22</v>
      </c>
      <c r="R892" t="str">
        <f t="shared" si="200"/>
        <v>Office Supplies</v>
      </c>
      <c r="S892" t="s">
        <v>196</v>
      </c>
      <c r="T892" t="str">
        <f t="shared" si="201"/>
        <v>Storage</v>
      </c>
      <c r="U892" t="s">
        <v>4116</v>
      </c>
      <c r="V892" t="str">
        <f t="shared" si="202"/>
        <v>Smart Storage 288</v>
      </c>
      <c r="W892" t="s">
        <v>108</v>
      </c>
      <c r="X892" t="str">
        <f t="shared" si="203"/>
        <v>Standard Class</v>
      </c>
      <c r="Y892">
        <v>6</v>
      </c>
      <c r="Z892">
        <v>6</v>
      </c>
      <c r="AA892">
        <v>2909.56</v>
      </c>
      <c r="AB892">
        <v>0.2</v>
      </c>
      <c r="AC892">
        <f t="shared" si="204"/>
        <v>0.2</v>
      </c>
      <c r="AD892">
        <v>13965.89</v>
      </c>
      <c r="AE892">
        <f t="shared" si="205"/>
        <v>13965.888</v>
      </c>
      <c r="AF892">
        <v>11646.12</v>
      </c>
      <c r="AG892">
        <v>2319.77</v>
      </c>
      <c r="AH892">
        <f t="shared" si="206"/>
        <v>2319.768</v>
      </c>
      <c r="AI892">
        <f t="shared" si="207"/>
        <v>0.166102434732399</v>
      </c>
      <c r="AJ892" t="s">
        <v>77</v>
      </c>
      <c r="AK892" t="str">
        <f t="shared" si="208"/>
        <v>Paid</v>
      </c>
      <c r="AL892" t="s">
        <v>78</v>
      </c>
      <c r="AM892" t="str">
        <f t="shared" si="209"/>
        <v>Completed</v>
      </c>
      <c r="AN892">
        <v>5</v>
      </c>
      <c r="AO892">
        <v>2024</v>
      </c>
      <c r="AP892" t="s">
        <v>79</v>
      </c>
    </row>
    <row r="893" spans="1:42">
      <c r="A893" t="s">
        <v>4117</v>
      </c>
      <c r="B893" s="3" t="s">
        <v>3839</v>
      </c>
      <c r="C893" s="3">
        <v>45573</v>
      </c>
      <c r="D893" t="s">
        <v>2615</v>
      </c>
      <c r="E893" s="3">
        <v>45574</v>
      </c>
      <c r="F893" t="s">
        <v>4118</v>
      </c>
      <c r="G893" t="s">
        <v>411</v>
      </c>
      <c r="H893" t="str">
        <f t="shared" si="195"/>
        <v>Kabir Singh</v>
      </c>
      <c r="I893" t="s">
        <v>147</v>
      </c>
      <c r="J893" t="str">
        <f t="shared" si="196"/>
        <v>Corporate</v>
      </c>
      <c r="K893" t="s">
        <v>10</v>
      </c>
      <c r="L893" t="str">
        <f t="shared" si="197"/>
        <v>South</v>
      </c>
      <c r="M893" t="s">
        <v>382</v>
      </c>
      <c r="N893" t="str">
        <f t="shared" si="198"/>
        <v>Tamil Nadu</v>
      </c>
      <c r="O893" t="s">
        <v>383</v>
      </c>
      <c r="P893" t="str">
        <f t="shared" si="199"/>
        <v>Chennai</v>
      </c>
      <c r="Q893" t="s">
        <v>24</v>
      </c>
      <c r="R893" t="str">
        <f t="shared" si="200"/>
        <v>Technology</v>
      </c>
      <c r="S893" t="s">
        <v>427</v>
      </c>
      <c r="T893" t="str">
        <f t="shared" si="201"/>
        <v>Machines</v>
      </c>
      <c r="U893" t="s">
        <v>4119</v>
      </c>
      <c r="V893" t="str">
        <f t="shared" si="202"/>
        <v>Elite Machines 281</v>
      </c>
      <c r="W893" t="s">
        <v>90</v>
      </c>
      <c r="X893" t="str">
        <f t="shared" si="203"/>
        <v>Same Day</v>
      </c>
      <c r="Y893">
        <v>1</v>
      </c>
      <c r="Z893">
        <v>5</v>
      </c>
      <c r="AA893">
        <v>2407.97</v>
      </c>
      <c r="AB893">
        <v>0.1</v>
      </c>
      <c r="AC893">
        <f t="shared" si="204"/>
        <v>0.1</v>
      </c>
      <c r="AD893">
        <v>10835.86</v>
      </c>
      <c r="AE893">
        <f t="shared" si="205"/>
        <v>10835.865</v>
      </c>
      <c r="AF893">
        <v>6419.92</v>
      </c>
      <c r="AG893">
        <v>4415.94</v>
      </c>
      <c r="AH893">
        <f t="shared" si="206"/>
        <v>4415.945</v>
      </c>
      <c r="AI893">
        <f t="shared" si="207"/>
        <v>0.407530455575074</v>
      </c>
      <c r="AJ893" t="s">
        <v>241</v>
      </c>
      <c r="AK893" t="str">
        <f t="shared" si="208"/>
        <v>Failed</v>
      </c>
      <c r="AL893" t="s">
        <v>118</v>
      </c>
      <c r="AM893" t="str">
        <f t="shared" si="209"/>
        <v>Cancelled</v>
      </c>
      <c r="AN893">
        <v>10</v>
      </c>
      <c r="AO893">
        <v>2024</v>
      </c>
      <c r="AP893" t="s">
        <v>79</v>
      </c>
    </row>
    <row r="894" spans="1:42">
      <c r="A894" t="s">
        <v>4120</v>
      </c>
      <c r="B894" s="3" t="s">
        <v>4121</v>
      </c>
      <c r="C894" s="3">
        <v>45759</v>
      </c>
      <c r="D894" t="s">
        <v>3059</v>
      </c>
      <c r="E894" s="3">
        <v>45765</v>
      </c>
      <c r="F894" t="s">
        <v>4122</v>
      </c>
      <c r="G894" t="s">
        <v>95</v>
      </c>
      <c r="H894" t="str">
        <f t="shared" si="195"/>
        <v>Isha Nair</v>
      </c>
      <c r="I894" t="s">
        <v>85</v>
      </c>
      <c r="J894" t="str">
        <f t="shared" si="196"/>
        <v>Small Business</v>
      </c>
      <c r="K894" t="s">
        <v>7</v>
      </c>
      <c r="L894" t="str">
        <f t="shared" si="197"/>
        <v>East</v>
      </c>
      <c r="M894" t="s">
        <v>354</v>
      </c>
      <c r="N894" t="str">
        <f t="shared" si="198"/>
        <v>Jharkhand</v>
      </c>
      <c r="O894" t="s">
        <v>355</v>
      </c>
      <c r="P894" t="str">
        <f t="shared" si="199"/>
        <v>Ranchi</v>
      </c>
      <c r="Q894" t="s">
        <v>24</v>
      </c>
      <c r="R894" t="str">
        <f t="shared" si="200"/>
        <v>Technology</v>
      </c>
      <c r="S894" t="s">
        <v>133</v>
      </c>
      <c r="T894" t="str">
        <f t="shared" si="201"/>
        <v>Copiers</v>
      </c>
      <c r="U894" t="s">
        <v>4123</v>
      </c>
      <c r="V894" t="str">
        <f t="shared" si="202"/>
        <v>Elite Copiers 221</v>
      </c>
      <c r="W894" t="s">
        <v>90</v>
      </c>
      <c r="X894" t="str">
        <f t="shared" si="203"/>
        <v>Same Day</v>
      </c>
      <c r="Y894">
        <v>6</v>
      </c>
      <c r="Z894">
        <v>1</v>
      </c>
      <c r="AA894">
        <v>726.89</v>
      </c>
      <c r="AB894">
        <v>0.2</v>
      </c>
      <c r="AC894">
        <f t="shared" si="204"/>
        <v>0.2</v>
      </c>
      <c r="AD894">
        <v>581.51</v>
      </c>
      <c r="AE894">
        <f t="shared" si="205"/>
        <v>581.512</v>
      </c>
      <c r="AF894">
        <v>423.86</v>
      </c>
      <c r="AG894">
        <v>157.65</v>
      </c>
      <c r="AH894">
        <f t="shared" si="206"/>
        <v>157.652</v>
      </c>
      <c r="AI894">
        <f t="shared" si="207"/>
        <v>0.271107045082475</v>
      </c>
      <c r="AJ894" t="s">
        <v>77</v>
      </c>
      <c r="AK894" t="str">
        <f t="shared" si="208"/>
        <v>Paid</v>
      </c>
      <c r="AL894" t="s">
        <v>78</v>
      </c>
      <c r="AM894" t="str">
        <f t="shared" si="209"/>
        <v>Completed</v>
      </c>
      <c r="AN894">
        <v>4</v>
      </c>
      <c r="AO894">
        <v>2025</v>
      </c>
      <c r="AP894" t="s">
        <v>79</v>
      </c>
    </row>
    <row r="895" spans="1:42">
      <c r="A895" t="s">
        <v>4124</v>
      </c>
      <c r="B895" s="3" t="s">
        <v>4125</v>
      </c>
      <c r="C895" s="3">
        <v>45449</v>
      </c>
      <c r="D895" t="s">
        <v>4126</v>
      </c>
      <c r="E895" s="3">
        <v>45451</v>
      </c>
      <c r="F895" t="s">
        <v>4127</v>
      </c>
      <c r="G895" t="s">
        <v>202</v>
      </c>
      <c r="H895" t="str">
        <f t="shared" si="195"/>
        <v>Aarav Sharma</v>
      </c>
      <c r="I895" t="s">
        <v>147</v>
      </c>
      <c r="J895" t="str">
        <f t="shared" si="196"/>
        <v>Corporate</v>
      </c>
      <c r="K895" t="s">
        <v>10</v>
      </c>
      <c r="L895" t="str">
        <f t="shared" si="197"/>
        <v>South</v>
      </c>
      <c r="M895" t="s">
        <v>272</v>
      </c>
      <c r="N895" t="str">
        <f t="shared" si="198"/>
        <v>Karnataka</v>
      </c>
      <c r="O895" t="s">
        <v>273</v>
      </c>
      <c r="P895" t="str">
        <f t="shared" si="199"/>
        <v>Bengaluru</v>
      </c>
      <c r="Q895" t="s">
        <v>19</v>
      </c>
      <c r="R895" t="str">
        <f t="shared" si="200"/>
        <v>Furniture</v>
      </c>
      <c r="S895" t="s">
        <v>88</v>
      </c>
      <c r="T895" t="str">
        <f t="shared" si="201"/>
        <v>Tables</v>
      </c>
      <c r="U895" t="s">
        <v>4128</v>
      </c>
      <c r="V895" t="str">
        <f t="shared" si="202"/>
        <v>Max Tables 291</v>
      </c>
      <c r="W895" t="s">
        <v>76</v>
      </c>
      <c r="X895" t="str">
        <f t="shared" si="203"/>
        <v>Second Class</v>
      </c>
      <c r="Y895">
        <v>2</v>
      </c>
      <c r="Z895">
        <v>3</v>
      </c>
      <c r="AA895">
        <v>395.49</v>
      </c>
      <c r="AB895">
        <v>0.05</v>
      </c>
      <c r="AC895">
        <f t="shared" si="204"/>
        <v>0.05</v>
      </c>
      <c r="AD895">
        <v>1127.15</v>
      </c>
      <c r="AE895">
        <f t="shared" si="205"/>
        <v>1127.1465</v>
      </c>
      <c r="AF895">
        <v>845.62</v>
      </c>
      <c r="AG895">
        <v>281.53</v>
      </c>
      <c r="AH895">
        <f t="shared" si="206"/>
        <v>281.5265</v>
      </c>
      <c r="AI895">
        <f t="shared" si="207"/>
        <v>0.249769218109625</v>
      </c>
      <c r="AJ895" t="s">
        <v>77</v>
      </c>
      <c r="AK895" t="str">
        <f t="shared" si="208"/>
        <v>Paid</v>
      </c>
      <c r="AL895" t="s">
        <v>164</v>
      </c>
      <c r="AM895" t="str">
        <f t="shared" si="209"/>
        <v>Returned</v>
      </c>
      <c r="AN895">
        <v>6</v>
      </c>
      <c r="AO895">
        <v>2024</v>
      </c>
      <c r="AP895" t="s">
        <v>79</v>
      </c>
    </row>
    <row r="896" spans="1:42">
      <c r="A896" t="s">
        <v>4129</v>
      </c>
      <c r="B896" s="3" t="s">
        <v>1999</v>
      </c>
      <c r="C896" s="3">
        <v>45344</v>
      </c>
      <c r="D896" t="s">
        <v>4130</v>
      </c>
      <c r="E896" s="3">
        <v>45351</v>
      </c>
      <c r="F896" t="s">
        <v>4131</v>
      </c>
      <c r="G896" t="s">
        <v>95</v>
      </c>
      <c r="H896" t="str">
        <f t="shared" si="195"/>
        <v>Isha Nair</v>
      </c>
      <c r="I896" t="s">
        <v>154</v>
      </c>
      <c r="J896" t="str">
        <f t="shared" si="196"/>
        <v>Home Office</v>
      </c>
      <c r="K896" t="s">
        <v>10</v>
      </c>
      <c r="L896" t="str">
        <f t="shared" si="197"/>
        <v>South</v>
      </c>
      <c r="M896" t="s">
        <v>104</v>
      </c>
      <c r="N896" t="str">
        <f t="shared" si="198"/>
        <v>Telangana</v>
      </c>
      <c r="O896" t="s">
        <v>105</v>
      </c>
      <c r="P896" t="str">
        <f t="shared" si="199"/>
        <v>Hyderabad</v>
      </c>
      <c r="Q896" t="s">
        <v>19</v>
      </c>
      <c r="R896" t="str">
        <f t="shared" si="200"/>
        <v>Furniture</v>
      </c>
      <c r="S896" t="s">
        <v>88</v>
      </c>
      <c r="T896" t="str">
        <f t="shared" si="201"/>
        <v>Tables</v>
      </c>
      <c r="U896" t="s">
        <v>4132</v>
      </c>
      <c r="V896" t="str">
        <f t="shared" si="202"/>
        <v>Classic Tables 638</v>
      </c>
      <c r="W896" t="s">
        <v>98</v>
      </c>
      <c r="X896" t="str">
        <f t="shared" si="203"/>
        <v>First Class</v>
      </c>
      <c r="Y896">
        <v>7</v>
      </c>
      <c r="Z896">
        <v>6</v>
      </c>
      <c r="AA896">
        <v>4254.05</v>
      </c>
      <c r="AB896">
        <v>0</v>
      </c>
      <c r="AC896">
        <f t="shared" si="204"/>
        <v>0</v>
      </c>
      <c r="AD896">
        <v>25524.3</v>
      </c>
      <c r="AE896">
        <f t="shared" si="205"/>
        <v>25524.3</v>
      </c>
      <c r="AF896">
        <v>16711.93</v>
      </c>
      <c r="AG896">
        <v>8812.37</v>
      </c>
      <c r="AH896">
        <f t="shared" si="206"/>
        <v>8812.37</v>
      </c>
      <c r="AI896">
        <f t="shared" si="207"/>
        <v>0.345254130377719</v>
      </c>
      <c r="AJ896" t="s">
        <v>77</v>
      </c>
      <c r="AK896" t="str">
        <f t="shared" si="208"/>
        <v>Paid</v>
      </c>
      <c r="AL896" t="s">
        <v>78</v>
      </c>
      <c r="AM896" t="str">
        <f t="shared" si="209"/>
        <v>Completed</v>
      </c>
      <c r="AN896">
        <v>2</v>
      </c>
      <c r="AO896">
        <v>2024</v>
      </c>
      <c r="AP896" t="s">
        <v>79</v>
      </c>
    </row>
    <row r="897" spans="1:42">
      <c r="A897" t="s">
        <v>4133</v>
      </c>
      <c r="B897" s="3" t="s">
        <v>4134</v>
      </c>
      <c r="C897" s="3">
        <v>45601</v>
      </c>
      <c r="D897" t="s">
        <v>144</v>
      </c>
      <c r="E897" s="3">
        <v>45606</v>
      </c>
      <c r="F897" t="s">
        <v>4135</v>
      </c>
      <c r="G897" t="s">
        <v>103</v>
      </c>
      <c r="H897" t="str">
        <f t="shared" si="195"/>
        <v>Arjun Bose</v>
      </c>
      <c r="I897" t="s">
        <v>71</v>
      </c>
      <c r="J897" t="str">
        <f t="shared" si="196"/>
        <v>Consumer</v>
      </c>
      <c r="K897" t="s">
        <v>10</v>
      </c>
      <c r="L897" t="str">
        <f t="shared" si="197"/>
        <v>South</v>
      </c>
      <c r="M897" t="s">
        <v>285</v>
      </c>
      <c r="N897" t="str">
        <f t="shared" si="198"/>
        <v>Kerala</v>
      </c>
      <c r="O897" t="s">
        <v>286</v>
      </c>
      <c r="P897" t="str">
        <f t="shared" si="199"/>
        <v>Kochi</v>
      </c>
      <c r="Q897" t="s">
        <v>19</v>
      </c>
      <c r="R897" t="str">
        <f t="shared" si="200"/>
        <v>Furniture</v>
      </c>
      <c r="S897" t="s">
        <v>116</v>
      </c>
      <c r="T897" t="str">
        <f t="shared" si="201"/>
        <v>Chairs</v>
      </c>
      <c r="U897" t="s">
        <v>4136</v>
      </c>
      <c r="V897" t="str">
        <f t="shared" si="202"/>
        <v>Basic Chairs 212</v>
      </c>
      <c r="W897" t="s">
        <v>90</v>
      </c>
      <c r="X897" t="str">
        <f t="shared" si="203"/>
        <v>Same Day</v>
      </c>
      <c r="Y897">
        <v>5</v>
      </c>
      <c r="Z897">
        <v>4</v>
      </c>
      <c r="AA897">
        <v>711.18</v>
      </c>
      <c r="AB897">
        <v>0.15</v>
      </c>
      <c r="AC897">
        <f t="shared" si="204"/>
        <v>0.15</v>
      </c>
      <c r="AD897">
        <v>2418.01</v>
      </c>
      <c r="AE897">
        <f t="shared" si="205"/>
        <v>2418.012</v>
      </c>
      <c r="AF897">
        <v>1441.89</v>
      </c>
      <c r="AG897">
        <v>976.12</v>
      </c>
      <c r="AH897">
        <f t="shared" si="206"/>
        <v>976.122</v>
      </c>
      <c r="AI897">
        <f t="shared" si="207"/>
        <v>0.403687822889216</v>
      </c>
      <c r="AJ897" t="s">
        <v>177</v>
      </c>
      <c r="AK897" t="str">
        <f t="shared" si="208"/>
        <v>Pending</v>
      </c>
      <c r="AL897" t="s">
        <v>164</v>
      </c>
      <c r="AM897" t="str">
        <f t="shared" si="209"/>
        <v>Returned</v>
      </c>
      <c r="AN897">
        <v>11</v>
      </c>
      <c r="AO897">
        <v>2024</v>
      </c>
      <c r="AP897" t="s">
        <v>79</v>
      </c>
    </row>
    <row r="898" spans="1:42">
      <c r="A898" t="s">
        <v>4137</v>
      </c>
      <c r="B898" s="3" t="s">
        <v>4138</v>
      </c>
      <c r="C898" s="3">
        <v>45650</v>
      </c>
      <c r="D898" t="s">
        <v>2414</v>
      </c>
      <c r="E898" s="3">
        <v>45651</v>
      </c>
      <c r="F898" t="s">
        <v>4139</v>
      </c>
      <c r="G898" t="s">
        <v>113</v>
      </c>
      <c r="H898" t="str">
        <f t="shared" ref="H898:H933" si="210">PROPER(TRIM(G898))</f>
        <v>Ananya Rao</v>
      </c>
      <c r="I898" t="s">
        <v>85</v>
      </c>
      <c r="J898" t="str">
        <f t="shared" ref="J898:J933" si="211">PROPER(TRIM(I898))</f>
        <v>Small Business</v>
      </c>
      <c r="K898" t="s">
        <v>10</v>
      </c>
      <c r="L898" t="str">
        <f t="shared" ref="L898:L933" si="212">PROPER(TRIM(K898))</f>
        <v>South</v>
      </c>
      <c r="M898" t="s">
        <v>382</v>
      </c>
      <c r="N898" t="str">
        <f t="shared" ref="N898:N933" si="213">PROPER(TRIM(M898))</f>
        <v>Tamil Nadu</v>
      </c>
      <c r="O898" t="s">
        <v>383</v>
      </c>
      <c r="P898" t="str">
        <f t="shared" ref="P898:P933" si="214">PROPER(TRIM(O898))</f>
        <v>Chennai</v>
      </c>
      <c r="Q898" t="s">
        <v>24</v>
      </c>
      <c r="R898" t="str">
        <f t="shared" ref="R898:R933" si="215">PROPER(TRIM(Q898))</f>
        <v>Technology</v>
      </c>
      <c r="S898" t="s">
        <v>133</v>
      </c>
      <c r="T898" t="str">
        <f t="shared" ref="T898:T933" si="216">PROPER(TRIM(S898))</f>
        <v>Copiers</v>
      </c>
      <c r="U898" t="s">
        <v>4140</v>
      </c>
      <c r="V898" t="str">
        <f t="shared" ref="V898:V933" si="217">PROPER(TRIM(U898))</f>
        <v>Max Copiers 121</v>
      </c>
      <c r="W898" t="s">
        <v>76</v>
      </c>
      <c r="X898" t="str">
        <f t="shared" ref="X898:X933" si="218">PROPER(TRIM(W898))</f>
        <v>Second Class</v>
      </c>
      <c r="Y898">
        <v>1</v>
      </c>
      <c r="Z898">
        <v>1</v>
      </c>
      <c r="AA898">
        <v>3693.03</v>
      </c>
      <c r="AB898">
        <v>0.05</v>
      </c>
      <c r="AC898">
        <f t="shared" ref="AC898:AC933" si="219">IF(OR(AB898="",AB898&lt;0),0,AB898)</f>
        <v>0.05</v>
      </c>
      <c r="AD898">
        <v>3508.38</v>
      </c>
      <c r="AE898">
        <f t="shared" ref="AE898:AE933" si="220">Z898*AA898*(1-AC898)</f>
        <v>3508.3785</v>
      </c>
      <c r="AF898">
        <v>2828.06</v>
      </c>
      <c r="AG898">
        <v>680.32</v>
      </c>
      <c r="AH898">
        <f t="shared" ref="AH898:AH933" si="221">AE898-AF898</f>
        <v>680.3185</v>
      </c>
      <c r="AI898">
        <f t="shared" ref="AI898:AI933" si="222">AH898/AE898</f>
        <v>0.193912515425573</v>
      </c>
      <c r="AJ898" t="s">
        <v>241</v>
      </c>
      <c r="AK898" t="str">
        <f t="shared" ref="AK898:AK933" si="223">PROPER(TRIM(AJ898))</f>
        <v>Failed</v>
      </c>
      <c r="AL898" t="s">
        <v>164</v>
      </c>
      <c r="AM898" t="str">
        <f t="shared" ref="AM898:AM933" si="224">PROPER(TRIM(AL898))</f>
        <v>Returned</v>
      </c>
      <c r="AN898">
        <v>12</v>
      </c>
      <c r="AO898">
        <v>2024</v>
      </c>
      <c r="AP898" t="s">
        <v>79</v>
      </c>
    </row>
    <row r="899" spans="1:42">
      <c r="A899" t="s">
        <v>4141</v>
      </c>
      <c r="B899" s="3" t="s">
        <v>1234</v>
      </c>
      <c r="C899" s="3">
        <v>45776</v>
      </c>
      <c r="D899" t="s">
        <v>4142</v>
      </c>
      <c r="E899" s="3">
        <v>45780</v>
      </c>
      <c r="F899" t="s">
        <v>3260</v>
      </c>
      <c r="G899" t="s">
        <v>220</v>
      </c>
      <c r="H899" t="str">
        <f t="shared" si="210"/>
        <v>Rohan Mehta</v>
      </c>
      <c r="I899" t="s">
        <v>147</v>
      </c>
      <c r="J899" t="str">
        <f t="shared" si="211"/>
        <v>Corporate</v>
      </c>
      <c r="K899" t="s">
        <v>8</v>
      </c>
      <c r="L899" t="str">
        <f t="shared" si="212"/>
        <v>North</v>
      </c>
      <c r="M899" t="s">
        <v>366</v>
      </c>
      <c r="N899" t="str">
        <f t="shared" si="213"/>
        <v>Haryana</v>
      </c>
      <c r="O899" t="s">
        <v>367</v>
      </c>
      <c r="P899" t="str">
        <f t="shared" si="214"/>
        <v>Gurugram</v>
      </c>
      <c r="Q899" t="s">
        <v>22</v>
      </c>
      <c r="R899" t="str">
        <f t="shared" si="215"/>
        <v>Office Supplies</v>
      </c>
      <c r="S899" t="s">
        <v>74</v>
      </c>
      <c r="T899" t="str">
        <f t="shared" si="216"/>
        <v>Paper</v>
      </c>
      <c r="U899" t="s">
        <v>4143</v>
      </c>
      <c r="V899" t="str">
        <f t="shared" si="217"/>
        <v>Eco Paper 747</v>
      </c>
      <c r="W899" t="s">
        <v>98</v>
      </c>
      <c r="X899" t="str">
        <f t="shared" si="218"/>
        <v>First Class</v>
      </c>
      <c r="Y899">
        <v>4</v>
      </c>
      <c r="Z899">
        <v>4</v>
      </c>
      <c r="AA899">
        <v>1786.65</v>
      </c>
      <c r="AB899">
        <v>0.05</v>
      </c>
      <c r="AC899">
        <f t="shared" si="219"/>
        <v>0.05</v>
      </c>
      <c r="AD899">
        <v>6789.27</v>
      </c>
      <c r="AE899">
        <f t="shared" si="220"/>
        <v>6789.27</v>
      </c>
      <c r="AF899">
        <v>5626.43</v>
      </c>
      <c r="AG899">
        <v>1162.84</v>
      </c>
      <c r="AH899">
        <f t="shared" si="221"/>
        <v>1162.84</v>
      </c>
      <c r="AI899">
        <f t="shared" si="222"/>
        <v>0.171276146036319</v>
      </c>
      <c r="AJ899" t="s">
        <v>77</v>
      </c>
      <c r="AK899" t="str">
        <f t="shared" si="223"/>
        <v>Paid</v>
      </c>
      <c r="AL899" t="s">
        <v>78</v>
      </c>
      <c r="AM899" t="str">
        <f t="shared" si="224"/>
        <v>Completed</v>
      </c>
      <c r="AN899">
        <v>4</v>
      </c>
      <c r="AO899">
        <v>2025</v>
      </c>
      <c r="AP899" t="s">
        <v>79</v>
      </c>
    </row>
    <row r="900" spans="1:42">
      <c r="A900" t="s">
        <v>4144</v>
      </c>
      <c r="B900" s="3" t="s">
        <v>3706</v>
      </c>
      <c r="C900" s="3">
        <v>45445</v>
      </c>
      <c r="D900" t="s">
        <v>92</v>
      </c>
      <c r="E900" s="3">
        <v>45451</v>
      </c>
      <c r="F900" t="s">
        <v>4145</v>
      </c>
      <c r="G900" t="s">
        <v>123</v>
      </c>
      <c r="H900" t="str">
        <f t="shared" si="210"/>
        <v>Vikram Iyer</v>
      </c>
      <c r="I900" t="s">
        <v>71</v>
      </c>
      <c r="J900" t="str">
        <f t="shared" si="211"/>
        <v>Consumer</v>
      </c>
      <c r="K900" t="s">
        <v>8</v>
      </c>
      <c r="L900" t="str">
        <f t="shared" si="212"/>
        <v>North</v>
      </c>
      <c r="M900" t="s">
        <v>552</v>
      </c>
      <c r="N900" t="str">
        <f t="shared" si="213"/>
        <v>Delhi</v>
      </c>
      <c r="O900" t="s">
        <v>553</v>
      </c>
      <c r="P900" t="str">
        <f t="shared" si="214"/>
        <v>New Delhi</v>
      </c>
      <c r="Q900" t="s">
        <v>19</v>
      </c>
      <c r="R900" t="str">
        <f t="shared" si="215"/>
        <v>Furniture</v>
      </c>
      <c r="S900" t="s">
        <v>88</v>
      </c>
      <c r="T900" t="str">
        <f t="shared" si="216"/>
        <v>Tables</v>
      </c>
      <c r="U900" t="s">
        <v>4146</v>
      </c>
      <c r="V900" t="str">
        <f t="shared" si="217"/>
        <v>Classic Tables 535</v>
      </c>
      <c r="W900" t="s">
        <v>98</v>
      </c>
      <c r="X900" t="str">
        <f t="shared" si="218"/>
        <v>First Class</v>
      </c>
      <c r="Y900">
        <v>6</v>
      </c>
      <c r="Z900">
        <v>4</v>
      </c>
      <c r="AA900">
        <v>1536.7</v>
      </c>
      <c r="AB900">
        <v>0.2</v>
      </c>
      <c r="AC900">
        <f t="shared" si="219"/>
        <v>0.2</v>
      </c>
      <c r="AD900">
        <v>4917.44</v>
      </c>
      <c r="AE900">
        <f t="shared" si="220"/>
        <v>4917.44</v>
      </c>
      <c r="AF900">
        <v>3846.77</v>
      </c>
      <c r="AG900">
        <v>1070.67</v>
      </c>
      <c r="AH900">
        <f t="shared" si="221"/>
        <v>1070.67</v>
      </c>
      <c r="AI900">
        <f t="shared" si="222"/>
        <v>0.217729143619444</v>
      </c>
      <c r="AJ900" t="s">
        <v>77</v>
      </c>
      <c r="AK900" t="str">
        <f t="shared" si="223"/>
        <v>Paid</v>
      </c>
      <c r="AL900" t="s">
        <v>78</v>
      </c>
      <c r="AM900" t="str">
        <f t="shared" si="224"/>
        <v>Completed</v>
      </c>
      <c r="AN900">
        <v>6</v>
      </c>
      <c r="AO900">
        <v>2024</v>
      </c>
      <c r="AP900" t="s">
        <v>79</v>
      </c>
    </row>
    <row r="901" spans="1:42">
      <c r="A901" t="s">
        <v>4147</v>
      </c>
      <c r="B901" s="3" t="s">
        <v>1736</v>
      </c>
      <c r="C901" s="3">
        <v>45804</v>
      </c>
      <c r="D901" t="s">
        <v>4148</v>
      </c>
      <c r="E901" s="3">
        <v>45811</v>
      </c>
      <c r="F901" t="s">
        <v>4149</v>
      </c>
      <c r="G901" t="s">
        <v>70</v>
      </c>
      <c r="H901" t="str">
        <f t="shared" si="210"/>
        <v>Karan Malhotra</v>
      </c>
      <c r="I901" t="s">
        <v>71</v>
      </c>
      <c r="J901" t="str">
        <f t="shared" si="211"/>
        <v>Consumer</v>
      </c>
      <c r="K901" t="s">
        <v>8</v>
      </c>
      <c r="L901" t="str">
        <f t="shared" si="212"/>
        <v>North</v>
      </c>
      <c r="M901" t="s">
        <v>194</v>
      </c>
      <c r="N901" t="str">
        <f t="shared" si="213"/>
        <v>Punjab</v>
      </c>
      <c r="O901" t="s">
        <v>195</v>
      </c>
      <c r="P901" t="str">
        <f t="shared" si="214"/>
        <v>Ludhiana</v>
      </c>
      <c r="Q901" t="s">
        <v>19</v>
      </c>
      <c r="R901" t="str">
        <f t="shared" si="215"/>
        <v>Furniture</v>
      </c>
      <c r="S901" t="s">
        <v>116</v>
      </c>
      <c r="T901" t="str">
        <f t="shared" si="216"/>
        <v>Chairs</v>
      </c>
      <c r="U901" t="s">
        <v>4150</v>
      </c>
      <c r="V901" t="str">
        <f t="shared" si="217"/>
        <v>Elite Chairs 971</v>
      </c>
      <c r="W901" t="s">
        <v>98</v>
      </c>
      <c r="X901" t="str">
        <f t="shared" si="218"/>
        <v>First Class</v>
      </c>
      <c r="Y901">
        <v>7</v>
      </c>
      <c r="Z901">
        <v>5</v>
      </c>
      <c r="AA901">
        <v>881.08</v>
      </c>
      <c r="AB901">
        <v>0.25</v>
      </c>
      <c r="AC901">
        <f t="shared" si="219"/>
        <v>0.25</v>
      </c>
      <c r="AD901">
        <v>3304.05</v>
      </c>
      <c r="AE901">
        <f t="shared" si="220"/>
        <v>3304.05</v>
      </c>
      <c r="AF901">
        <v>2279.41</v>
      </c>
      <c r="AG901">
        <v>1024.64</v>
      </c>
      <c r="AH901">
        <f t="shared" si="221"/>
        <v>1024.64</v>
      </c>
      <c r="AI901">
        <f t="shared" si="222"/>
        <v>0.310116372330927</v>
      </c>
      <c r="AJ901" t="s">
        <v>241</v>
      </c>
      <c r="AK901" t="str">
        <f t="shared" si="223"/>
        <v>Failed</v>
      </c>
      <c r="AL901" t="s">
        <v>118</v>
      </c>
      <c r="AM901" t="str">
        <f t="shared" si="224"/>
        <v>Cancelled</v>
      </c>
      <c r="AN901">
        <v>5</v>
      </c>
      <c r="AO901">
        <v>2025</v>
      </c>
      <c r="AP901" t="s">
        <v>79</v>
      </c>
    </row>
    <row r="902" spans="1:42">
      <c r="A902" t="s">
        <v>2497</v>
      </c>
      <c r="B902" s="3" t="s">
        <v>2498</v>
      </c>
      <c r="C902" s="3">
        <v>45383</v>
      </c>
      <c r="D902" t="s">
        <v>2499</v>
      </c>
      <c r="E902" s="3">
        <v>45391</v>
      </c>
      <c r="F902" t="s">
        <v>2500</v>
      </c>
      <c r="G902" t="s">
        <v>182</v>
      </c>
      <c r="H902" t="str">
        <f t="shared" si="210"/>
        <v>Priya Menon</v>
      </c>
      <c r="I902" t="s">
        <v>85</v>
      </c>
      <c r="J902" t="str">
        <f t="shared" si="211"/>
        <v>Small Business</v>
      </c>
      <c r="K902" t="s">
        <v>4</v>
      </c>
      <c r="L902" t="str">
        <f t="shared" si="212"/>
        <v>East</v>
      </c>
      <c r="M902" t="s">
        <v>86</v>
      </c>
      <c r="N902" t="str">
        <f t="shared" si="213"/>
        <v>Odisha</v>
      </c>
      <c r="O902" t="s">
        <v>87</v>
      </c>
      <c r="P902" t="str">
        <f t="shared" si="214"/>
        <v>Bhubaneswar</v>
      </c>
      <c r="Q902" t="s">
        <v>24</v>
      </c>
      <c r="R902" t="str">
        <f t="shared" si="215"/>
        <v>Technology</v>
      </c>
      <c r="S902" t="s">
        <v>133</v>
      </c>
      <c r="T902" t="str">
        <f t="shared" si="216"/>
        <v>Copiers</v>
      </c>
      <c r="U902" t="s">
        <v>2501</v>
      </c>
      <c r="V902" t="str">
        <f t="shared" si="217"/>
        <v>Prime Copiers 557</v>
      </c>
      <c r="W902" t="s">
        <v>76</v>
      </c>
      <c r="X902" t="str">
        <f t="shared" si="218"/>
        <v>Second Class</v>
      </c>
      <c r="Y902">
        <v>8</v>
      </c>
      <c r="Z902">
        <v>6</v>
      </c>
      <c r="AA902">
        <v>826.93</v>
      </c>
      <c r="AB902">
        <v>0.1</v>
      </c>
      <c r="AC902">
        <f t="shared" si="219"/>
        <v>0.1</v>
      </c>
      <c r="AD902">
        <v>4465.42</v>
      </c>
      <c r="AE902">
        <f t="shared" si="220"/>
        <v>4465.422</v>
      </c>
      <c r="AF902">
        <v>3377.1</v>
      </c>
      <c r="AG902">
        <v>1088.32</v>
      </c>
      <c r="AH902">
        <f t="shared" si="221"/>
        <v>1088.322</v>
      </c>
      <c r="AI902">
        <f t="shared" si="222"/>
        <v>0.243722093902883</v>
      </c>
      <c r="AJ902" t="s">
        <v>77</v>
      </c>
      <c r="AK902" t="str">
        <f t="shared" si="223"/>
        <v>Paid</v>
      </c>
      <c r="AL902" t="s">
        <v>78</v>
      </c>
      <c r="AM902" t="str">
        <f t="shared" si="224"/>
        <v>Completed</v>
      </c>
      <c r="AN902">
        <v>4</v>
      </c>
      <c r="AO902">
        <v>2024</v>
      </c>
      <c r="AP902" t="s">
        <v>79</v>
      </c>
    </row>
    <row r="903" spans="1:42">
      <c r="A903" t="s">
        <v>2915</v>
      </c>
      <c r="B903" s="3" t="s">
        <v>2495</v>
      </c>
      <c r="C903" s="3">
        <v>45521</v>
      </c>
      <c r="D903" t="s">
        <v>2916</v>
      </c>
      <c r="E903" s="3">
        <v>45528</v>
      </c>
      <c r="F903" t="s">
        <v>2917</v>
      </c>
      <c r="G903" t="s">
        <v>113</v>
      </c>
      <c r="H903" t="str">
        <f t="shared" si="210"/>
        <v>Ananya Rao</v>
      </c>
      <c r="I903" t="s">
        <v>147</v>
      </c>
      <c r="J903" t="str">
        <f t="shared" si="211"/>
        <v>Corporate</v>
      </c>
      <c r="K903" t="s">
        <v>7</v>
      </c>
      <c r="L903" t="str">
        <f t="shared" si="212"/>
        <v>East</v>
      </c>
      <c r="M903" t="s">
        <v>160</v>
      </c>
      <c r="N903" t="str">
        <f t="shared" si="213"/>
        <v>West Bengal</v>
      </c>
      <c r="O903" t="s">
        <v>161</v>
      </c>
      <c r="P903" t="str">
        <f t="shared" si="214"/>
        <v>Kolkata</v>
      </c>
      <c r="Q903" t="s">
        <v>24</v>
      </c>
      <c r="R903" t="str">
        <f t="shared" si="215"/>
        <v>Technology</v>
      </c>
      <c r="S903" t="s">
        <v>133</v>
      </c>
      <c r="T903" t="str">
        <f t="shared" si="216"/>
        <v>Copiers</v>
      </c>
      <c r="U903" t="s">
        <v>2918</v>
      </c>
      <c r="V903" t="str">
        <f t="shared" si="217"/>
        <v>Eco Copiers 268</v>
      </c>
      <c r="W903" t="s">
        <v>90</v>
      </c>
      <c r="X903" t="str">
        <f t="shared" si="218"/>
        <v>Same Day</v>
      </c>
      <c r="Y903">
        <v>7</v>
      </c>
      <c r="Z903">
        <v>3</v>
      </c>
      <c r="AA903">
        <v>1490.69</v>
      </c>
      <c r="AB903">
        <v>0.25</v>
      </c>
      <c r="AC903">
        <f t="shared" si="219"/>
        <v>0.25</v>
      </c>
      <c r="AD903">
        <v>3354.05</v>
      </c>
      <c r="AE903">
        <f t="shared" si="220"/>
        <v>3354.0525</v>
      </c>
      <c r="AF903">
        <v>2672.67</v>
      </c>
      <c r="AG903">
        <v>681.38</v>
      </c>
      <c r="AH903">
        <f t="shared" si="221"/>
        <v>681.3825</v>
      </c>
      <c r="AI903">
        <f t="shared" si="222"/>
        <v>0.203152007906853</v>
      </c>
      <c r="AJ903" t="s">
        <v>77</v>
      </c>
      <c r="AK903" t="str">
        <f t="shared" si="223"/>
        <v>Paid</v>
      </c>
      <c r="AL903" t="s">
        <v>78</v>
      </c>
      <c r="AM903" t="str">
        <f t="shared" si="224"/>
        <v>Completed</v>
      </c>
      <c r="AN903">
        <v>8</v>
      </c>
      <c r="AO903">
        <v>2024</v>
      </c>
      <c r="AP903" t="s">
        <v>79</v>
      </c>
    </row>
    <row r="904" spans="1:42">
      <c r="A904" t="s">
        <v>3318</v>
      </c>
      <c r="B904" s="3" t="s">
        <v>1784</v>
      </c>
      <c r="C904" s="3">
        <v>45870</v>
      </c>
      <c r="D904" t="s">
        <v>3138</v>
      </c>
      <c r="E904" s="3">
        <v>45878</v>
      </c>
      <c r="F904" t="s">
        <v>1792</v>
      </c>
      <c r="G904" t="s">
        <v>95</v>
      </c>
      <c r="H904" t="str">
        <f t="shared" si="210"/>
        <v>Isha Nair</v>
      </c>
      <c r="I904" t="s">
        <v>71</v>
      </c>
      <c r="J904" t="str">
        <f t="shared" si="211"/>
        <v>Consumer</v>
      </c>
      <c r="K904" t="s">
        <v>10</v>
      </c>
      <c r="L904" t="str">
        <f t="shared" si="212"/>
        <v>South</v>
      </c>
      <c r="M904" t="s">
        <v>139</v>
      </c>
      <c r="N904" t="str">
        <f t="shared" si="213"/>
        <v>Andhra Pradesh</v>
      </c>
      <c r="O904" t="s">
        <v>140</v>
      </c>
      <c r="P904" t="str">
        <f t="shared" si="214"/>
        <v>Vijayawada</v>
      </c>
      <c r="Q904" t="s">
        <v>22</v>
      </c>
      <c r="R904" t="str">
        <f t="shared" si="215"/>
        <v>Office Supplies</v>
      </c>
      <c r="S904" t="s">
        <v>196</v>
      </c>
      <c r="T904" t="str">
        <f t="shared" si="216"/>
        <v>Storage</v>
      </c>
      <c r="U904" t="s">
        <v>3319</v>
      </c>
      <c r="V904" t="str">
        <f t="shared" si="217"/>
        <v>Classic Storage 291</v>
      </c>
      <c r="W904" t="s">
        <v>98</v>
      </c>
      <c r="X904" t="str">
        <f t="shared" si="218"/>
        <v>First Class</v>
      </c>
      <c r="Y904">
        <v>8</v>
      </c>
      <c r="Z904">
        <v>5</v>
      </c>
      <c r="AA904">
        <v>2736.24</v>
      </c>
      <c r="AB904">
        <v>0.15</v>
      </c>
      <c r="AC904">
        <f t="shared" si="219"/>
        <v>0.15</v>
      </c>
      <c r="AD904">
        <v>11629.02</v>
      </c>
      <c r="AE904">
        <f t="shared" si="220"/>
        <v>11629.02</v>
      </c>
      <c r="AF904">
        <v>9627.21</v>
      </c>
      <c r="AG904">
        <v>2001.81</v>
      </c>
      <c r="AH904">
        <f t="shared" si="221"/>
        <v>2001.81</v>
      </c>
      <c r="AI904">
        <f t="shared" si="222"/>
        <v>0.172139182837419</v>
      </c>
      <c r="AJ904" t="s">
        <v>77</v>
      </c>
      <c r="AK904" t="str">
        <f t="shared" si="223"/>
        <v>Paid</v>
      </c>
      <c r="AL904" t="s">
        <v>78</v>
      </c>
      <c r="AM904" t="str">
        <f t="shared" si="224"/>
        <v>Completed</v>
      </c>
      <c r="AN904">
        <v>8</v>
      </c>
      <c r="AO904">
        <v>2025</v>
      </c>
      <c r="AP904" t="s">
        <v>79</v>
      </c>
    </row>
    <row r="905" spans="1:42">
      <c r="A905" t="s">
        <v>3357</v>
      </c>
      <c r="B905" s="3" t="s">
        <v>1612</v>
      </c>
      <c r="C905" s="3">
        <v>45364</v>
      </c>
      <c r="D905" t="s">
        <v>3358</v>
      </c>
      <c r="E905" s="3">
        <v>45371</v>
      </c>
      <c r="F905" t="s">
        <v>3359</v>
      </c>
      <c r="G905" t="s">
        <v>182</v>
      </c>
      <c r="H905" t="str">
        <f t="shared" si="210"/>
        <v>Priya Menon</v>
      </c>
      <c r="I905" t="s">
        <v>154</v>
      </c>
      <c r="J905" t="str">
        <f t="shared" si="211"/>
        <v>Home Office</v>
      </c>
      <c r="K905" t="s">
        <v>10</v>
      </c>
      <c r="L905" t="str">
        <f t="shared" si="212"/>
        <v>South</v>
      </c>
      <c r="M905" t="s">
        <v>382</v>
      </c>
      <c r="N905" t="str">
        <f t="shared" si="213"/>
        <v>Tamil Nadu</v>
      </c>
      <c r="O905" t="s">
        <v>383</v>
      </c>
      <c r="P905" t="str">
        <f t="shared" si="214"/>
        <v>Chennai</v>
      </c>
      <c r="Q905" t="s">
        <v>19</v>
      </c>
      <c r="R905" t="str">
        <f t="shared" si="215"/>
        <v>Furniture</v>
      </c>
      <c r="S905" t="s">
        <v>245</v>
      </c>
      <c r="T905" t="str">
        <f t="shared" si="216"/>
        <v>Bookcases</v>
      </c>
      <c r="U905" t="s">
        <v>3360</v>
      </c>
      <c r="V905" t="str">
        <f t="shared" si="217"/>
        <v>Max Bookcases 738</v>
      </c>
      <c r="X905" t="str">
        <f t="shared" si="218"/>
        <v/>
      </c>
      <c r="Y905">
        <v>7</v>
      </c>
      <c r="Z905">
        <v>1</v>
      </c>
      <c r="AA905">
        <v>2825.63</v>
      </c>
      <c r="AB905">
        <v>0.15</v>
      </c>
      <c r="AC905">
        <f t="shared" si="219"/>
        <v>0.15</v>
      </c>
      <c r="AD905">
        <v>2401.79</v>
      </c>
      <c r="AE905">
        <f t="shared" si="220"/>
        <v>2401.7855</v>
      </c>
      <c r="AF905">
        <v>1820.34</v>
      </c>
      <c r="AG905">
        <v>581.45</v>
      </c>
      <c r="AH905">
        <f t="shared" si="221"/>
        <v>581.4455</v>
      </c>
      <c r="AI905">
        <f t="shared" si="222"/>
        <v>0.24208885431276</v>
      </c>
      <c r="AJ905" t="s">
        <v>77</v>
      </c>
      <c r="AK905" t="str">
        <f t="shared" si="223"/>
        <v>Paid</v>
      </c>
      <c r="AL905" t="s">
        <v>78</v>
      </c>
      <c r="AM905" t="str">
        <f t="shared" si="224"/>
        <v>Completed</v>
      </c>
      <c r="AN905">
        <v>3</v>
      </c>
      <c r="AO905">
        <v>2024</v>
      </c>
      <c r="AP905" t="s">
        <v>79</v>
      </c>
    </row>
    <row r="906" spans="1:42">
      <c r="A906" t="s">
        <v>1480</v>
      </c>
      <c r="B906" s="3" t="s">
        <v>1109</v>
      </c>
      <c r="C906" s="3">
        <v>45313</v>
      </c>
      <c r="D906" t="s">
        <v>1481</v>
      </c>
      <c r="E906" s="3">
        <v>45314</v>
      </c>
      <c r="F906" t="s">
        <v>1482</v>
      </c>
      <c r="G906" t="s">
        <v>202</v>
      </c>
      <c r="H906" t="str">
        <f t="shared" si="210"/>
        <v>Aarav Sharma</v>
      </c>
      <c r="I906" t="s">
        <v>85</v>
      </c>
      <c r="J906" t="str">
        <f t="shared" si="211"/>
        <v>Small Business</v>
      </c>
      <c r="L906" t="str">
        <f t="shared" si="212"/>
        <v/>
      </c>
      <c r="M906" t="s">
        <v>258</v>
      </c>
      <c r="N906" t="str">
        <f t="shared" si="213"/>
        <v>Assam</v>
      </c>
      <c r="O906" t="s">
        <v>259</v>
      </c>
      <c r="P906" t="str">
        <f t="shared" si="214"/>
        <v>Guwahati</v>
      </c>
      <c r="Q906" t="s">
        <v>19</v>
      </c>
      <c r="R906" t="str">
        <f t="shared" si="215"/>
        <v>Furniture</v>
      </c>
      <c r="S906" t="s">
        <v>116</v>
      </c>
      <c r="T906" t="str">
        <f t="shared" si="216"/>
        <v>Chairs</v>
      </c>
      <c r="U906" t="s">
        <v>1483</v>
      </c>
      <c r="V906" t="str">
        <f t="shared" si="217"/>
        <v>Basic Chairs 141</v>
      </c>
      <c r="W906" t="s">
        <v>76</v>
      </c>
      <c r="X906" t="str">
        <f t="shared" si="218"/>
        <v>Second Class</v>
      </c>
      <c r="Y906">
        <v>1</v>
      </c>
      <c r="Z906">
        <v>6</v>
      </c>
      <c r="AA906">
        <v>3391.53</v>
      </c>
      <c r="AB906">
        <v>-0.14</v>
      </c>
      <c r="AC906">
        <f t="shared" si="219"/>
        <v>0</v>
      </c>
      <c r="AD906">
        <v>15261.89</v>
      </c>
      <c r="AE906">
        <f t="shared" si="220"/>
        <v>20349.18</v>
      </c>
      <c r="AF906">
        <v>8413.53</v>
      </c>
      <c r="AG906">
        <v>6848.36</v>
      </c>
      <c r="AH906">
        <f t="shared" si="221"/>
        <v>11935.65</v>
      </c>
      <c r="AI906">
        <f t="shared" si="222"/>
        <v>0.586542062137148</v>
      </c>
      <c r="AJ906" t="s">
        <v>77</v>
      </c>
      <c r="AK906" t="str">
        <f t="shared" si="223"/>
        <v>Paid</v>
      </c>
      <c r="AL906" t="s">
        <v>78</v>
      </c>
      <c r="AM906" t="str">
        <f t="shared" si="224"/>
        <v>Completed</v>
      </c>
      <c r="AN906">
        <v>1</v>
      </c>
      <c r="AO906">
        <v>2024</v>
      </c>
      <c r="AP906" t="s">
        <v>222</v>
      </c>
    </row>
    <row r="907" spans="1:42">
      <c r="A907" t="s">
        <v>3053</v>
      </c>
      <c r="B907" s="3" t="s">
        <v>3054</v>
      </c>
      <c r="C907" s="3">
        <v>45762</v>
      </c>
      <c r="D907" t="s">
        <v>3055</v>
      </c>
      <c r="E907" s="3">
        <v>45763</v>
      </c>
      <c r="F907" t="s">
        <v>3056</v>
      </c>
      <c r="G907" t="s">
        <v>208</v>
      </c>
      <c r="H907" t="str">
        <f t="shared" si="210"/>
        <v>Sneha Kapoor</v>
      </c>
      <c r="I907" t="s">
        <v>85</v>
      </c>
      <c r="J907" t="str">
        <f t="shared" si="211"/>
        <v>Small Business</v>
      </c>
      <c r="K907" t="s">
        <v>10</v>
      </c>
      <c r="L907" t="str">
        <f t="shared" si="212"/>
        <v>South</v>
      </c>
      <c r="M907" t="s">
        <v>272</v>
      </c>
      <c r="N907" t="str">
        <f t="shared" si="213"/>
        <v>Karnataka</v>
      </c>
      <c r="O907" t="s">
        <v>273</v>
      </c>
      <c r="P907" t="str">
        <f t="shared" si="214"/>
        <v>Bengaluru</v>
      </c>
      <c r="Q907" t="s">
        <v>19</v>
      </c>
      <c r="R907" t="str">
        <f t="shared" si="215"/>
        <v>Furniture</v>
      </c>
      <c r="S907" t="s">
        <v>106</v>
      </c>
      <c r="T907" t="str">
        <f t="shared" si="216"/>
        <v>Furnishings</v>
      </c>
      <c r="U907" t="s">
        <v>3057</v>
      </c>
      <c r="V907" t="str">
        <f t="shared" si="217"/>
        <v>Smart Furnishings 721</v>
      </c>
      <c r="W907" t="s">
        <v>98</v>
      </c>
      <c r="X907" t="str">
        <f t="shared" si="218"/>
        <v>First Class</v>
      </c>
      <c r="Y907">
        <v>1</v>
      </c>
      <c r="Z907">
        <v>5</v>
      </c>
      <c r="AA907">
        <v>2850.53</v>
      </c>
      <c r="AB907">
        <v>0</v>
      </c>
      <c r="AC907">
        <f t="shared" si="219"/>
        <v>0</v>
      </c>
      <c r="AD907">
        <v>14252.65</v>
      </c>
      <c r="AE907">
        <f t="shared" si="220"/>
        <v>14252.65</v>
      </c>
      <c r="AF907">
        <v>11558.31</v>
      </c>
      <c r="AG907">
        <v>2694.34</v>
      </c>
      <c r="AH907">
        <f t="shared" si="221"/>
        <v>2694.34</v>
      </c>
      <c r="AI907">
        <f t="shared" si="222"/>
        <v>0.189041336172572</v>
      </c>
      <c r="AJ907" t="s">
        <v>77</v>
      </c>
      <c r="AK907" t="str">
        <f t="shared" si="223"/>
        <v>Paid</v>
      </c>
      <c r="AL907" t="s">
        <v>78</v>
      </c>
      <c r="AM907" t="str">
        <f t="shared" si="224"/>
        <v>Completed</v>
      </c>
      <c r="AN907">
        <v>4</v>
      </c>
      <c r="AO907">
        <v>2025</v>
      </c>
      <c r="AP907" t="s">
        <v>79</v>
      </c>
    </row>
    <row r="908" spans="1:42">
      <c r="A908" t="s">
        <v>3454</v>
      </c>
      <c r="B908" s="3" t="s">
        <v>3455</v>
      </c>
      <c r="C908" s="3">
        <v>45794</v>
      </c>
      <c r="D908" t="s">
        <v>3456</v>
      </c>
      <c r="E908" s="3">
        <v>45802</v>
      </c>
      <c r="F908" t="s">
        <v>3457</v>
      </c>
      <c r="G908" t="s">
        <v>113</v>
      </c>
      <c r="H908" t="str">
        <f t="shared" si="210"/>
        <v>Ananya Rao</v>
      </c>
      <c r="I908" t="s">
        <v>147</v>
      </c>
      <c r="J908" t="str">
        <f t="shared" si="211"/>
        <v>Corporate</v>
      </c>
      <c r="K908" t="s">
        <v>10</v>
      </c>
      <c r="L908" t="str">
        <f t="shared" si="212"/>
        <v>South</v>
      </c>
      <c r="M908" t="s">
        <v>382</v>
      </c>
      <c r="N908" t="str">
        <f t="shared" si="213"/>
        <v>Tamil Nadu</v>
      </c>
      <c r="O908" t="s">
        <v>383</v>
      </c>
      <c r="P908" t="str">
        <f t="shared" si="214"/>
        <v>Chennai</v>
      </c>
      <c r="Q908" t="s">
        <v>24</v>
      </c>
      <c r="R908" t="str">
        <f t="shared" si="215"/>
        <v>Technology</v>
      </c>
      <c r="S908" t="s">
        <v>427</v>
      </c>
      <c r="T908" t="str">
        <f t="shared" si="216"/>
        <v>Machines</v>
      </c>
      <c r="U908" t="s">
        <v>3458</v>
      </c>
      <c r="V908" t="str">
        <f t="shared" si="217"/>
        <v>Pro Machines 563</v>
      </c>
      <c r="W908" t="s">
        <v>90</v>
      </c>
      <c r="X908" t="str">
        <f t="shared" si="218"/>
        <v>Same Day</v>
      </c>
      <c r="Y908">
        <v>8</v>
      </c>
      <c r="Z908">
        <v>6</v>
      </c>
      <c r="AA908">
        <v>1810.63</v>
      </c>
      <c r="AB908">
        <v>0.15</v>
      </c>
      <c r="AC908">
        <f t="shared" si="219"/>
        <v>0.15</v>
      </c>
      <c r="AD908">
        <v>9234.21</v>
      </c>
      <c r="AE908">
        <f t="shared" si="220"/>
        <v>9234.213</v>
      </c>
      <c r="AF908">
        <v>5516.52</v>
      </c>
      <c r="AG908">
        <v>3717.69</v>
      </c>
      <c r="AH908">
        <f t="shared" si="221"/>
        <v>3717.693</v>
      </c>
      <c r="AI908">
        <f t="shared" si="222"/>
        <v>0.402599875051615</v>
      </c>
      <c r="AJ908" t="s">
        <v>77</v>
      </c>
      <c r="AK908" t="str">
        <f t="shared" si="223"/>
        <v>Paid</v>
      </c>
      <c r="AL908" t="s">
        <v>78</v>
      </c>
      <c r="AM908" t="str">
        <f t="shared" si="224"/>
        <v>Completed</v>
      </c>
      <c r="AN908">
        <v>5</v>
      </c>
      <c r="AO908">
        <v>2025</v>
      </c>
      <c r="AP908" t="s">
        <v>79</v>
      </c>
    </row>
    <row r="909" spans="1:42">
      <c r="A909" t="s">
        <v>805</v>
      </c>
      <c r="B909" s="3" t="s">
        <v>806</v>
      </c>
      <c r="C909" s="3">
        <v>45639</v>
      </c>
      <c r="D909" t="s">
        <v>807</v>
      </c>
      <c r="E909" s="3">
        <v>45644</v>
      </c>
      <c r="F909" t="s">
        <v>808</v>
      </c>
      <c r="G909" t="s">
        <v>70</v>
      </c>
      <c r="H909" t="str">
        <f t="shared" si="210"/>
        <v>Karan Malhotra</v>
      </c>
      <c r="I909" t="s">
        <v>71</v>
      </c>
      <c r="J909" t="str">
        <f t="shared" si="211"/>
        <v>Consumer</v>
      </c>
      <c r="K909" t="s">
        <v>11</v>
      </c>
      <c r="L909" t="str">
        <f t="shared" si="212"/>
        <v>West</v>
      </c>
      <c r="M909" t="s">
        <v>292</v>
      </c>
      <c r="N909" t="str">
        <f t="shared" si="213"/>
        <v>Goa</v>
      </c>
      <c r="O909" t="s">
        <v>293</v>
      </c>
      <c r="P909" t="str">
        <f t="shared" si="214"/>
        <v>Panaji</v>
      </c>
      <c r="Q909" t="s">
        <v>24</v>
      </c>
      <c r="R909" t="str">
        <f t="shared" si="215"/>
        <v>Technology</v>
      </c>
      <c r="S909" t="s">
        <v>265</v>
      </c>
      <c r="T909" t="str">
        <f t="shared" si="216"/>
        <v>Phones</v>
      </c>
      <c r="U909" t="s">
        <v>809</v>
      </c>
      <c r="V909" t="str">
        <f t="shared" si="217"/>
        <v>Prime Phones 419</v>
      </c>
      <c r="W909" t="s">
        <v>76</v>
      </c>
      <c r="X909" t="str">
        <f t="shared" si="218"/>
        <v>Second Class</v>
      </c>
      <c r="Y909">
        <v>5</v>
      </c>
      <c r="Z909">
        <v>8</v>
      </c>
      <c r="AA909">
        <v>3372.15</v>
      </c>
      <c r="AB909">
        <v>0.15</v>
      </c>
      <c r="AC909">
        <f t="shared" si="219"/>
        <v>0.15</v>
      </c>
      <c r="AD909">
        <v>22930.62</v>
      </c>
      <c r="AE909">
        <f t="shared" si="220"/>
        <v>22930.62</v>
      </c>
      <c r="AF909">
        <v>16875.55</v>
      </c>
      <c r="AG909">
        <v>6055.07</v>
      </c>
      <c r="AH909">
        <f t="shared" si="221"/>
        <v>6055.07</v>
      </c>
      <c r="AI909">
        <f t="shared" si="222"/>
        <v>0.264060457152925</v>
      </c>
      <c r="AJ909" t="s">
        <v>77</v>
      </c>
      <c r="AK909" t="str">
        <f t="shared" si="223"/>
        <v>Paid</v>
      </c>
      <c r="AL909" t="s">
        <v>78</v>
      </c>
      <c r="AM909" t="str">
        <f t="shared" si="224"/>
        <v>Completed</v>
      </c>
      <c r="AN909">
        <v>12</v>
      </c>
      <c r="AO909">
        <v>2024</v>
      </c>
      <c r="AP909" t="s">
        <v>79</v>
      </c>
    </row>
    <row r="910" spans="1:42">
      <c r="A910" t="s">
        <v>3416</v>
      </c>
      <c r="B910" s="3" t="s">
        <v>1778</v>
      </c>
      <c r="C910" s="3">
        <v>45908</v>
      </c>
      <c r="D910" t="s">
        <v>1779</v>
      </c>
      <c r="E910" s="3">
        <v>45909</v>
      </c>
      <c r="F910" t="s">
        <v>226</v>
      </c>
      <c r="G910" t="s">
        <v>411</v>
      </c>
      <c r="H910" t="str">
        <f t="shared" si="210"/>
        <v>Kabir Singh</v>
      </c>
      <c r="I910" t="s">
        <v>147</v>
      </c>
      <c r="J910" t="str">
        <f t="shared" si="211"/>
        <v>Corporate</v>
      </c>
      <c r="K910" t="s">
        <v>11</v>
      </c>
      <c r="L910" t="str">
        <f t="shared" si="212"/>
        <v>West</v>
      </c>
      <c r="M910" t="s">
        <v>278</v>
      </c>
      <c r="N910" t="str">
        <f t="shared" si="213"/>
        <v>Gujarat</v>
      </c>
      <c r="O910" t="s">
        <v>279</v>
      </c>
      <c r="P910" t="str">
        <f t="shared" si="214"/>
        <v>Ahmedabad</v>
      </c>
      <c r="Q910" t="s">
        <v>22</v>
      </c>
      <c r="R910" t="str">
        <f t="shared" si="215"/>
        <v>Office Supplies</v>
      </c>
      <c r="S910" t="s">
        <v>96</v>
      </c>
      <c r="T910" t="str">
        <f t="shared" si="216"/>
        <v>Art</v>
      </c>
      <c r="U910" t="s">
        <v>3417</v>
      </c>
      <c r="V910" t="str">
        <f t="shared" si="217"/>
        <v>Pro Art 447</v>
      </c>
      <c r="W910" t="s">
        <v>90</v>
      </c>
      <c r="X910" t="str">
        <f t="shared" si="218"/>
        <v>Same Day</v>
      </c>
      <c r="Y910">
        <v>1</v>
      </c>
      <c r="Z910">
        <v>2</v>
      </c>
      <c r="AA910">
        <v>2372.41</v>
      </c>
      <c r="AB910">
        <v>0.2</v>
      </c>
      <c r="AC910">
        <f t="shared" si="219"/>
        <v>0.2</v>
      </c>
      <c r="AD910">
        <v>3795.86</v>
      </c>
      <c r="AE910">
        <f t="shared" si="220"/>
        <v>3795.856</v>
      </c>
      <c r="AF910">
        <v>2264.92</v>
      </c>
      <c r="AG910">
        <v>1530.94</v>
      </c>
      <c r="AH910">
        <f t="shared" si="221"/>
        <v>1530.936</v>
      </c>
      <c r="AI910">
        <f t="shared" si="222"/>
        <v>0.403317723327755</v>
      </c>
      <c r="AJ910" t="s">
        <v>77</v>
      </c>
      <c r="AK910" t="str">
        <f t="shared" si="223"/>
        <v>Paid</v>
      </c>
      <c r="AL910" t="s">
        <v>78</v>
      </c>
      <c r="AM910" t="str">
        <f t="shared" si="224"/>
        <v>Completed</v>
      </c>
      <c r="AN910">
        <v>9</v>
      </c>
      <c r="AO910">
        <v>2025</v>
      </c>
      <c r="AP910" t="s">
        <v>79</v>
      </c>
    </row>
    <row r="911" spans="1:42">
      <c r="A911" t="s">
        <v>2031</v>
      </c>
      <c r="B911" s="3" t="s">
        <v>2032</v>
      </c>
      <c r="C911" s="3">
        <v>45771</v>
      </c>
      <c r="D911" t="s">
        <v>2033</v>
      </c>
      <c r="E911" s="3">
        <v>45776</v>
      </c>
      <c r="F911" t="s">
        <v>2034</v>
      </c>
      <c r="G911" t="s">
        <v>251</v>
      </c>
      <c r="H911" t="str">
        <f t="shared" si="210"/>
        <v>Diya Patel</v>
      </c>
      <c r="I911" t="s">
        <v>85</v>
      </c>
      <c r="J911" t="str">
        <f t="shared" si="211"/>
        <v>Small Business</v>
      </c>
      <c r="K911" t="s">
        <v>10</v>
      </c>
      <c r="L911" t="str">
        <f t="shared" si="212"/>
        <v>South</v>
      </c>
      <c r="M911" t="s">
        <v>139</v>
      </c>
      <c r="N911" t="str">
        <f t="shared" si="213"/>
        <v>Andhra Pradesh</v>
      </c>
      <c r="O911" t="s">
        <v>140</v>
      </c>
      <c r="P911" t="str">
        <f t="shared" si="214"/>
        <v>Vijayawada</v>
      </c>
      <c r="Q911" t="s">
        <v>22</v>
      </c>
      <c r="R911" t="str">
        <f t="shared" si="215"/>
        <v>Office Supplies</v>
      </c>
      <c r="S911" t="s">
        <v>74</v>
      </c>
      <c r="T911" t="str">
        <f t="shared" si="216"/>
        <v>Paper</v>
      </c>
      <c r="U911" t="s">
        <v>2035</v>
      </c>
      <c r="V911" t="str">
        <f t="shared" si="217"/>
        <v>Elite Paper 308</v>
      </c>
      <c r="W911" t="s">
        <v>90</v>
      </c>
      <c r="X911" t="str">
        <f t="shared" si="218"/>
        <v>Same Day</v>
      </c>
      <c r="Y911">
        <v>5</v>
      </c>
      <c r="Z911">
        <v>1</v>
      </c>
      <c r="AA911">
        <v>4358.5</v>
      </c>
      <c r="AB911">
        <v>0.25</v>
      </c>
      <c r="AC911">
        <f t="shared" si="219"/>
        <v>0.25</v>
      </c>
      <c r="AD911">
        <v>3268.88</v>
      </c>
      <c r="AE911">
        <f t="shared" si="220"/>
        <v>3268.875</v>
      </c>
      <c r="AF911">
        <v>1993.74</v>
      </c>
      <c r="AG911">
        <v>1275.14</v>
      </c>
      <c r="AH911">
        <f t="shared" si="221"/>
        <v>1275.135</v>
      </c>
      <c r="AI911">
        <f t="shared" si="222"/>
        <v>0.39008374440748</v>
      </c>
      <c r="AJ911" t="s">
        <v>77</v>
      </c>
      <c r="AK911" t="str">
        <f t="shared" si="223"/>
        <v>Paid</v>
      </c>
      <c r="AL911" t="s">
        <v>78</v>
      </c>
      <c r="AM911" t="str">
        <f t="shared" si="224"/>
        <v>Completed</v>
      </c>
      <c r="AN911">
        <v>4</v>
      </c>
      <c r="AO911">
        <v>2025</v>
      </c>
      <c r="AP911" t="s">
        <v>79</v>
      </c>
    </row>
    <row r="912" spans="1:42">
      <c r="A912" t="s">
        <v>757</v>
      </c>
      <c r="B912" s="3" t="s">
        <v>758</v>
      </c>
      <c r="C912" s="3">
        <v>45436</v>
      </c>
      <c r="D912" t="s">
        <v>759</v>
      </c>
      <c r="E912" s="3">
        <v>45437</v>
      </c>
      <c r="F912" t="s">
        <v>760</v>
      </c>
      <c r="G912" t="s">
        <v>208</v>
      </c>
      <c r="H912" t="str">
        <f t="shared" si="210"/>
        <v>Sneha Kapoor</v>
      </c>
      <c r="I912" t="s">
        <v>85</v>
      </c>
      <c r="J912" t="str">
        <f t="shared" si="211"/>
        <v>Small Business</v>
      </c>
      <c r="K912" t="s">
        <v>761</v>
      </c>
      <c r="L912" t="str">
        <f t="shared" si="212"/>
        <v>North</v>
      </c>
      <c r="M912" t="s">
        <v>194</v>
      </c>
      <c r="N912" t="str">
        <f t="shared" si="213"/>
        <v>Punjab</v>
      </c>
      <c r="O912" t="s">
        <v>195</v>
      </c>
      <c r="P912" t="str">
        <f t="shared" si="214"/>
        <v>Ludhiana</v>
      </c>
      <c r="Q912" t="s">
        <v>24</v>
      </c>
      <c r="R912" t="str">
        <f t="shared" si="215"/>
        <v>Technology</v>
      </c>
      <c r="S912" t="s">
        <v>133</v>
      </c>
      <c r="T912" t="str">
        <f t="shared" si="216"/>
        <v>Copiers</v>
      </c>
      <c r="U912" t="s">
        <v>762</v>
      </c>
      <c r="V912" t="str">
        <f t="shared" si="217"/>
        <v>Max Copiers 970</v>
      </c>
      <c r="W912" t="s">
        <v>90</v>
      </c>
      <c r="X912" t="str">
        <f t="shared" si="218"/>
        <v>Same Day</v>
      </c>
      <c r="Y912">
        <v>1</v>
      </c>
      <c r="Z912">
        <v>1</v>
      </c>
      <c r="AA912">
        <v>634.13</v>
      </c>
      <c r="AB912">
        <v>0</v>
      </c>
      <c r="AC912">
        <f t="shared" si="219"/>
        <v>0</v>
      </c>
      <c r="AD912">
        <v>634.13</v>
      </c>
      <c r="AE912">
        <f t="shared" si="220"/>
        <v>634.13</v>
      </c>
      <c r="AF912">
        <v>453.35</v>
      </c>
      <c r="AG912">
        <v>180.78</v>
      </c>
      <c r="AH912">
        <f t="shared" si="221"/>
        <v>180.78</v>
      </c>
      <c r="AI912">
        <f t="shared" si="222"/>
        <v>0.28508350022866</v>
      </c>
      <c r="AJ912" t="s">
        <v>163</v>
      </c>
      <c r="AK912" t="str">
        <f t="shared" si="223"/>
        <v>Refunded</v>
      </c>
      <c r="AL912" t="s">
        <v>118</v>
      </c>
      <c r="AM912" t="str">
        <f t="shared" si="224"/>
        <v>Cancelled</v>
      </c>
      <c r="AN912">
        <v>5</v>
      </c>
      <c r="AO912">
        <v>2024</v>
      </c>
      <c r="AP912" t="s">
        <v>79</v>
      </c>
    </row>
    <row r="913" spans="1:42">
      <c r="A913" t="s">
        <v>1362</v>
      </c>
      <c r="B913" s="3" t="s">
        <v>1363</v>
      </c>
      <c r="C913" s="3">
        <v>45343</v>
      </c>
      <c r="D913" t="s">
        <v>1364</v>
      </c>
      <c r="E913" s="3">
        <v>45349</v>
      </c>
      <c r="F913" t="s">
        <v>1365</v>
      </c>
      <c r="G913" t="s">
        <v>103</v>
      </c>
      <c r="H913" t="str">
        <f t="shared" si="210"/>
        <v>Arjun Bose</v>
      </c>
      <c r="I913" t="s">
        <v>85</v>
      </c>
      <c r="J913" t="str">
        <f t="shared" si="211"/>
        <v>Small Business</v>
      </c>
      <c r="K913" t="s">
        <v>7</v>
      </c>
      <c r="L913" t="str">
        <f t="shared" si="212"/>
        <v>East</v>
      </c>
      <c r="M913" t="s">
        <v>160</v>
      </c>
      <c r="N913" t="str">
        <f t="shared" si="213"/>
        <v>West Bengal</v>
      </c>
      <c r="O913" t="s">
        <v>161</v>
      </c>
      <c r="P913" t="str">
        <f t="shared" si="214"/>
        <v>Kolkata</v>
      </c>
      <c r="Q913" t="s">
        <v>19</v>
      </c>
      <c r="R913" t="str">
        <f t="shared" si="215"/>
        <v>Furniture</v>
      </c>
      <c r="S913" t="s">
        <v>106</v>
      </c>
      <c r="T913" t="str">
        <f t="shared" si="216"/>
        <v>Furnishings</v>
      </c>
      <c r="U913" t="s">
        <v>1366</v>
      </c>
      <c r="V913" t="str">
        <f t="shared" si="217"/>
        <v>Prime Furnishings 781</v>
      </c>
      <c r="W913" t="s">
        <v>108</v>
      </c>
      <c r="X913" t="str">
        <f t="shared" si="218"/>
        <v>Standard Class</v>
      </c>
      <c r="Y913">
        <v>6</v>
      </c>
      <c r="Z913">
        <v>5</v>
      </c>
      <c r="AA913">
        <v>3373.86</v>
      </c>
      <c r="AB913">
        <v>0.15</v>
      </c>
      <c r="AC913">
        <f t="shared" si="219"/>
        <v>0.15</v>
      </c>
      <c r="AD913">
        <v>14338.9</v>
      </c>
      <c r="AE913">
        <f t="shared" si="220"/>
        <v>14338.905</v>
      </c>
      <c r="AF913">
        <v>11897.65</v>
      </c>
      <c r="AG913">
        <v>2441.25</v>
      </c>
      <c r="AH913">
        <f t="shared" si="221"/>
        <v>2441.255</v>
      </c>
      <c r="AI913">
        <f t="shared" si="222"/>
        <v>0.170253935011076</v>
      </c>
      <c r="AJ913" t="s">
        <v>177</v>
      </c>
      <c r="AK913" t="str">
        <f t="shared" si="223"/>
        <v>Pending</v>
      </c>
      <c r="AL913" t="s">
        <v>164</v>
      </c>
      <c r="AM913" t="str">
        <f t="shared" si="224"/>
        <v>Returned</v>
      </c>
      <c r="AN913">
        <v>2</v>
      </c>
      <c r="AO913">
        <v>2024</v>
      </c>
      <c r="AP913" t="s">
        <v>79</v>
      </c>
    </row>
    <row r="914" spans="1:42">
      <c r="A914" t="s">
        <v>1933</v>
      </c>
      <c r="B914" s="3" t="s">
        <v>1575</v>
      </c>
      <c r="C914" s="3">
        <v>45801</v>
      </c>
      <c r="D914" t="s">
        <v>1934</v>
      </c>
      <c r="E914" s="3">
        <v>45807</v>
      </c>
      <c r="F914" t="s">
        <v>1935</v>
      </c>
      <c r="G914" t="s">
        <v>411</v>
      </c>
      <c r="H914" t="str">
        <f t="shared" si="210"/>
        <v>Kabir Singh</v>
      </c>
      <c r="I914" t="s">
        <v>85</v>
      </c>
      <c r="J914" t="str">
        <f t="shared" si="211"/>
        <v>Small Business</v>
      </c>
      <c r="K914" t="s">
        <v>7</v>
      </c>
      <c r="L914" t="str">
        <f t="shared" si="212"/>
        <v>East</v>
      </c>
      <c r="M914" t="s">
        <v>86</v>
      </c>
      <c r="N914" t="str">
        <f t="shared" si="213"/>
        <v>Odisha</v>
      </c>
      <c r="O914" t="s">
        <v>87</v>
      </c>
      <c r="P914" t="str">
        <f t="shared" si="214"/>
        <v>Bhubaneswar</v>
      </c>
      <c r="Q914" t="s">
        <v>22</v>
      </c>
      <c r="R914" t="str">
        <f t="shared" si="215"/>
        <v>Office Supplies</v>
      </c>
      <c r="S914" t="s">
        <v>1936</v>
      </c>
      <c r="T914" t="str">
        <f t="shared" si="216"/>
        <v>Storage</v>
      </c>
      <c r="U914" t="s">
        <v>1937</v>
      </c>
      <c r="V914" t="str">
        <f t="shared" si="217"/>
        <v>Basic Storage 360</v>
      </c>
      <c r="W914" t="s">
        <v>90</v>
      </c>
      <c r="X914" t="str">
        <f t="shared" si="218"/>
        <v>Same Day</v>
      </c>
      <c r="Y914">
        <v>6</v>
      </c>
      <c r="Z914">
        <v>1</v>
      </c>
      <c r="AA914">
        <v>2564.74</v>
      </c>
      <c r="AB914">
        <v>0</v>
      </c>
      <c r="AC914">
        <f t="shared" si="219"/>
        <v>0</v>
      </c>
      <c r="AD914">
        <v>2564.74</v>
      </c>
      <c r="AE914">
        <f t="shared" si="220"/>
        <v>2564.74</v>
      </c>
      <c r="AF914">
        <v>1754.58</v>
      </c>
      <c r="AG914">
        <v>810.16</v>
      </c>
      <c r="AH914">
        <f t="shared" si="221"/>
        <v>810.16</v>
      </c>
      <c r="AI914">
        <f t="shared" si="222"/>
        <v>0.315883871269602</v>
      </c>
      <c r="AJ914" t="s">
        <v>77</v>
      </c>
      <c r="AK914" t="str">
        <f t="shared" si="223"/>
        <v>Paid</v>
      </c>
      <c r="AL914" t="s">
        <v>78</v>
      </c>
      <c r="AM914" t="str">
        <f t="shared" si="224"/>
        <v>Completed</v>
      </c>
      <c r="AN914">
        <v>5</v>
      </c>
      <c r="AO914">
        <v>2025</v>
      </c>
      <c r="AP914" t="s">
        <v>79</v>
      </c>
    </row>
    <row r="915" spans="1:42">
      <c r="A915" t="s">
        <v>1497</v>
      </c>
      <c r="B915" s="3" t="s">
        <v>1498</v>
      </c>
      <c r="C915" s="3">
        <v>45649</v>
      </c>
      <c r="D915" t="s">
        <v>1499</v>
      </c>
      <c r="E915" s="3">
        <v>45652</v>
      </c>
      <c r="F915" t="s">
        <v>1500</v>
      </c>
      <c r="G915" t="s">
        <v>146</v>
      </c>
      <c r="H915" t="str">
        <f t="shared" si="210"/>
        <v>Aditi Sen</v>
      </c>
      <c r="I915" t="s">
        <v>71</v>
      </c>
      <c r="J915" t="str">
        <f t="shared" si="211"/>
        <v>Consumer</v>
      </c>
      <c r="K915" t="s">
        <v>10</v>
      </c>
      <c r="L915" t="str">
        <f t="shared" si="212"/>
        <v>South</v>
      </c>
      <c r="M915" t="s">
        <v>272</v>
      </c>
      <c r="N915" t="str">
        <f t="shared" si="213"/>
        <v>Karnataka</v>
      </c>
      <c r="O915" t="s">
        <v>273</v>
      </c>
      <c r="P915" t="str">
        <f t="shared" si="214"/>
        <v>Bengaluru</v>
      </c>
      <c r="Q915" t="s">
        <v>24</v>
      </c>
      <c r="R915" t="str">
        <f t="shared" si="215"/>
        <v>Technology</v>
      </c>
      <c r="S915" t="s">
        <v>133</v>
      </c>
      <c r="T915" t="str">
        <f t="shared" si="216"/>
        <v>Copiers</v>
      </c>
      <c r="U915" t="s">
        <v>1501</v>
      </c>
      <c r="V915" t="str">
        <f t="shared" si="217"/>
        <v>Prime Copiers 961</v>
      </c>
      <c r="W915" t="s">
        <v>108</v>
      </c>
      <c r="X915" t="str">
        <f t="shared" si="218"/>
        <v>Standard Class</v>
      </c>
      <c r="Y915">
        <v>3</v>
      </c>
      <c r="Z915">
        <v>9</v>
      </c>
      <c r="AA915">
        <v>993.67</v>
      </c>
      <c r="AB915">
        <v>0</v>
      </c>
      <c r="AC915">
        <f t="shared" si="219"/>
        <v>0</v>
      </c>
      <c r="AD915">
        <v>8943.03</v>
      </c>
      <c r="AE915">
        <f t="shared" si="220"/>
        <v>8943.03</v>
      </c>
      <c r="AF915">
        <v>5165.38</v>
      </c>
      <c r="AG915">
        <v>3777.65</v>
      </c>
      <c r="AH915">
        <f t="shared" si="221"/>
        <v>3777.65</v>
      </c>
      <c r="AI915">
        <f t="shared" si="222"/>
        <v>0.422412761670262</v>
      </c>
      <c r="AJ915" t="s">
        <v>77</v>
      </c>
      <c r="AK915" t="str">
        <f t="shared" si="223"/>
        <v>Paid</v>
      </c>
      <c r="AL915" t="s">
        <v>78</v>
      </c>
      <c r="AM915" t="str">
        <f t="shared" si="224"/>
        <v>Completed</v>
      </c>
      <c r="AN915">
        <v>12</v>
      </c>
      <c r="AO915">
        <v>2024</v>
      </c>
      <c r="AP915" t="s">
        <v>79</v>
      </c>
    </row>
    <row r="916" spans="1:42">
      <c r="A916" t="s">
        <v>3391</v>
      </c>
      <c r="B916" s="3" t="s">
        <v>2184</v>
      </c>
      <c r="C916" s="3">
        <v>45332</v>
      </c>
      <c r="D916" t="s">
        <v>3392</v>
      </c>
      <c r="E916" s="3">
        <v>45340</v>
      </c>
      <c r="F916" t="s">
        <v>3393</v>
      </c>
      <c r="G916" t="s">
        <v>95</v>
      </c>
      <c r="H916" t="str">
        <f t="shared" si="210"/>
        <v>Isha Nair</v>
      </c>
      <c r="I916" t="s">
        <v>154</v>
      </c>
      <c r="J916" t="str">
        <f t="shared" si="211"/>
        <v>Home Office</v>
      </c>
      <c r="K916" t="s">
        <v>11</v>
      </c>
      <c r="L916" t="str">
        <f t="shared" si="212"/>
        <v>West</v>
      </c>
      <c r="M916" t="s">
        <v>124</v>
      </c>
      <c r="N916" t="str">
        <f t="shared" si="213"/>
        <v>Madhya Pradesh</v>
      </c>
      <c r="O916" t="s">
        <v>125</v>
      </c>
      <c r="P916" t="str">
        <f t="shared" si="214"/>
        <v>Indore</v>
      </c>
      <c r="Q916" t="s">
        <v>19</v>
      </c>
      <c r="R916" t="str">
        <f t="shared" si="215"/>
        <v>Furniture</v>
      </c>
      <c r="S916" t="s">
        <v>116</v>
      </c>
      <c r="T916" t="str">
        <f t="shared" si="216"/>
        <v>Chairs</v>
      </c>
      <c r="U916" t="s">
        <v>3394</v>
      </c>
      <c r="V916" t="str">
        <f t="shared" si="217"/>
        <v>Smart Chairs 259</v>
      </c>
      <c r="W916" t="s">
        <v>98</v>
      </c>
      <c r="X916" t="str">
        <f t="shared" si="218"/>
        <v>First Class</v>
      </c>
      <c r="Y916">
        <v>8</v>
      </c>
      <c r="Z916">
        <v>7</v>
      </c>
      <c r="AA916">
        <v>1382.86</v>
      </c>
      <c r="AB916">
        <v>0</v>
      </c>
      <c r="AC916">
        <f t="shared" si="219"/>
        <v>0</v>
      </c>
      <c r="AD916">
        <v>9680.02</v>
      </c>
      <c r="AE916">
        <f t="shared" si="220"/>
        <v>9680.02</v>
      </c>
      <c r="AF916">
        <v>6876.66</v>
      </c>
      <c r="AG916">
        <v>2803.36</v>
      </c>
      <c r="AH916">
        <f t="shared" si="221"/>
        <v>2803.36</v>
      </c>
      <c r="AI916">
        <f t="shared" si="222"/>
        <v>0.289602707432423</v>
      </c>
      <c r="AJ916" t="s">
        <v>77</v>
      </c>
      <c r="AK916" t="str">
        <f t="shared" si="223"/>
        <v>Paid</v>
      </c>
      <c r="AL916" t="s">
        <v>78</v>
      </c>
      <c r="AM916" t="str">
        <f t="shared" si="224"/>
        <v>Completed</v>
      </c>
      <c r="AN916">
        <v>2</v>
      </c>
      <c r="AO916">
        <v>2024</v>
      </c>
      <c r="AP916" t="s">
        <v>79</v>
      </c>
    </row>
    <row r="917" spans="1:42">
      <c r="A917" t="s">
        <v>2705</v>
      </c>
      <c r="B917" s="3" t="s">
        <v>2706</v>
      </c>
      <c r="C917" s="3">
        <v>45941</v>
      </c>
      <c r="D917" t="s">
        <v>2707</v>
      </c>
      <c r="E917" s="3">
        <v>45943</v>
      </c>
      <c r="F917" t="s">
        <v>2708</v>
      </c>
      <c r="G917" t="s">
        <v>84</v>
      </c>
      <c r="H917" t="str">
        <f t="shared" si="210"/>
        <v>Mira Das</v>
      </c>
      <c r="I917" t="s">
        <v>147</v>
      </c>
      <c r="J917" t="str">
        <f t="shared" si="211"/>
        <v>Corporate</v>
      </c>
      <c r="K917" t="s">
        <v>10</v>
      </c>
      <c r="L917" t="str">
        <f t="shared" si="212"/>
        <v>South</v>
      </c>
      <c r="M917" t="s">
        <v>104</v>
      </c>
      <c r="N917" t="str">
        <f t="shared" si="213"/>
        <v>Telangana</v>
      </c>
      <c r="O917" t="s">
        <v>105</v>
      </c>
      <c r="P917" t="str">
        <f t="shared" si="214"/>
        <v>Hyderabad</v>
      </c>
      <c r="Q917" t="s">
        <v>22</v>
      </c>
      <c r="R917" t="str">
        <f t="shared" si="215"/>
        <v>Office Supplies</v>
      </c>
      <c r="S917" t="s">
        <v>96</v>
      </c>
      <c r="T917" t="str">
        <f t="shared" si="216"/>
        <v>Art</v>
      </c>
      <c r="U917" t="s">
        <v>2709</v>
      </c>
      <c r="V917" t="str">
        <f t="shared" si="217"/>
        <v>Pro Art 287</v>
      </c>
      <c r="W917" t="s">
        <v>76</v>
      </c>
      <c r="X917" t="str">
        <f t="shared" si="218"/>
        <v>Second Class</v>
      </c>
      <c r="Y917">
        <v>2</v>
      </c>
      <c r="Z917">
        <v>3</v>
      </c>
      <c r="AA917">
        <v>3804.27</v>
      </c>
      <c r="AB917">
        <v>0.1</v>
      </c>
      <c r="AC917">
        <f t="shared" si="219"/>
        <v>0.1</v>
      </c>
      <c r="AD917">
        <v>10271.53</v>
      </c>
      <c r="AE917">
        <f t="shared" si="220"/>
        <v>10271.529</v>
      </c>
      <c r="AF917">
        <v>8272.24</v>
      </c>
      <c r="AG917">
        <v>1999.29</v>
      </c>
      <c r="AH917">
        <f t="shared" si="221"/>
        <v>1999.289</v>
      </c>
      <c r="AI917">
        <f t="shared" si="222"/>
        <v>0.194643757516529</v>
      </c>
      <c r="AJ917" t="s">
        <v>77</v>
      </c>
      <c r="AK917" t="str">
        <f t="shared" si="223"/>
        <v>Paid</v>
      </c>
      <c r="AL917" t="s">
        <v>78</v>
      </c>
      <c r="AM917" t="str">
        <f t="shared" si="224"/>
        <v>Completed</v>
      </c>
      <c r="AN917">
        <v>10</v>
      </c>
      <c r="AO917">
        <v>2025</v>
      </c>
      <c r="AP917" t="s">
        <v>79</v>
      </c>
    </row>
    <row r="918" spans="1:42">
      <c r="A918" t="s">
        <v>3953</v>
      </c>
      <c r="B918" s="3" t="s">
        <v>3954</v>
      </c>
      <c r="C918" s="3">
        <v>45357</v>
      </c>
      <c r="D918" t="s">
        <v>1122</v>
      </c>
      <c r="E918" s="3">
        <v>45363</v>
      </c>
      <c r="F918" t="s">
        <v>3955</v>
      </c>
      <c r="G918" t="s">
        <v>95</v>
      </c>
      <c r="H918" t="str">
        <f t="shared" si="210"/>
        <v>Isha Nair</v>
      </c>
      <c r="I918" t="s">
        <v>154</v>
      </c>
      <c r="J918" t="str">
        <f t="shared" si="211"/>
        <v>Home Office</v>
      </c>
      <c r="K918" t="s">
        <v>11</v>
      </c>
      <c r="L918" t="str">
        <f t="shared" si="212"/>
        <v>West</v>
      </c>
      <c r="M918" t="s">
        <v>278</v>
      </c>
      <c r="N918" t="str">
        <f t="shared" si="213"/>
        <v>Gujarat</v>
      </c>
      <c r="O918" t="s">
        <v>279</v>
      </c>
      <c r="P918" t="str">
        <f t="shared" si="214"/>
        <v>Ahmedabad</v>
      </c>
      <c r="Q918" t="s">
        <v>19</v>
      </c>
      <c r="R918" t="str">
        <f t="shared" si="215"/>
        <v>Furniture</v>
      </c>
      <c r="S918" t="s">
        <v>245</v>
      </c>
      <c r="T918" t="str">
        <f t="shared" si="216"/>
        <v>Bookcases</v>
      </c>
      <c r="U918" t="s">
        <v>3956</v>
      </c>
      <c r="V918" t="str">
        <f t="shared" si="217"/>
        <v>Prime Bookcases 755</v>
      </c>
      <c r="W918" t="s">
        <v>108</v>
      </c>
      <c r="X918" t="str">
        <f t="shared" si="218"/>
        <v>Standard Class</v>
      </c>
      <c r="Y918">
        <v>6</v>
      </c>
      <c r="Z918">
        <v>3</v>
      </c>
      <c r="AA918">
        <v>679.63</v>
      </c>
      <c r="AB918">
        <v>0.2</v>
      </c>
      <c r="AC918">
        <f t="shared" si="219"/>
        <v>0.2</v>
      </c>
      <c r="AD918">
        <v>1631.11</v>
      </c>
      <c r="AE918">
        <f t="shared" si="220"/>
        <v>1631.112</v>
      </c>
      <c r="AF918">
        <v>898.73</v>
      </c>
      <c r="AG918">
        <v>396.58</v>
      </c>
      <c r="AH918">
        <f t="shared" si="221"/>
        <v>732.382</v>
      </c>
      <c r="AI918">
        <f t="shared" si="222"/>
        <v>0.449007793456243</v>
      </c>
      <c r="AJ918" t="s">
        <v>77</v>
      </c>
      <c r="AK918" t="str">
        <f t="shared" si="223"/>
        <v>Paid</v>
      </c>
      <c r="AL918" t="s">
        <v>767</v>
      </c>
      <c r="AM918" t="str">
        <f t="shared" si="224"/>
        <v>Completed</v>
      </c>
      <c r="AN918">
        <v>3</v>
      </c>
      <c r="AO918">
        <v>2024</v>
      </c>
      <c r="AP918" t="s">
        <v>79</v>
      </c>
    </row>
    <row r="919" spans="1:42">
      <c r="A919" t="s">
        <v>778</v>
      </c>
      <c r="B919" s="3" t="s">
        <v>232</v>
      </c>
      <c r="C919" s="3">
        <v>45687</v>
      </c>
      <c r="D919" t="s">
        <v>779</v>
      </c>
      <c r="E919" s="3">
        <v>45683</v>
      </c>
      <c r="F919" t="s">
        <v>780</v>
      </c>
      <c r="G919" t="s">
        <v>182</v>
      </c>
      <c r="H919" t="str">
        <f t="shared" si="210"/>
        <v>Priya Menon</v>
      </c>
      <c r="I919" t="s">
        <v>147</v>
      </c>
      <c r="J919" t="str">
        <f t="shared" si="211"/>
        <v>Corporate</v>
      </c>
      <c r="K919" t="s">
        <v>11</v>
      </c>
      <c r="L919" t="str">
        <f t="shared" si="212"/>
        <v>West</v>
      </c>
      <c r="M919" t="s">
        <v>124</v>
      </c>
      <c r="N919" t="str">
        <f t="shared" si="213"/>
        <v>Madhya Pradesh</v>
      </c>
      <c r="O919" t="s">
        <v>125</v>
      </c>
      <c r="P919" t="str">
        <f t="shared" si="214"/>
        <v>Indore</v>
      </c>
      <c r="Q919" t="s">
        <v>22</v>
      </c>
      <c r="R919" t="str">
        <f t="shared" si="215"/>
        <v>Office Supplies</v>
      </c>
      <c r="S919" t="s">
        <v>196</v>
      </c>
      <c r="T919" t="str">
        <f t="shared" si="216"/>
        <v>Storage</v>
      </c>
      <c r="U919" t="s">
        <v>781</v>
      </c>
      <c r="V919" t="str">
        <f t="shared" si="217"/>
        <v>Basic Storage 321</v>
      </c>
      <c r="W919" t="s">
        <v>76</v>
      </c>
      <c r="X919" t="str">
        <f t="shared" si="218"/>
        <v>Second Class</v>
      </c>
      <c r="Y919">
        <v>-4</v>
      </c>
      <c r="Z919">
        <v>2</v>
      </c>
      <c r="AA919">
        <v>3039.3</v>
      </c>
      <c r="AB919">
        <v>0.05</v>
      </c>
      <c r="AC919">
        <f t="shared" si="219"/>
        <v>0.05</v>
      </c>
      <c r="AD919">
        <v>5774.67</v>
      </c>
      <c r="AE919">
        <f t="shared" si="220"/>
        <v>5774.67</v>
      </c>
      <c r="AF919">
        <v>3518.36</v>
      </c>
      <c r="AG919">
        <v>2256.31</v>
      </c>
      <c r="AH919">
        <f t="shared" si="221"/>
        <v>2256.31</v>
      </c>
      <c r="AI919">
        <f t="shared" si="222"/>
        <v>0.390725357466314</v>
      </c>
      <c r="AJ919" t="s">
        <v>77</v>
      </c>
      <c r="AK919" t="str">
        <f t="shared" si="223"/>
        <v>Paid</v>
      </c>
      <c r="AL919" t="s">
        <v>78</v>
      </c>
      <c r="AM919" t="str">
        <f t="shared" si="224"/>
        <v>Completed</v>
      </c>
      <c r="AN919">
        <v>1</v>
      </c>
      <c r="AO919">
        <v>2025</v>
      </c>
      <c r="AP919" t="s">
        <v>253</v>
      </c>
    </row>
    <row r="920" spans="1:42">
      <c r="A920" t="s">
        <v>3244</v>
      </c>
      <c r="B920" s="3" t="s">
        <v>3245</v>
      </c>
      <c r="C920" s="3">
        <v>45911</v>
      </c>
      <c r="D920" t="s">
        <v>3246</v>
      </c>
      <c r="E920" s="3">
        <v>45918</v>
      </c>
      <c r="F920" t="s">
        <v>3247</v>
      </c>
      <c r="G920" t="s">
        <v>188</v>
      </c>
      <c r="H920" t="str">
        <f t="shared" si="210"/>
        <v>Rahul Verma</v>
      </c>
      <c r="I920" t="s">
        <v>85</v>
      </c>
      <c r="J920" t="str">
        <f t="shared" si="211"/>
        <v>Small Business</v>
      </c>
      <c r="K920" t="s">
        <v>8</v>
      </c>
      <c r="L920" t="str">
        <f t="shared" si="212"/>
        <v>North</v>
      </c>
      <c r="M920" t="s">
        <v>552</v>
      </c>
      <c r="N920" t="str">
        <f t="shared" si="213"/>
        <v>Delhi</v>
      </c>
      <c r="O920" t="s">
        <v>553</v>
      </c>
      <c r="P920" t="str">
        <f t="shared" si="214"/>
        <v>New Delhi</v>
      </c>
      <c r="Q920" t="s">
        <v>24</v>
      </c>
      <c r="R920" t="str">
        <f t="shared" si="215"/>
        <v>Technology</v>
      </c>
      <c r="S920" t="s">
        <v>265</v>
      </c>
      <c r="T920" t="str">
        <f t="shared" si="216"/>
        <v>Phones</v>
      </c>
      <c r="U920" t="s">
        <v>3248</v>
      </c>
      <c r="V920" t="str">
        <f t="shared" si="217"/>
        <v>Smart Phones 967</v>
      </c>
      <c r="W920" t="s">
        <v>90</v>
      </c>
      <c r="X920" t="str">
        <f t="shared" si="218"/>
        <v>Same Day</v>
      </c>
      <c r="Y920">
        <v>7</v>
      </c>
      <c r="Z920">
        <v>7</v>
      </c>
      <c r="AA920">
        <v>3411.21</v>
      </c>
      <c r="AB920">
        <v>0.15</v>
      </c>
      <c r="AC920">
        <f t="shared" si="219"/>
        <v>0.15</v>
      </c>
      <c r="AD920">
        <v>20296.7</v>
      </c>
      <c r="AE920">
        <f t="shared" si="220"/>
        <v>20296.6995</v>
      </c>
      <c r="AF920">
        <v>14920.87</v>
      </c>
      <c r="AG920">
        <v>5375.83</v>
      </c>
      <c r="AH920">
        <f t="shared" si="221"/>
        <v>5375.8295</v>
      </c>
      <c r="AI920">
        <f t="shared" si="222"/>
        <v>0.264862250140719</v>
      </c>
      <c r="AJ920" t="s">
        <v>77</v>
      </c>
      <c r="AK920" t="str">
        <f t="shared" si="223"/>
        <v>Paid</v>
      </c>
      <c r="AL920" t="s">
        <v>78</v>
      </c>
      <c r="AM920" t="str">
        <f t="shared" si="224"/>
        <v>Completed</v>
      </c>
      <c r="AN920">
        <v>9</v>
      </c>
      <c r="AO920">
        <v>2025</v>
      </c>
      <c r="AP920" t="s">
        <v>79</v>
      </c>
    </row>
    <row r="921" spans="1:42">
      <c r="A921" t="s">
        <v>128</v>
      </c>
      <c r="B921" s="3" t="s">
        <v>129</v>
      </c>
      <c r="C921" s="3">
        <v>45757</v>
      </c>
      <c r="D921" t="s">
        <v>130</v>
      </c>
      <c r="E921" s="3">
        <v>45763</v>
      </c>
      <c r="F921" t="s">
        <v>131</v>
      </c>
      <c r="G921" t="s">
        <v>132</v>
      </c>
      <c r="H921" t="str">
        <f t="shared" si="210"/>
        <v>Neha Gupta</v>
      </c>
      <c r="I921" t="s">
        <v>71</v>
      </c>
      <c r="J921" t="str">
        <f t="shared" si="211"/>
        <v>Consumer</v>
      </c>
      <c r="K921" t="s">
        <v>7</v>
      </c>
      <c r="L921" t="str">
        <f t="shared" si="212"/>
        <v>East</v>
      </c>
      <c r="M921" t="s">
        <v>86</v>
      </c>
      <c r="N921" t="str">
        <f t="shared" si="213"/>
        <v>Odisha</v>
      </c>
      <c r="O921" t="s">
        <v>87</v>
      </c>
      <c r="P921" t="str">
        <f t="shared" si="214"/>
        <v>Bhubaneswar</v>
      </c>
      <c r="Q921" t="s">
        <v>24</v>
      </c>
      <c r="R921" t="str">
        <f t="shared" si="215"/>
        <v>Technology</v>
      </c>
      <c r="S921" t="s">
        <v>133</v>
      </c>
      <c r="T921" t="str">
        <f t="shared" si="216"/>
        <v>Copiers</v>
      </c>
      <c r="U921" t="s">
        <v>134</v>
      </c>
      <c r="V921" t="str">
        <f t="shared" si="217"/>
        <v>Eco Copiers 790</v>
      </c>
      <c r="W921" t="s">
        <v>108</v>
      </c>
      <c r="X921" t="str">
        <f t="shared" si="218"/>
        <v>Standard Class</v>
      </c>
      <c r="Y921">
        <v>6</v>
      </c>
      <c r="Z921">
        <v>4</v>
      </c>
      <c r="AA921">
        <v>1719.87</v>
      </c>
      <c r="AB921">
        <v>0.15</v>
      </c>
      <c r="AC921">
        <f t="shared" si="219"/>
        <v>0.15</v>
      </c>
      <c r="AD921">
        <v>5847.56</v>
      </c>
      <c r="AE921">
        <f t="shared" si="220"/>
        <v>5847.558</v>
      </c>
      <c r="AF921">
        <v>4727.25</v>
      </c>
      <c r="AG921">
        <v>1120.31</v>
      </c>
      <c r="AH921">
        <f t="shared" si="221"/>
        <v>1120.308</v>
      </c>
      <c r="AI921">
        <f t="shared" si="222"/>
        <v>0.191585615739083</v>
      </c>
      <c r="AJ921" t="s">
        <v>77</v>
      </c>
      <c r="AK921" t="str">
        <f t="shared" si="223"/>
        <v>Paid</v>
      </c>
      <c r="AL921" t="s">
        <v>78</v>
      </c>
      <c r="AM921" t="str">
        <f t="shared" si="224"/>
        <v>Completed</v>
      </c>
      <c r="AN921">
        <v>4</v>
      </c>
      <c r="AO921">
        <v>2025</v>
      </c>
      <c r="AP921" t="s">
        <v>79</v>
      </c>
    </row>
    <row r="922" spans="1:42">
      <c r="A922" t="s">
        <v>1731</v>
      </c>
      <c r="B922" s="3" t="s">
        <v>754</v>
      </c>
      <c r="C922" s="3">
        <v>45630</v>
      </c>
      <c r="D922" t="s">
        <v>1732</v>
      </c>
      <c r="E922" s="3">
        <v>45632</v>
      </c>
      <c r="F922" t="s">
        <v>1733</v>
      </c>
      <c r="G922" t="s">
        <v>208</v>
      </c>
      <c r="H922" t="str">
        <f t="shared" si="210"/>
        <v>Sneha Kapoor</v>
      </c>
      <c r="I922" t="s">
        <v>154</v>
      </c>
      <c r="J922" t="str">
        <f t="shared" si="211"/>
        <v>Home Office</v>
      </c>
      <c r="K922" t="s">
        <v>7</v>
      </c>
      <c r="L922" t="str">
        <f t="shared" si="212"/>
        <v>East</v>
      </c>
      <c r="M922" t="s">
        <v>86</v>
      </c>
      <c r="N922" t="str">
        <f t="shared" si="213"/>
        <v>Odisha</v>
      </c>
      <c r="O922" t="s">
        <v>87</v>
      </c>
      <c r="P922" t="str">
        <f t="shared" si="214"/>
        <v>Bhubaneswar</v>
      </c>
      <c r="Q922" t="s">
        <v>22</v>
      </c>
      <c r="R922" t="str">
        <f t="shared" si="215"/>
        <v>Office Supplies</v>
      </c>
      <c r="S922" t="s">
        <v>239</v>
      </c>
      <c r="T922" t="str">
        <f t="shared" si="216"/>
        <v>Binders</v>
      </c>
      <c r="U922" t="s">
        <v>1734</v>
      </c>
      <c r="V922" t="str">
        <f t="shared" si="217"/>
        <v>Smart Binders 939</v>
      </c>
      <c r="W922" t="s">
        <v>76</v>
      </c>
      <c r="X922" t="str">
        <f t="shared" si="218"/>
        <v>Second Class</v>
      </c>
      <c r="Y922">
        <v>2</v>
      </c>
      <c r="Z922">
        <v>4</v>
      </c>
      <c r="AA922">
        <v>2685.66</v>
      </c>
      <c r="AB922">
        <v>0</v>
      </c>
      <c r="AC922">
        <f t="shared" si="219"/>
        <v>0</v>
      </c>
      <c r="AD922">
        <v>10989.89</v>
      </c>
      <c r="AE922">
        <f t="shared" si="220"/>
        <v>10742.64</v>
      </c>
      <c r="AF922">
        <v>6477.37</v>
      </c>
      <c r="AG922">
        <v>4265.27</v>
      </c>
      <c r="AH922">
        <f t="shared" si="221"/>
        <v>4265.27</v>
      </c>
      <c r="AI922">
        <f t="shared" si="222"/>
        <v>0.397041137001705</v>
      </c>
      <c r="AJ922" t="s">
        <v>77</v>
      </c>
      <c r="AK922" t="str">
        <f t="shared" si="223"/>
        <v>Paid</v>
      </c>
      <c r="AL922" t="s">
        <v>78</v>
      </c>
      <c r="AM922" t="str">
        <f t="shared" si="224"/>
        <v>Completed</v>
      </c>
      <c r="AN922">
        <v>12</v>
      </c>
      <c r="AO922">
        <v>2024</v>
      </c>
      <c r="AP922" t="s">
        <v>79</v>
      </c>
    </row>
    <row r="923" spans="1:42">
      <c r="A923" t="s">
        <v>595</v>
      </c>
      <c r="B923" s="3" t="s">
        <v>596</v>
      </c>
      <c r="C923" s="3">
        <v>45893</v>
      </c>
      <c r="D923" t="s">
        <v>110</v>
      </c>
      <c r="E923" s="3">
        <v>45898</v>
      </c>
      <c r="F923" t="s">
        <v>597</v>
      </c>
      <c r="G923" t="s">
        <v>202</v>
      </c>
      <c r="H923" t="str">
        <f t="shared" si="210"/>
        <v>Aarav Sharma</v>
      </c>
      <c r="I923" t="s">
        <v>85</v>
      </c>
      <c r="J923" t="str">
        <f t="shared" si="211"/>
        <v>Small Business</v>
      </c>
      <c r="K923" t="s">
        <v>7</v>
      </c>
      <c r="L923" t="str">
        <f t="shared" si="212"/>
        <v>East</v>
      </c>
      <c r="M923" t="s">
        <v>227</v>
      </c>
      <c r="N923" t="str">
        <f t="shared" si="213"/>
        <v>Bihar</v>
      </c>
      <c r="O923" t="s">
        <v>228</v>
      </c>
      <c r="P923" t="str">
        <f t="shared" si="214"/>
        <v>Patna</v>
      </c>
      <c r="Q923" t="s">
        <v>24</v>
      </c>
      <c r="R923" t="str">
        <f t="shared" si="215"/>
        <v>Technology</v>
      </c>
      <c r="S923" t="s">
        <v>133</v>
      </c>
      <c r="T923" t="str">
        <f t="shared" si="216"/>
        <v>Copiers</v>
      </c>
      <c r="U923" t="s">
        <v>598</v>
      </c>
      <c r="V923" t="str">
        <f t="shared" si="217"/>
        <v>Smart Copiers 556</v>
      </c>
      <c r="W923" t="s">
        <v>98</v>
      </c>
      <c r="X923" t="str">
        <f t="shared" si="218"/>
        <v>First Class</v>
      </c>
      <c r="Y923">
        <v>5</v>
      </c>
      <c r="Z923">
        <v>3</v>
      </c>
      <c r="AA923">
        <v>3703.96</v>
      </c>
      <c r="AB923">
        <v>0.15</v>
      </c>
      <c r="AC923">
        <f t="shared" si="219"/>
        <v>0.15</v>
      </c>
      <c r="AD923">
        <v>9549.44</v>
      </c>
      <c r="AE923">
        <f t="shared" si="220"/>
        <v>9445.098</v>
      </c>
      <c r="AF923">
        <v>5586.28</v>
      </c>
      <c r="AG923">
        <v>3858.82</v>
      </c>
      <c r="AH923">
        <f t="shared" si="221"/>
        <v>3858.818</v>
      </c>
      <c r="AI923">
        <f t="shared" si="222"/>
        <v>0.4085524575817</v>
      </c>
      <c r="AJ923" t="s">
        <v>77</v>
      </c>
      <c r="AK923" t="str">
        <f t="shared" si="223"/>
        <v>Paid</v>
      </c>
      <c r="AL923" t="s">
        <v>164</v>
      </c>
      <c r="AM923" t="str">
        <f t="shared" si="224"/>
        <v>Returned</v>
      </c>
      <c r="AN923">
        <v>8</v>
      </c>
      <c r="AO923">
        <v>2025</v>
      </c>
      <c r="AP923" t="s">
        <v>79</v>
      </c>
    </row>
    <row r="924" spans="1:42">
      <c r="A924" t="s">
        <v>1915</v>
      </c>
      <c r="B924" s="3" t="s">
        <v>1916</v>
      </c>
      <c r="C924" s="3">
        <v>45760</v>
      </c>
      <c r="D924" t="s">
        <v>1916</v>
      </c>
      <c r="E924" s="3">
        <v>45760</v>
      </c>
      <c r="F924" t="s">
        <v>1917</v>
      </c>
      <c r="G924" t="s">
        <v>208</v>
      </c>
      <c r="H924" t="str">
        <f t="shared" si="210"/>
        <v>Sneha Kapoor</v>
      </c>
      <c r="I924" t="s">
        <v>85</v>
      </c>
      <c r="J924" t="str">
        <f t="shared" si="211"/>
        <v>Small Business</v>
      </c>
      <c r="K924" t="s">
        <v>8</v>
      </c>
      <c r="L924" t="str">
        <f t="shared" si="212"/>
        <v>North</v>
      </c>
      <c r="M924" t="s">
        <v>214</v>
      </c>
      <c r="N924" t="str">
        <f t="shared" si="213"/>
        <v>Uttar Pradesh</v>
      </c>
      <c r="O924" t="s">
        <v>215</v>
      </c>
      <c r="P924" t="str">
        <f t="shared" si="214"/>
        <v>Noida</v>
      </c>
      <c r="Q924" t="s">
        <v>22</v>
      </c>
      <c r="R924" t="str">
        <f t="shared" si="215"/>
        <v>Office Supplies</v>
      </c>
      <c r="S924" t="s">
        <v>196</v>
      </c>
      <c r="T924" t="str">
        <f t="shared" si="216"/>
        <v>Storage</v>
      </c>
      <c r="U924" t="s">
        <v>1918</v>
      </c>
      <c r="V924" t="str">
        <f t="shared" si="217"/>
        <v>Prime Storage 951</v>
      </c>
      <c r="W924" t="s">
        <v>76</v>
      </c>
      <c r="X924" t="str">
        <f t="shared" si="218"/>
        <v>Second Class</v>
      </c>
      <c r="Y924">
        <v>0</v>
      </c>
      <c r="Z924">
        <v>9</v>
      </c>
      <c r="AA924">
        <v>1118.68</v>
      </c>
      <c r="AB924">
        <v>0</v>
      </c>
      <c r="AC924">
        <f t="shared" si="219"/>
        <v>0</v>
      </c>
      <c r="AD924">
        <v>10348.43</v>
      </c>
      <c r="AE924">
        <f t="shared" si="220"/>
        <v>10068.12</v>
      </c>
      <c r="AF924">
        <v>8595.37</v>
      </c>
      <c r="AG924">
        <v>1472.75</v>
      </c>
      <c r="AH924">
        <f t="shared" si="221"/>
        <v>1472.75</v>
      </c>
      <c r="AI924">
        <f t="shared" si="222"/>
        <v>0.146278550513899</v>
      </c>
      <c r="AJ924" t="s">
        <v>77</v>
      </c>
      <c r="AK924" t="str">
        <f t="shared" si="223"/>
        <v>Paid</v>
      </c>
      <c r="AL924" t="s">
        <v>164</v>
      </c>
      <c r="AM924" t="str">
        <f t="shared" si="224"/>
        <v>Returned</v>
      </c>
      <c r="AN924">
        <v>4</v>
      </c>
      <c r="AO924">
        <v>2025</v>
      </c>
      <c r="AP924" t="s">
        <v>79</v>
      </c>
    </row>
    <row r="925" spans="1:42">
      <c r="A925" t="s">
        <v>1242</v>
      </c>
      <c r="B925" s="3" t="s">
        <v>1243</v>
      </c>
      <c r="C925" s="3">
        <v>45932</v>
      </c>
      <c r="D925" t="s">
        <v>1244</v>
      </c>
      <c r="E925" s="3">
        <v>45938</v>
      </c>
      <c r="F925" t="s">
        <v>1245</v>
      </c>
      <c r="G925" t="s">
        <v>95</v>
      </c>
      <c r="H925" t="str">
        <f t="shared" si="210"/>
        <v>Isha Nair</v>
      </c>
      <c r="I925" t="s">
        <v>85</v>
      </c>
      <c r="J925" t="str">
        <f t="shared" si="211"/>
        <v>Small Business</v>
      </c>
      <c r="K925" t="s">
        <v>8</v>
      </c>
      <c r="L925" t="str">
        <f t="shared" si="212"/>
        <v>North</v>
      </c>
      <c r="M925" t="s">
        <v>194</v>
      </c>
      <c r="N925" t="str">
        <f t="shared" si="213"/>
        <v>Punjab</v>
      </c>
      <c r="O925" t="s">
        <v>195</v>
      </c>
      <c r="P925" t="str">
        <f t="shared" si="214"/>
        <v>Ludhiana</v>
      </c>
      <c r="Q925" t="s">
        <v>19</v>
      </c>
      <c r="R925" t="str">
        <f t="shared" si="215"/>
        <v>Furniture</v>
      </c>
      <c r="S925" t="s">
        <v>106</v>
      </c>
      <c r="T925" t="str">
        <f t="shared" si="216"/>
        <v>Furnishings</v>
      </c>
      <c r="U925" t="s">
        <v>1246</v>
      </c>
      <c r="V925" t="str">
        <f t="shared" si="217"/>
        <v>Classic Furnishings 109</v>
      </c>
      <c r="W925" t="s">
        <v>108</v>
      </c>
      <c r="X925" t="str">
        <f t="shared" si="218"/>
        <v>Standard Class</v>
      </c>
      <c r="Y925">
        <v>6</v>
      </c>
      <c r="Z925">
        <v>4</v>
      </c>
      <c r="AA925">
        <v>3944.64</v>
      </c>
      <c r="AB925">
        <v>0.25</v>
      </c>
      <c r="AC925">
        <f t="shared" si="219"/>
        <v>0.25</v>
      </c>
      <c r="AD925">
        <v>12116.89</v>
      </c>
      <c r="AE925">
        <f t="shared" si="220"/>
        <v>11833.92</v>
      </c>
      <c r="AF925">
        <v>6682.92</v>
      </c>
      <c r="AG925">
        <v>5151</v>
      </c>
      <c r="AH925">
        <f t="shared" si="221"/>
        <v>5151</v>
      </c>
      <c r="AI925">
        <f t="shared" si="222"/>
        <v>0.435274194856818</v>
      </c>
      <c r="AJ925" t="s">
        <v>77</v>
      </c>
      <c r="AK925" t="str">
        <f t="shared" si="223"/>
        <v>Paid</v>
      </c>
      <c r="AL925" t="s">
        <v>164</v>
      </c>
      <c r="AM925" t="str">
        <f t="shared" si="224"/>
        <v>Returned</v>
      </c>
      <c r="AN925">
        <v>10</v>
      </c>
      <c r="AO925">
        <v>2025</v>
      </c>
      <c r="AP925" t="s">
        <v>79</v>
      </c>
    </row>
    <row r="926" spans="1:42">
      <c r="A926" t="s">
        <v>1656</v>
      </c>
      <c r="B926" s="3" t="s">
        <v>1155</v>
      </c>
      <c r="C926" s="3">
        <v>45795</v>
      </c>
      <c r="D926" t="s">
        <v>157</v>
      </c>
      <c r="E926" s="3">
        <v>45797</v>
      </c>
      <c r="F926" t="s">
        <v>1657</v>
      </c>
      <c r="G926" t="s">
        <v>95</v>
      </c>
      <c r="H926" t="str">
        <f t="shared" si="210"/>
        <v>Isha Nair</v>
      </c>
      <c r="I926" t="s">
        <v>147</v>
      </c>
      <c r="J926" t="str">
        <f t="shared" si="211"/>
        <v>Corporate</v>
      </c>
      <c r="K926" t="s">
        <v>11</v>
      </c>
      <c r="L926" t="str">
        <f t="shared" si="212"/>
        <v>West</v>
      </c>
      <c r="M926" t="s">
        <v>124</v>
      </c>
      <c r="N926" t="str">
        <f t="shared" si="213"/>
        <v>Madhya Pradesh</v>
      </c>
      <c r="O926" t="s">
        <v>125</v>
      </c>
      <c r="P926" t="str">
        <f t="shared" si="214"/>
        <v>Indore</v>
      </c>
      <c r="Q926" t="s">
        <v>22</v>
      </c>
      <c r="R926" t="str">
        <f t="shared" si="215"/>
        <v>Office Supplies</v>
      </c>
      <c r="S926" t="s">
        <v>148</v>
      </c>
      <c r="T926" t="str">
        <f t="shared" si="216"/>
        <v>Labels</v>
      </c>
      <c r="U926" t="s">
        <v>1658</v>
      </c>
      <c r="V926" t="str">
        <f t="shared" si="217"/>
        <v>Elite Labels 544</v>
      </c>
      <c r="W926" t="s">
        <v>108</v>
      </c>
      <c r="X926" t="str">
        <f t="shared" si="218"/>
        <v>Standard Class</v>
      </c>
      <c r="Y926">
        <v>2</v>
      </c>
      <c r="Z926">
        <v>9</v>
      </c>
      <c r="AA926">
        <v>847.76</v>
      </c>
      <c r="AB926">
        <v>0.15</v>
      </c>
      <c r="AC926">
        <f t="shared" si="219"/>
        <v>0.15</v>
      </c>
      <c r="AD926">
        <v>6589.37</v>
      </c>
      <c r="AE926">
        <f t="shared" si="220"/>
        <v>6485.364</v>
      </c>
      <c r="AF926">
        <v>5376.17</v>
      </c>
      <c r="AG926">
        <v>1109.19</v>
      </c>
      <c r="AH926">
        <f t="shared" si="221"/>
        <v>1109.194</v>
      </c>
      <c r="AI926">
        <f t="shared" si="222"/>
        <v>0.171030338466738</v>
      </c>
      <c r="AJ926" t="s">
        <v>241</v>
      </c>
      <c r="AK926" t="str">
        <f t="shared" si="223"/>
        <v>Failed</v>
      </c>
      <c r="AL926" t="s">
        <v>78</v>
      </c>
      <c r="AM926" t="str">
        <f t="shared" si="224"/>
        <v>Completed</v>
      </c>
      <c r="AN926">
        <v>5</v>
      </c>
      <c r="AO926">
        <v>2025</v>
      </c>
      <c r="AP926" t="s">
        <v>79</v>
      </c>
    </row>
    <row r="927" spans="1:42">
      <c r="A927" t="s">
        <v>984</v>
      </c>
      <c r="B927" s="3" t="s">
        <v>151</v>
      </c>
      <c r="C927" s="3">
        <v>45907</v>
      </c>
      <c r="D927" t="s">
        <v>985</v>
      </c>
      <c r="E927" s="3">
        <v>45915</v>
      </c>
      <c r="F927" t="s">
        <v>986</v>
      </c>
      <c r="G927" t="s">
        <v>220</v>
      </c>
      <c r="H927" t="str">
        <f t="shared" si="210"/>
        <v>Rohan Mehta</v>
      </c>
      <c r="I927" t="s">
        <v>147</v>
      </c>
      <c r="J927" t="str">
        <f t="shared" si="211"/>
        <v>Corporate</v>
      </c>
      <c r="K927" t="s">
        <v>7</v>
      </c>
      <c r="L927" t="str">
        <f t="shared" si="212"/>
        <v>East</v>
      </c>
      <c r="M927" t="s">
        <v>227</v>
      </c>
      <c r="N927" t="str">
        <f t="shared" si="213"/>
        <v>Bihar</v>
      </c>
      <c r="O927" t="s">
        <v>228</v>
      </c>
      <c r="P927" t="str">
        <f t="shared" si="214"/>
        <v>Patna</v>
      </c>
      <c r="Q927" t="s">
        <v>24</v>
      </c>
      <c r="R927" t="str">
        <f t="shared" si="215"/>
        <v>Technology</v>
      </c>
      <c r="S927" t="s">
        <v>133</v>
      </c>
      <c r="T927" t="str">
        <f t="shared" si="216"/>
        <v>Copiers</v>
      </c>
      <c r="U927" t="s">
        <v>987</v>
      </c>
      <c r="V927" t="str">
        <f t="shared" si="217"/>
        <v>Eco Copiers 102</v>
      </c>
      <c r="W927" t="s">
        <v>108</v>
      </c>
      <c r="X927" t="str">
        <f t="shared" si="218"/>
        <v>Standard Class</v>
      </c>
      <c r="Y927">
        <v>8</v>
      </c>
      <c r="Z927">
        <v>3</v>
      </c>
      <c r="AA927">
        <v>1711.32</v>
      </c>
      <c r="AB927">
        <v>0</v>
      </c>
      <c r="AC927">
        <f t="shared" si="219"/>
        <v>0</v>
      </c>
      <c r="AD927">
        <v>5206.53</v>
      </c>
      <c r="AE927">
        <f t="shared" si="220"/>
        <v>5133.96</v>
      </c>
      <c r="AF927">
        <v>3930</v>
      </c>
      <c r="AG927">
        <v>1203.96</v>
      </c>
      <c r="AH927">
        <f t="shared" si="221"/>
        <v>1203.96</v>
      </c>
      <c r="AI927">
        <f t="shared" si="222"/>
        <v>0.234509033962088</v>
      </c>
      <c r="AJ927" t="s">
        <v>77</v>
      </c>
      <c r="AK927" t="str">
        <f t="shared" si="223"/>
        <v>Paid</v>
      </c>
      <c r="AL927" t="s">
        <v>164</v>
      </c>
      <c r="AM927" t="str">
        <f t="shared" si="224"/>
        <v>Returned</v>
      </c>
      <c r="AN927">
        <v>9</v>
      </c>
      <c r="AO927">
        <v>2025</v>
      </c>
      <c r="AP927" t="s">
        <v>79</v>
      </c>
    </row>
    <row r="928" spans="1:42">
      <c r="A928" t="s">
        <v>2142</v>
      </c>
      <c r="B928" s="3" t="s">
        <v>2143</v>
      </c>
      <c r="C928" s="3">
        <v>45342</v>
      </c>
      <c r="D928" t="s">
        <v>2144</v>
      </c>
      <c r="E928" s="3">
        <v>45349</v>
      </c>
      <c r="F928" t="s">
        <v>2145</v>
      </c>
      <c r="G928" t="s">
        <v>251</v>
      </c>
      <c r="H928" t="str">
        <f t="shared" si="210"/>
        <v>Diya Patel</v>
      </c>
      <c r="I928" t="s">
        <v>71</v>
      </c>
      <c r="J928" t="str">
        <f t="shared" si="211"/>
        <v>Consumer</v>
      </c>
      <c r="K928" t="s">
        <v>10</v>
      </c>
      <c r="L928" t="str">
        <f t="shared" si="212"/>
        <v>South</v>
      </c>
      <c r="M928" t="s">
        <v>285</v>
      </c>
      <c r="N928" t="str">
        <f t="shared" si="213"/>
        <v>Kerala</v>
      </c>
      <c r="O928" t="s">
        <v>286</v>
      </c>
      <c r="P928" t="str">
        <f t="shared" si="214"/>
        <v>Kochi</v>
      </c>
      <c r="Q928" t="s">
        <v>24</v>
      </c>
      <c r="R928" t="str">
        <f t="shared" si="215"/>
        <v>Technology</v>
      </c>
      <c r="S928" t="s">
        <v>126</v>
      </c>
      <c r="T928" t="str">
        <f t="shared" si="216"/>
        <v>Accessories</v>
      </c>
      <c r="U928" t="s">
        <v>2146</v>
      </c>
      <c r="V928" t="str">
        <f t="shared" si="217"/>
        <v>Prime Accessories 236</v>
      </c>
      <c r="W928" t="s">
        <v>2147</v>
      </c>
      <c r="X928" t="str">
        <f t="shared" si="218"/>
        <v>First Class</v>
      </c>
      <c r="Y928">
        <v>7</v>
      </c>
      <c r="Z928">
        <v>9</v>
      </c>
      <c r="AA928">
        <v>3779.31</v>
      </c>
      <c r="AB928">
        <v>0.2</v>
      </c>
      <c r="AC928">
        <f t="shared" si="219"/>
        <v>0.2</v>
      </c>
      <c r="AD928">
        <v>27322.9</v>
      </c>
      <c r="AE928">
        <f t="shared" si="220"/>
        <v>27211.032</v>
      </c>
      <c r="AF928">
        <v>17940.43</v>
      </c>
      <c r="AG928">
        <v>9270.6</v>
      </c>
      <c r="AH928">
        <f t="shared" si="221"/>
        <v>9270.602</v>
      </c>
      <c r="AI928">
        <f t="shared" si="222"/>
        <v>0.340692774901003</v>
      </c>
      <c r="AJ928" t="s">
        <v>77</v>
      </c>
      <c r="AK928" t="str">
        <f t="shared" si="223"/>
        <v>Paid</v>
      </c>
      <c r="AL928" t="s">
        <v>164</v>
      </c>
      <c r="AM928" t="str">
        <f t="shared" si="224"/>
        <v>Returned</v>
      </c>
      <c r="AN928">
        <v>2</v>
      </c>
      <c r="AO928">
        <v>2024</v>
      </c>
      <c r="AP928" t="s">
        <v>79</v>
      </c>
    </row>
    <row r="929" spans="1:42">
      <c r="A929" t="s">
        <v>2796</v>
      </c>
      <c r="B929" s="3" t="s">
        <v>2732</v>
      </c>
      <c r="C929" s="3">
        <v>45698</v>
      </c>
      <c r="D929" t="s">
        <v>2797</v>
      </c>
      <c r="E929" s="3">
        <v>45702</v>
      </c>
      <c r="F929" t="s">
        <v>2798</v>
      </c>
      <c r="G929" t="s">
        <v>182</v>
      </c>
      <c r="H929" t="str">
        <f t="shared" si="210"/>
        <v>Priya Menon</v>
      </c>
      <c r="I929" t="s">
        <v>85</v>
      </c>
      <c r="J929" t="str">
        <f t="shared" si="211"/>
        <v>Small Business</v>
      </c>
      <c r="K929" t="s">
        <v>8</v>
      </c>
      <c r="L929" t="str">
        <f t="shared" si="212"/>
        <v>North</v>
      </c>
      <c r="M929" t="s">
        <v>214</v>
      </c>
      <c r="N929" t="str">
        <f t="shared" si="213"/>
        <v>Uttar Pradesh</v>
      </c>
      <c r="O929" t="s">
        <v>215</v>
      </c>
      <c r="P929" t="str">
        <f t="shared" si="214"/>
        <v>Noida</v>
      </c>
      <c r="Q929" t="s">
        <v>24</v>
      </c>
      <c r="R929" t="str">
        <f t="shared" si="215"/>
        <v>Technology</v>
      </c>
      <c r="S929" t="s">
        <v>265</v>
      </c>
      <c r="T929" t="str">
        <f t="shared" si="216"/>
        <v>Phones</v>
      </c>
      <c r="U929" t="s">
        <v>2799</v>
      </c>
      <c r="V929" t="str">
        <f t="shared" si="217"/>
        <v>Prime Phones 895</v>
      </c>
      <c r="X929" t="str">
        <f t="shared" si="218"/>
        <v/>
      </c>
      <c r="Y929">
        <v>4</v>
      </c>
      <c r="Z929">
        <v>5</v>
      </c>
      <c r="AA929">
        <v>4276.29</v>
      </c>
      <c r="AB929">
        <v>0</v>
      </c>
      <c r="AC929">
        <f t="shared" si="219"/>
        <v>0</v>
      </c>
      <c r="AD929">
        <v>21443.63</v>
      </c>
      <c r="AE929">
        <f t="shared" si="220"/>
        <v>21381.45</v>
      </c>
      <c r="AF929">
        <v>13240.21</v>
      </c>
      <c r="AG929">
        <v>8141.24</v>
      </c>
      <c r="AH929">
        <f t="shared" si="221"/>
        <v>8141.24</v>
      </c>
      <c r="AI929">
        <f t="shared" si="222"/>
        <v>0.380761828594412</v>
      </c>
      <c r="AJ929" t="s">
        <v>241</v>
      </c>
      <c r="AK929" t="str">
        <f t="shared" si="223"/>
        <v>Failed</v>
      </c>
      <c r="AL929" t="s">
        <v>78</v>
      </c>
      <c r="AM929" t="str">
        <f t="shared" si="224"/>
        <v>Completed</v>
      </c>
      <c r="AN929">
        <v>2</v>
      </c>
      <c r="AO929">
        <v>2025</v>
      </c>
      <c r="AP929" t="s">
        <v>79</v>
      </c>
    </row>
    <row r="930" spans="1:42">
      <c r="A930" t="s">
        <v>850</v>
      </c>
      <c r="B930" s="3" t="s">
        <v>851</v>
      </c>
      <c r="C930" s="3">
        <v>45381</v>
      </c>
      <c r="D930" t="s">
        <v>852</v>
      </c>
      <c r="E930" s="3">
        <v>45377</v>
      </c>
      <c r="F930" t="s">
        <v>853</v>
      </c>
      <c r="G930" t="s">
        <v>146</v>
      </c>
      <c r="H930" t="str">
        <f t="shared" si="210"/>
        <v>Aditi Sen</v>
      </c>
      <c r="I930" t="s">
        <v>154</v>
      </c>
      <c r="J930" t="str">
        <f t="shared" si="211"/>
        <v>Home Office</v>
      </c>
      <c r="K930" t="s">
        <v>8</v>
      </c>
      <c r="L930" t="str">
        <f t="shared" si="212"/>
        <v>North</v>
      </c>
      <c r="M930" t="s">
        <v>72</v>
      </c>
      <c r="N930" t="str">
        <f t="shared" si="213"/>
        <v>Rajasthan</v>
      </c>
      <c r="O930" t="s">
        <v>73</v>
      </c>
      <c r="P930" t="str">
        <f t="shared" si="214"/>
        <v>Jaipur</v>
      </c>
      <c r="Q930" t="s">
        <v>24</v>
      </c>
      <c r="R930" t="str">
        <f t="shared" si="215"/>
        <v>Technology</v>
      </c>
      <c r="S930" t="s">
        <v>265</v>
      </c>
      <c r="T930" t="str">
        <f t="shared" si="216"/>
        <v>Phones</v>
      </c>
      <c r="U930" t="s">
        <v>854</v>
      </c>
      <c r="V930" t="str">
        <f t="shared" si="217"/>
        <v>Classic Phones 142</v>
      </c>
      <c r="W930" t="s">
        <v>76</v>
      </c>
      <c r="X930" t="str">
        <f t="shared" si="218"/>
        <v>Second Class</v>
      </c>
      <c r="Y930">
        <v>-4</v>
      </c>
      <c r="Z930">
        <v>5</v>
      </c>
      <c r="AA930">
        <v>907.54</v>
      </c>
      <c r="AB930">
        <v>0.15</v>
      </c>
      <c r="AC930">
        <f t="shared" si="219"/>
        <v>0.15</v>
      </c>
      <c r="AD930">
        <v>4099.69</v>
      </c>
      <c r="AE930">
        <f t="shared" si="220"/>
        <v>3857.045</v>
      </c>
      <c r="AF930">
        <v>2769.26</v>
      </c>
      <c r="AG930">
        <v>1087.78</v>
      </c>
      <c r="AH930">
        <f t="shared" si="221"/>
        <v>1087.785</v>
      </c>
      <c r="AI930">
        <f t="shared" si="222"/>
        <v>0.282025488424428</v>
      </c>
      <c r="AJ930" t="s">
        <v>77</v>
      </c>
      <c r="AK930" t="str">
        <f t="shared" si="223"/>
        <v>Paid</v>
      </c>
      <c r="AL930" t="s">
        <v>164</v>
      </c>
      <c r="AM930" t="str">
        <f t="shared" si="224"/>
        <v>Returned</v>
      </c>
      <c r="AN930">
        <v>3</v>
      </c>
      <c r="AO930">
        <v>2024</v>
      </c>
      <c r="AP930" t="s">
        <v>253</v>
      </c>
    </row>
    <row r="931" spans="1:42">
      <c r="A931" t="s">
        <v>1461</v>
      </c>
      <c r="B931" s="3" t="s">
        <v>1462</v>
      </c>
      <c r="C931" s="3">
        <v>45522</v>
      </c>
      <c r="D931" t="s">
        <v>1463</v>
      </c>
      <c r="E931" s="3">
        <v>45528</v>
      </c>
      <c r="F931" t="s">
        <v>1464</v>
      </c>
      <c r="G931" t="s">
        <v>103</v>
      </c>
      <c r="H931" t="str">
        <f t="shared" si="210"/>
        <v>Arjun Bose</v>
      </c>
      <c r="I931" t="s">
        <v>71</v>
      </c>
      <c r="J931" t="str">
        <f t="shared" si="211"/>
        <v>Consumer</v>
      </c>
      <c r="K931" t="s">
        <v>10</v>
      </c>
      <c r="L931" t="str">
        <f t="shared" si="212"/>
        <v>South</v>
      </c>
      <c r="M931" t="s">
        <v>139</v>
      </c>
      <c r="N931" t="str">
        <f t="shared" si="213"/>
        <v>Andhra Pradesh</v>
      </c>
      <c r="O931" t="s">
        <v>140</v>
      </c>
      <c r="P931" t="str">
        <f t="shared" si="214"/>
        <v>Vijayawada</v>
      </c>
      <c r="Q931" t="s">
        <v>19</v>
      </c>
      <c r="R931" t="str">
        <f t="shared" si="215"/>
        <v>Furniture</v>
      </c>
      <c r="S931" t="s">
        <v>116</v>
      </c>
      <c r="T931" t="str">
        <f t="shared" si="216"/>
        <v>Chairs</v>
      </c>
      <c r="U931" t="s">
        <v>1465</v>
      </c>
      <c r="V931" t="str">
        <f t="shared" si="217"/>
        <v>Eco Chairs 314</v>
      </c>
      <c r="W931" t="s">
        <v>98</v>
      </c>
      <c r="X931" t="str">
        <f t="shared" si="218"/>
        <v>First Class</v>
      </c>
      <c r="Y931">
        <v>6</v>
      </c>
      <c r="Z931">
        <v>7</v>
      </c>
      <c r="AA931">
        <v>557.21</v>
      </c>
      <c r="AB931">
        <v>0.1</v>
      </c>
      <c r="AC931">
        <f t="shared" si="219"/>
        <v>0.1</v>
      </c>
      <c r="AD931">
        <v>3797.79</v>
      </c>
      <c r="AE931">
        <f t="shared" si="220"/>
        <v>3510.423</v>
      </c>
      <c r="AF931">
        <v>2191.5</v>
      </c>
      <c r="AG931">
        <v>1213.48</v>
      </c>
      <c r="AH931">
        <f t="shared" si="221"/>
        <v>1318.923</v>
      </c>
      <c r="AI931">
        <f t="shared" si="222"/>
        <v>0.375716259835353</v>
      </c>
      <c r="AJ931" t="s">
        <v>77</v>
      </c>
      <c r="AK931" t="str">
        <f t="shared" si="223"/>
        <v>Paid</v>
      </c>
      <c r="AL931" t="s">
        <v>164</v>
      </c>
      <c r="AM931" t="str">
        <f t="shared" si="224"/>
        <v>Returned</v>
      </c>
      <c r="AN931">
        <v>8</v>
      </c>
      <c r="AO931">
        <v>2024</v>
      </c>
      <c r="AP931" t="s">
        <v>79</v>
      </c>
    </row>
    <row r="932" spans="1:42">
      <c r="A932" t="s">
        <v>757</v>
      </c>
      <c r="B932" s="3" t="s">
        <v>758</v>
      </c>
      <c r="C932" s="3">
        <v>45436</v>
      </c>
      <c r="D932" t="s">
        <v>759</v>
      </c>
      <c r="E932" s="3">
        <v>45437</v>
      </c>
      <c r="F932" t="s">
        <v>760</v>
      </c>
      <c r="G932" t="s">
        <v>208</v>
      </c>
      <c r="H932" t="str">
        <f t="shared" si="210"/>
        <v>Sneha Kapoor</v>
      </c>
      <c r="I932" t="s">
        <v>85</v>
      </c>
      <c r="J932" t="str">
        <f t="shared" si="211"/>
        <v>Small Business</v>
      </c>
      <c r="K932" t="s">
        <v>761</v>
      </c>
      <c r="L932" t="str">
        <f t="shared" si="212"/>
        <v>North</v>
      </c>
      <c r="M932" t="s">
        <v>194</v>
      </c>
      <c r="N932" t="str">
        <f t="shared" si="213"/>
        <v>Punjab</v>
      </c>
      <c r="O932" t="s">
        <v>195</v>
      </c>
      <c r="P932" t="str">
        <f t="shared" si="214"/>
        <v>Ludhiana</v>
      </c>
      <c r="Q932" t="s">
        <v>24</v>
      </c>
      <c r="R932" t="str">
        <f t="shared" si="215"/>
        <v>Technology</v>
      </c>
      <c r="S932" t="s">
        <v>133</v>
      </c>
      <c r="T932" t="str">
        <f t="shared" si="216"/>
        <v>Copiers</v>
      </c>
      <c r="U932" t="s">
        <v>762</v>
      </c>
      <c r="V932" t="str">
        <f t="shared" si="217"/>
        <v>Max Copiers 970</v>
      </c>
      <c r="W932" t="s">
        <v>90</v>
      </c>
      <c r="X932" t="str">
        <f t="shared" si="218"/>
        <v>Same Day</v>
      </c>
      <c r="Y932">
        <v>1</v>
      </c>
      <c r="Z932">
        <v>1</v>
      </c>
      <c r="AA932">
        <v>634.13</v>
      </c>
      <c r="AB932">
        <v>0</v>
      </c>
      <c r="AC932">
        <f t="shared" si="219"/>
        <v>0</v>
      </c>
      <c r="AD932">
        <v>808.67</v>
      </c>
      <c r="AE932">
        <f t="shared" si="220"/>
        <v>634.13</v>
      </c>
      <c r="AF932">
        <v>453.35</v>
      </c>
      <c r="AG932">
        <v>180.78</v>
      </c>
      <c r="AH932">
        <f t="shared" si="221"/>
        <v>180.78</v>
      </c>
      <c r="AI932">
        <f t="shared" si="222"/>
        <v>0.28508350022866</v>
      </c>
      <c r="AJ932" t="s">
        <v>163</v>
      </c>
      <c r="AK932" t="str">
        <f t="shared" si="223"/>
        <v>Refunded</v>
      </c>
      <c r="AL932" t="s">
        <v>164</v>
      </c>
      <c r="AM932" t="str">
        <f t="shared" si="224"/>
        <v>Returned</v>
      </c>
      <c r="AN932">
        <v>5</v>
      </c>
      <c r="AO932">
        <v>2024</v>
      </c>
      <c r="AP932" t="s">
        <v>79</v>
      </c>
    </row>
    <row r="933" spans="1:42">
      <c r="A933" t="s">
        <v>1751</v>
      </c>
      <c r="B933" s="3" t="s">
        <v>1752</v>
      </c>
      <c r="C933" s="3">
        <v>45824</v>
      </c>
      <c r="D933" t="s">
        <v>1753</v>
      </c>
      <c r="E933" s="3">
        <v>45826</v>
      </c>
      <c r="F933" t="s">
        <v>1754</v>
      </c>
      <c r="G933" t="s">
        <v>188</v>
      </c>
      <c r="H933" t="str">
        <f t="shared" si="210"/>
        <v>Rahul Verma</v>
      </c>
      <c r="I933" t="s">
        <v>154</v>
      </c>
      <c r="J933" t="str">
        <f t="shared" si="211"/>
        <v>Home Office</v>
      </c>
      <c r="K933" t="s">
        <v>11</v>
      </c>
      <c r="L933" t="str">
        <f t="shared" si="212"/>
        <v>West</v>
      </c>
      <c r="M933" t="s">
        <v>124</v>
      </c>
      <c r="N933" t="str">
        <f t="shared" si="213"/>
        <v>Madhya Pradesh</v>
      </c>
      <c r="O933" t="s">
        <v>125</v>
      </c>
      <c r="P933" t="str">
        <f t="shared" si="214"/>
        <v>Indore</v>
      </c>
      <c r="Q933" t="s">
        <v>22</v>
      </c>
      <c r="R933" t="str">
        <f t="shared" si="215"/>
        <v>Office Supplies</v>
      </c>
      <c r="S933" t="s">
        <v>74</v>
      </c>
      <c r="T933" t="str">
        <f t="shared" si="216"/>
        <v>Paper</v>
      </c>
      <c r="U933" t="s">
        <v>1755</v>
      </c>
      <c r="V933" t="str">
        <f t="shared" si="217"/>
        <v>Prime Paper 559</v>
      </c>
      <c r="W933" t="s">
        <v>98</v>
      </c>
      <c r="X933" t="str">
        <f t="shared" si="218"/>
        <v>First Class</v>
      </c>
      <c r="Y933">
        <v>2</v>
      </c>
      <c r="Z933">
        <v>3</v>
      </c>
      <c r="AA933">
        <v>4289.37</v>
      </c>
      <c r="AB933">
        <v>0.1</v>
      </c>
      <c r="AC933">
        <f t="shared" si="219"/>
        <v>0.1</v>
      </c>
      <c r="AD933">
        <v>11778.71</v>
      </c>
      <c r="AE933">
        <f t="shared" si="220"/>
        <v>11581.299</v>
      </c>
      <c r="AF933">
        <v>6829.43</v>
      </c>
      <c r="AG933">
        <v>4751.87</v>
      </c>
      <c r="AH933">
        <f t="shared" si="221"/>
        <v>4751.869</v>
      </c>
      <c r="AI933">
        <f t="shared" si="222"/>
        <v>0.410305355211017</v>
      </c>
      <c r="AJ933" t="s">
        <v>77</v>
      </c>
      <c r="AK933" t="str">
        <f t="shared" si="223"/>
        <v>Paid</v>
      </c>
      <c r="AL933" t="s">
        <v>164</v>
      </c>
      <c r="AM933" t="str">
        <f t="shared" si="224"/>
        <v>Returned</v>
      </c>
      <c r="AN933">
        <v>6</v>
      </c>
      <c r="AO933">
        <v>2025</v>
      </c>
      <c r="AP933" t="s">
        <v>79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8" outlineLevelCol="1"/>
  <cols>
    <col min="1" max="2" width="28" customWidth="1"/>
  </cols>
  <sheetData>
    <row r="1" ht="28" customHeight="1" spans="1:2">
      <c r="A1" s="1" t="s">
        <v>4151</v>
      </c>
      <c r="B1" s="1" t="s">
        <v>4152</v>
      </c>
    </row>
    <row r="2" ht="41.4" customHeight="1" spans="1:2">
      <c r="A2" s="2" t="s">
        <v>4153</v>
      </c>
      <c r="B2" s="2" t="s">
        <v>4154</v>
      </c>
    </row>
    <row r="3" ht="27.6" customHeight="1" spans="1:2">
      <c r="A3" s="2" t="s">
        <v>4155</v>
      </c>
      <c r="B3" s="2" t="s">
        <v>4156</v>
      </c>
    </row>
    <row r="4" ht="27.6" customHeight="1" spans="1:2">
      <c r="A4" s="2" t="s">
        <v>4157</v>
      </c>
      <c r="B4" s="2" t="s">
        <v>4156</v>
      </c>
    </row>
    <row r="5" ht="27.6" customHeight="1" spans="1:2">
      <c r="A5" s="2" t="s">
        <v>4158</v>
      </c>
      <c r="B5" s="2" t="s">
        <v>4159</v>
      </c>
    </row>
    <row r="6" ht="41.4" customHeight="1" spans="1:2">
      <c r="A6" s="2" t="s">
        <v>4160</v>
      </c>
      <c r="B6" s="2" t="s">
        <v>4161</v>
      </c>
    </row>
    <row r="7" ht="41.4" customHeight="1" spans="1:2">
      <c r="A7" s="2" t="s">
        <v>4162</v>
      </c>
      <c r="B7" s="2" t="s">
        <v>4163</v>
      </c>
    </row>
    <row r="8" ht="27.6" customHeight="1" spans="1:2">
      <c r="A8" s="2" t="s">
        <v>4164</v>
      </c>
      <c r="B8" s="2" t="s">
        <v>4165</v>
      </c>
    </row>
    <row r="9" ht="41.4" customHeight="1" spans="1:2">
      <c r="A9" s="2" t="s">
        <v>4166</v>
      </c>
      <c r="B9" s="2" t="s">
        <v>4167</v>
      </c>
    </row>
    <row r="10" ht="69" customHeight="1" spans="1:2">
      <c r="A10" s="2" t="s">
        <v>4168</v>
      </c>
      <c r="B10" s="2" t="s">
        <v>4169</v>
      </c>
    </row>
    <row r="11" ht="27.6" customHeight="1" spans="1:2">
      <c r="A11" s="2" t="s">
        <v>4170</v>
      </c>
      <c r="B11" s="2" t="s">
        <v>4171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sales by region</vt:lpstr>
      <vt:lpstr>Catagory performance</vt:lpstr>
      <vt:lpstr>monthly sales trend</vt:lpstr>
      <vt:lpstr>Cleaned_orders</vt:lpstr>
      <vt:lpstr>business_rules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Chiranjeeb Das</cp:lastModifiedBy>
  <dcterms:created xsi:type="dcterms:W3CDTF">2026-06-22T03:30:00Z</dcterms:created>
  <dcterms:modified xsi:type="dcterms:W3CDTF">2026-06-24T07:31:53Z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D17C4D687C3F416985D790F70BF06953_13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